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24226"/>
  <mc:AlternateContent xmlns:mc="http://schemas.openxmlformats.org/markup-compatibility/2006">
    <mc:Choice Requires="x15">
      <x15ac:absPath xmlns:x15ac="http://schemas.microsoft.com/office/spreadsheetml/2010/11/ac" url="C:\Users\User\AppData\Local\Packages\5319275A.WhatsAppDesktop_cv1g1gvanyjgm\LocalState\sessions\8D14BFF299373E09BBD7DB3F204536D710629F8B\transfers\2026-15\"/>
    </mc:Choice>
  </mc:AlternateContent>
  <xr:revisionPtr revIDLastSave="0" documentId="13_ncr:1_{F7B7074F-738B-49AF-820D-204D9437ED17}" xr6:coauthVersionLast="47" xr6:coauthVersionMax="47" xr10:uidLastSave="{00000000-0000-0000-0000-000000000000}"/>
  <bookViews>
    <workbookView xWindow="-108" yWindow="-108" windowWidth="23256" windowHeight="12456" tabRatio="841" activeTab="6" xr2:uid="{00000000-000D-0000-FFFF-FFFF00000000}"/>
  </bookViews>
  <sheets>
    <sheet name="master_data" sheetId="1" r:id="rId1"/>
    <sheet name="Input_data1" sheetId="7" r:id="rId2"/>
    <sheet name="Analysis" sheetId="4" r:id="rId3"/>
    <sheet name="input_data" sheetId="3" r:id="rId4"/>
    <sheet name="pivot_tables" sheetId="6" r:id="rId5"/>
    <sheet name="Input_data3" sheetId="9" r:id="rId6"/>
    <sheet name="dash_bord" sheetId="2" r:id="rId7"/>
  </sheets>
  <definedNames>
    <definedName name="_xlnm._FilterDatabase" localSheetId="3" hidden="1">input_data!$B$4:$B$204</definedName>
    <definedName name="_xlchart.v5.0" hidden="1">Analysis!$B$158</definedName>
    <definedName name="_xlchart.v5.1" hidden="1">Analysis!$B$159:$B$163</definedName>
    <definedName name="_xlchart.v5.2" hidden="1">Analysis!$C$158</definedName>
    <definedName name="_xlchart.v5.3" hidden="1">Analysis!$C$159:$C$163</definedName>
    <definedName name="Slicer_City3">#N/A</definedName>
  </definedNames>
  <calcPr calcId="191029"/>
  <pivotCaches>
    <pivotCache cacheId="0" r:id="rId8"/>
    <pivotCache cacheId="1" r:id="rId9"/>
    <pivotCache cacheId="2" r:id="rId10"/>
    <pivotCache cacheId="3" r:id="rId11"/>
    <pivotCache cacheId="4"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01" i="9" l="1"/>
  <c r="W200" i="9"/>
  <c r="W199" i="9"/>
  <c r="W198" i="9"/>
  <c r="W197" i="9"/>
  <c r="W196" i="9"/>
  <c r="W195" i="9"/>
  <c r="W194" i="9"/>
  <c r="W193" i="9"/>
  <c r="W192" i="9"/>
  <c r="W191" i="9"/>
  <c r="W190" i="9"/>
  <c r="W189" i="9"/>
  <c r="W188" i="9"/>
  <c r="W187" i="9"/>
  <c r="W186" i="9"/>
  <c r="W185" i="9"/>
  <c r="W184" i="9"/>
  <c r="W183" i="9"/>
  <c r="W182" i="9"/>
  <c r="W181" i="9"/>
  <c r="W180" i="9"/>
  <c r="W179" i="9"/>
  <c r="W178" i="9"/>
  <c r="W177" i="9"/>
  <c r="W176" i="9"/>
  <c r="W175" i="9"/>
  <c r="W174" i="9"/>
  <c r="W173" i="9"/>
  <c r="W172" i="9"/>
  <c r="W171" i="9"/>
  <c r="W170" i="9"/>
  <c r="W169" i="9"/>
  <c r="W168" i="9"/>
  <c r="W167" i="9"/>
  <c r="W166" i="9"/>
  <c r="W165" i="9"/>
  <c r="W164" i="9"/>
  <c r="W163" i="9"/>
  <c r="W162" i="9"/>
  <c r="W161" i="9"/>
  <c r="W160" i="9"/>
  <c r="W159" i="9"/>
  <c r="W158" i="9"/>
  <c r="W157" i="9"/>
  <c r="W156" i="9"/>
  <c r="W155" i="9"/>
  <c r="W154" i="9"/>
  <c r="W153" i="9"/>
  <c r="W152" i="9"/>
  <c r="W151" i="9"/>
  <c r="W150" i="9"/>
  <c r="W149" i="9"/>
  <c r="W148" i="9"/>
  <c r="W147" i="9"/>
  <c r="W146" i="9"/>
  <c r="W145" i="9"/>
  <c r="W144" i="9"/>
  <c r="W143" i="9"/>
  <c r="W142" i="9"/>
  <c r="W141" i="9"/>
  <c r="W140" i="9"/>
  <c r="W139" i="9"/>
  <c r="W138" i="9"/>
  <c r="W137" i="9"/>
  <c r="W136" i="9"/>
  <c r="W135" i="9"/>
  <c r="W134" i="9"/>
  <c r="W133" i="9"/>
  <c r="W132" i="9"/>
  <c r="W131" i="9"/>
  <c r="W130" i="9"/>
  <c r="W129" i="9"/>
  <c r="W128" i="9"/>
  <c r="W127" i="9"/>
  <c r="W126" i="9"/>
  <c r="W125" i="9"/>
  <c r="W124" i="9"/>
  <c r="W123" i="9"/>
  <c r="W122" i="9"/>
  <c r="W121" i="9"/>
  <c r="W120" i="9"/>
  <c r="W119" i="9"/>
  <c r="W118" i="9"/>
  <c r="W117" i="9"/>
  <c r="W116" i="9"/>
  <c r="W115" i="9"/>
  <c r="W114" i="9"/>
  <c r="W113" i="9"/>
  <c r="W112" i="9"/>
  <c r="W111" i="9"/>
  <c r="W110" i="9"/>
  <c r="W109" i="9"/>
  <c r="W108" i="9"/>
  <c r="W107" i="9"/>
  <c r="W106" i="9"/>
  <c r="W105" i="9"/>
  <c r="W104" i="9"/>
  <c r="W103" i="9"/>
  <c r="W102" i="9"/>
  <c r="W101" i="9"/>
  <c r="W100" i="9"/>
  <c r="W99" i="9"/>
  <c r="W98" i="9"/>
  <c r="W97" i="9"/>
  <c r="W96" i="9"/>
  <c r="W95" i="9"/>
  <c r="W94" i="9"/>
  <c r="W93" i="9"/>
  <c r="W92" i="9"/>
  <c r="W91" i="9"/>
  <c r="W90" i="9"/>
  <c r="W89" i="9"/>
  <c r="W88" i="9"/>
  <c r="W87" i="9"/>
  <c r="W86" i="9"/>
  <c r="W85" i="9"/>
  <c r="W84" i="9"/>
  <c r="W83" i="9"/>
  <c r="W82" i="9"/>
  <c r="W81" i="9"/>
  <c r="W80" i="9"/>
  <c r="W79" i="9"/>
  <c r="W78" i="9"/>
  <c r="W77" i="9"/>
  <c r="W76" i="9"/>
  <c r="W75" i="9"/>
  <c r="W74" i="9"/>
  <c r="W73" i="9"/>
  <c r="W72" i="9"/>
  <c r="W71" i="9"/>
  <c r="W70" i="9"/>
  <c r="W69" i="9"/>
  <c r="W68" i="9"/>
  <c r="W67" i="9"/>
  <c r="W66" i="9"/>
  <c r="W65" i="9"/>
  <c r="W64" i="9"/>
  <c r="W63" i="9"/>
  <c r="W62" i="9"/>
  <c r="W61" i="9"/>
  <c r="W60" i="9"/>
  <c r="W59" i="9"/>
  <c r="W58" i="9"/>
  <c r="W57" i="9"/>
  <c r="W56" i="9"/>
  <c r="W55" i="9"/>
  <c r="W54" i="9"/>
  <c r="W53" i="9"/>
  <c r="W52" i="9"/>
  <c r="W51" i="9"/>
  <c r="W50" i="9"/>
  <c r="W49" i="9"/>
  <c r="W48" i="9"/>
  <c r="W47" i="9"/>
  <c r="W46" i="9"/>
  <c r="W45" i="9"/>
  <c r="W44" i="9"/>
  <c r="W43" i="9"/>
  <c r="W42" i="9"/>
  <c r="W41" i="9"/>
  <c r="W40" i="9"/>
  <c r="W39" i="9"/>
  <c r="W38" i="9"/>
  <c r="W37" i="9"/>
  <c r="W36" i="9"/>
  <c r="W35" i="9"/>
  <c r="W34" i="9"/>
  <c r="W33" i="9"/>
  <c r="W32" i="9"/>
  <c r="W31" i="9"/>
  <c r="W30" i="9"/>
  <c r="W29" i="9"/>
  <c r="W28" i="9"/>
  <c r="W27" i="9"/>
  <c r="W26" i="9"/>
  <c r="W25" i="9"/>
  <c r="W24" i="9"/>
  <c r="W23" i="9"/>
  <c r="W22" i="9"/>
  <c r="W21" i="9"/>
  <c r="W20" i="9"/>
  <c r="W19" i="9"/>
  <c r="W18" i="9"/>
  <c r="W17" i="9"/>
  <c r="W16" i="9"/>
  <c r="W15" i="9"/>
  <c r="W14" i="9"/>
  <c r="W13" i="9"/>
  <c r="W12" i="9"/>
  <c r="W11" i="9"/>
  <c r="W10" i="9"/>
  <c r="W9" i="9"/>
  <c r="W8" i="9"/>
  <c r="W7" i="9"/>
  <c r="W6" i="9"/>
  <c r="W5" i="9"/>
  <c r="W4" i="9"/>
  <c r="W3" i="9"/>
  <c r="W2" i="9"/>
  <c r="AR17" i="3"/>
  <c r="AP17" i="3"/>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 i="7"/>
  <c r="AA6" i="3"/>
  <c r="AN6" i="3" s="1"/>
  <c r="AA7" i="3"/>
  <c r="AN7" i="3" s="1"/>
  <c r="AA8" i="3"/>
  <c r="AN8" i="3" s="1"/>
  <c r="AA9" i="3"/>
  <c r="AN9" i="3" s="1"/>
  <c r="AA10" i="3"/>
  <c r="AN10" i="3" s="1"/>
  <c r="AA11" i="3"/>
  <c r="AN11" i="3" s="1"/>
  <c r="AA12" i="3"/>
  <c r="AN12" i="3" s="1"/>
  <c r="AA13" i="3"/>
  <c r="AN13" i="3" s="1"/>
  <c r="AA14" i="3"/>
  <c r="AN14" i="3" s="1"/>
  <c r="AA15" i="3"/>
  <c r="AN15" i="3" s="1"/>
  <c r="AA16" i="3"/>
  <c r="AN16" i="3" s="1"/>
  <c r="AA17" i="3"/>
  <c r="AN17" i="3" s="1"/>
  <c r="AA18" i="3"/>
  <c r="AN18" i="3" s="1"/>
  <c r="AA19" i="3"/>
  <c r="AN19" i="3" s="1"/>
  <c r="AA20" i="3"/>
  <c r="AN20" i="3" s="1"/>
  <c r="AA21" i="3"/>
  <c r="AN21" i="3" s="1"/>
  <c r="AA22" i="3"/>
  <c r="AN22" i="3" s="1"/>
  <c r="AA23" i="3"/>
  <c r="AN23" i="3" s="1"/>
  <c r="AA24" i="3"/>
  <c r="AN24" i="3" s="1"/>
  <c r="AA25" i="3"/>
  <c r="AN25" i="3" s="1"/>
  <c r="AA26" i="3"/>
  <c r="AN26" i="3" s="1"/>
  <c r="AA27" i="3"/>
  <c r="AN27" i="3" s="1"/>
  <c r="AA28" i="3"/>
  <c r="AN28" i="3" s="1"/>
  <c r="AA29" i="3"/>
  <c r="AN29" i="3" s="1"/>
  <c r="AA30" i="3"/>
  <c r="AN30" i="3" s="1"/>
  <c r="AA31" i="3"/>
  <c r="AN31" i="3" s="1"/>
  <c r="AA32" i="3"/>
  <c r="AN32" i="3" s="1"/>
  <c r="AA33" i="3"/>
  <c r="AN33" i="3" s="1"/>
  <c r="AA34" i="3"/>
  <c r="AN34" i="3" s="1"/>
  <c r="AA35" i="3"/>
  <c r="AN35" i="3" s="1"/>
  <c r="AA36" i="3"/>
  <c r="AN36" i="3" s="1"/>
  <c r="AA37" i="3"/>
  <c r="AN37" i="3" s="1"/>
  <c r="AA38" i="3"/>
  <c r="AN38" i="3" s="1"/>
  <c r="AA39" i="3"/>
  <c r="AN39" i="3" s="1"/>
  <c r="AA40" i="3"/>
  <c r="AN40" i="3" s="1"/>
  <c r="AA41" i="3"/>
  <c r="AN41" i="3" s="1"/>
  <c r="AA42" i="3"/>
  <c r="AN42" i="3" s="1"/>
  <c r="AA43" i="3"/>
  <c r="AN43" i="3" s="1"/>
  <c r="AA44" i="3"/>
  <c r="AN44" i="3" s="1"/>
  <c r="AA45" i="3"/>
  <c r="AN45" i="3" s="1"/>
  <c r="AA46" i="3"/>
  <c r="AN46" i="3" s="1"/>
  <c r="AA47" i="3"/>
  <c r="AN47" i="3" s="1"/>
  <c r="AA48" i="3"/>
  <c r="AN48" i="3" s="1"/>
  <c r="AA49" i="3"/>
  <c r="AN49" i="3" s="1"/>
  <c r="AA50" i="3"/>
  <c r="AN50" i="3" s="1"/>
  <c r="AA51" i="3"/>
  <c r="AN51" i="3" s="1"/>
  <c r="AA52" i="3"/>
  <c r="AN52" i="3" s="1"/>
  <c r="AA53" i="3"/>
  <c r="AN53" i="3" s="1"/>
  <c r="AA54" i="3"/>
  <c r="AN54" i="3" s="1"/>
  <c r="AA55" i="3"/>
  <c r="AN55" i="3" s="1"/>
  <c r="AA56" i="3"/>
  <c r="AN56" i="3" s="1"/>
  <c r="AA57" i="3"/>
  <c r="AN57" i="3" s="1"/>
  <c r="AA58" i="3"/>
  <c r="AN58" i="3" s="1"/>
  <c r="AA59" i="3"/>
  <c r="AN59" i="3" s="1"/>
  <c r="AA60" i="3"/>
  <c r="AN60" i="3" s="1"/>
  <c r="AA61" i="3"/>
  <c r="AN61" i="3" s="1"/>
  <c r="AA62" i="3"/>
  <c r="AN62" i="3" s="1"/>
  <c r="AA63" i="3"/>
  <c r="AN63" i="3" s="1"/>
  <c r="AA64" i="3"/>
  <c r="AN64" i="3" s="1"/>
  <c r="AA65" i="3"/>
  <c r="AN65" i="3" s="1"/>
  <c r="AA66" i="3"/>
  <c r="AN66" i="3" s="1"/>
  <c r="AA67" i="3"/>
  <c r="AN67" i="3" s="1"/>
  <c r="AA68" i="3"/>
  <c r="AN68" i="3" s="1"/>
  <c r="AA69" i="3"/>
  <c r="AN69" i="3" s="1"/>
  <c r="AA70" i="3"/>
  <c r="AN70" i="3" s="1"/>
  <c r="AA71" i="3"/>
  <c r="AN71" i="3" s="1"/>
  <c r="AA72" i="3"/>
  <c r="AN72" i="3" s="1"/>
  <c r="AA73" i="3"/>
  <c r="AN73" i="3" s="1"/>
  <c r="AA74" i="3"/>
  <c r="AN74" i="3" s="1"/>
  <c r="AA75" i="3"/>
  <c r="AN75" i="3" s="1"/>
  <c r="AA76" i="3"/>
  <c r="AN76" i="3" s="1"/>
  <c r="AA77" i="3"/>
  <c r="AN77" i="3" s="1"/>
  <c r="AA78" i="3"/>
  <c r="AN78" i="3" s="1"/>
  <c r="AA79" i="3"/>
  <c r="AN79" i="3" s="1"/>
  <c r="AA80" i="3"/>
  <c r="AN80" i="3" s="1"/>
  <c r="AA81" i="3"/>
  <c r="AN81" i="3" s="1"/>
  <c r="AA82" i="3"/>
  <c r="AN82" i="3" s="1"/>
  <c r="AA83" i="3"/>
  <c r="AN83" i="3" s="1"/>
  <c r="AA84" i="3"/>
  <c r="AN84" i="3" s="1"/>
  <c r="AA85" i="3"/>
  <c r="AN85" i="3" s="1"/>
  <c r="AA86" i="3"/>
  <c r="AN86" i="3" s="1"/>
  <c r="AA87" i="3"/>
  <c r="AN87" i="3" s="1"/>
  <c r="AA88" i="3"/>
  <c r="AN88" i="3" s="1"/>
  <c r="AA89" i="3"/>
  <c r="AN89" i="3" s="1"/>
  <c r="AA90" i="3"/>
  <c r="AN90" i="3" s="1"/>
  <c r="AA91" i="3"/>
  <c r="AN91" i="3" s="1"/>
  <c r="AA92" i="3"/>
  <c r="AN92" i="3" s="1"/>
  <c r="AA93" i="3"/>
  <c r="AN93" i="3" s="1"/>
  <c r="AA94" i="3"/>
  <c r="AN94" i="3" s="1"/>
  <c r="AA95" i="3"/>
  <c r="AN95" i="3" s="1"/>
  <c r="AA96" i="3"/>
  <c r="AN96" i="3" s="1"/>
  <c r="AA97" i="3"/>
  <c r="AN97" i="3" s="1"/>
  <c r="AA98" i="3"/>
  <c r="AN98" i="3" s="1"/>
  <c r="AA99" i="3"/>
  <c r="AN99" i="3" s="1"/>
  <c r="AA100" i="3"/>
  <c r="AN100" i="3" s="1"/>
  <c r="AA101" i="3"/>
  <c r="AN101" i="3" s="1"/>
  <c r="AA102" i="3"/>
  <c r="AN102" i="3" s="1"/>
  <c r="AA103" i="3"/>
  <c r="AN103" i="3" s="1"/>
  <c r="AA104" i="3"/>
  <c r="AN104" i="3" s="1"/>
  <c r="AA105" i="3"/>
  <c r="AN105" i="3" s="1"/>
  <c r="AA106" i="3"/>
  <c r="AN106" i="3" s="1"/>
  <c r="AA107" i="3"/>
  <c r="AN107" i="3" s="1"/>
  <c r="AA108" i="3"/>
  <c r="AN108" i="3" s="1"/>
  <c r="AA109" i="3"/>
  <c r="AN109" i="3" s="1"/>
  <c r="AA110" i="3"/>
  <c r="AN110" i="3" s="1"/>
  <c r="AA111" i="3"/>
  <c r="AN111" i="3" s="1"/>
  <c r="AA112" i="3"/>
  <c r="AN112" i="3" s="1"/>
  <c r="AA113" i="3"/>
  <c r="AN113" i="3" s="1"/>
  <c r="AA114" i="3"/>
  <c r="AN114" i="3" s="1"/>
  <c r="AA115" i="3"/>
  <c r="AN115" i="3" s="1"/>
  <c r="AA116" i="3"/>
  <c r="AN116" i="3" s="1"/>
  <c r="AA117" i="3"/>
  <c r="AN117" i="3" s="1"/>
  <c r="AA118" i="3"/>
  <c r="AN118" i="3" s="1"/>
  <c r="AA119" i="3"/>
  <c r="AN119" i="3" s="1"/>
  <c r="AA120" i="3"/>
  <c r="AN120" i="3" s="1"/>
  <c r="AA121" i="3"/>
  <c r="AN121" i="3" s="1"/>
  <c r="AA122" i="3"/>
  <c r="AN122" i="3" s="1"/>
  <c r="AA123" i="3"/>
  <c r="AN123" i="3" s="1"/>
  <c r="AA124" i="3"/>
  <c r="AN124" i="3" s="1"/>
  <c r="AA125" i="3"/>
  <c r="AN125" i="3" s="1"/>
  <c r="AA126" i="3"/>
  <c r="AN126" i="3" s="1"/>
  <c r="AA127" i="3"/>
  <c r="AN127" i="3" s="1"/>
  <c r="AA128" i="3"/>
  <c r="AN128" i="3" s="1"/>
  <c r="AA129" i="3"/>
  <c r="AN129" i="3" s="1"/>
  <c r="AA130" i="3"/>
  <c r="AN130" i="3" s="1"/>
  <c r="AA131" i="3"/>
  <c r="AN131" i="3" s="1"/>
  <c r="AA132" i="3"/>
  <c r="AN132" i="3" s="1"/>
  <c r="AA133" i="3"/>
  <c r="AN133" i="3" s="1"/>
  <c r="AA134" i="3"/>
  <c r="AN134" i="3" s="1"/>
  <c r="AA135" i="3"/>
  <c r="AN135" i="3" s="1"/>
  <c r="AA136" i="3"/>
  <c r="AN136" i="3" s="1"/>
  <c r="AA137" i="3"/>
  <c r="AN137" i="3" s="1"/>
  <c r="AA138" i="3"/>
  <c r="AN138" i="3" s="1"/>
  <c r="AA139" i="3"/>
  <c r="AN139" i="3" s="1"/>
  <c r="AA140" i="3"/>
  <c r="AN140" i="3" s="1"/>
  <c r="AA141" i="3"/>
  <c r="AN141" i="3" s="1"/>
  <c r="AA142" i="3"/>
  <c r="AN142" i="3" s="1"/>
  <c r="AA143" i="3"/>
  <c r="AN143" i="3" s="1"/>
  <c r="AA144" i="3"/>
  <c r="AN144" i="3" s="1"/>
  <c r="AA145" i="3"/>
  <c r="AN145" i="3" s="1"/>
  <c r="AA146" i="3"/>
  <c r="AN146" i="3" s="1"/>
  <c r="AA147" i="3"/>
  <c r="AN147" i="3" s="1"/>
  <c r="AA148" i="3"/>
  <c r="AN148" i="3" s="1"/>
  <c r="AA149" i="3"/>
  <c r="AN149" i="3" s="1"/>
  <c r="AA150" i="3"/>
  <c r="AN150" i="3" s="1"/>
  <c r="AA151" i="3"/>
  <c r="AN151" i="3" s="1"/>
  <c r="AA152" i="3"/>
  <c r="AN152" i="3" s="1"/>
  <c r="AA153" i="3"/>
  <c r="AN153" i="3" s="1"/>
  <c r="AA154" i="3"/>
  <c r="AN154" i="3" s="1"/>
  <c r="AA155" i="3"/>
  <c r="AN155" i="3" s="1"/>
  <c r="AA156" i="3"/>
  <c r="AN156" i="3" s="1"/>
  <c r="AA157" i="3"/>
  <c r="AN157" i="3" s="1"/>
  <c r="AA158" i="3"/>
  <c r="AN158" i="3" s="1"/>
  <c r="AA159" i="3"/>
  <c r="AN159" i="3" s="1"/>
  <c r="AA160" i="3"/>
  <c r="AN160" i="3" s="1"/>
  <c r="AA161" i="3"/>
  <c r="AN161" i="3" s="1"/>
  <c r="AA162" i="3"/>
  <c r="AN162" i="3" s="1"/>
  <c r="AA163" i="3"/>
  <c r="AN163" i="3" s="1"/>
  <c r="AA164" i="3"/>
  <c r="AN164" i="3" s="1"/>
  <c r="AA165" i="3"/>
  <c r="AN165" i="3" s="1"/>
  <c r="AA166" i="3"/>
  <c r="AN166" i="3" s="1"/>
  <c r="AA167" i="3"/>
  <c r="AN167" i="3" s="1"/>
  <c r="AA168" i="3"/>
  <c r="AN168" i="3" s="1"/>
  <c r="AA169" i="3"/>
  <c r="AN169" i="3" s="1"/>
  <c r="AA170" i="3"/>
  <c r="AN170" i="3" s="1"/>
  <c r="AA171" i="3"/>
  <c r="AN171" i="3" s="1"/>
  <c r="AA172" i="3"/>
  <c r="AN172" i="3" s="1"/>
  <c r="AA173" i="3"/>
  <c r="AN173" i="3" s="1"/>
  <c r="AA174" i="3"/>
  <c r="AN174" i="3" s="1"/>
  <c r="AA175" i="3"/>
  <c r="AN175" i="3" s="1"/>
  <c r="AA176" i="3"/>
  <c r="AN176" i="3" s="1"/>
  <c r="AA177" i="3"/>
  <c r="AN177" i="3" s="1"/>
  <c r="AA178" i="3"/>
  <c r="AN178" i="3" s="1"/>
  <c r="AA179" i="3"/>
  <c r="AN179" i="3" s="1"/>
  <c r="AA180" i="3"/>
  <c r="AN180" i="3" s="1"/>
  <c r="AA181" i="3"/>
  <c r="AN181" i="3" s="1"/>
  <c r="AA182" i="3"/>
  <c r="AN182" i="3" s="1"/>
  <c r="AA183" i="3"/>
  <c r="AN183" i="3" s="1"/>
  <c r="AA184" i="3"/>
  <c r="AN184" i="3" s="1"/>
  <c r="AA185" i="3"/>
  <c r="AN185" i="3" s="1"/>
  <c r="AA186" i="3"/>
  <c r="AN186" i="3" s="1"/>
  <c r="AA187" i="3"/>
  <c r="AN187" i="3" s="1"/>
  <c r="AA188" i="3"/>
  <c r="AN188" i="3" s="1"/>
  <c r="AA189" i="3"/>
  <c r="AN189" i="3" s="1"/>
  <c r="AA190" i="3"/>
  <c r="AN190" i="3" s="1"/>
  <c r="AA191" i="3"/>
  <c r="AN191" i="3" s="1"/>
  <c r="AA192" i="3"/>
  <c r="AN192" i="3" s="1"/>
  <c r="AA193" i="3"/>
  <c r="AN193" i="3" s="1"/>
  <c r="AA194" i="3"/>
  <c r="AN194" i="3" s="1"/>
  <c r="AA195" i="3"/>
  <c r="AN195" i="3" s="1"/>
  <c r="AA196" i="3"/>
  <c r="AN196" i="3" s="1"/>
  <c r="AA197" i="3"/>
  <c r="AN197" i="3" s="1"/>
  <c r="AA198" i="3"/>
  <c r="AN198" i="3" s="1"/>
  <c r="AA199" i="3"/>
  <c r="AN199" i="3" s="1"/>
  <c r="AA200" i="3"/>
  <c r="AN200" i="3" s="1"/>
  <c r="AA201" i="3"/>
  <c r="AN201" i="3" s="1"/>
  <c r="AA202" i="3"/>
  <c r="AN202" i="3" s="1"/>
  <c r="AA203" i="3"/>
  <c r="AN203" i="3" s="1"/>
  <c r="AA204" i="3"/>
  <c r="AN204" i="3" s="1"/>
  <c r="AA5" i="3"/>
  <c r="AN5" i="3" s="1"/>
  <c r="P5" i="3"/>
  <c r="AC5" i="3" s="1"/>
  <c r="Q5" i="3"/>
  <c r="AD5" i="3" s="1"/>
  <c r="P6" i="3"/>
  <c r="AC6" i="3" s="1"/>
  <c r="Q6" i="3"/>
  <c r="AD6" i="3" s="1"/>
  <c r="P7" i="3"/>
  <c r="AC7" i="3" s="1"/>
  <c r="Q7" i="3"/>
  <c r="AD7" i="3" s="1"/>
  <c r="P8" i="3"/>
  <c r="AC8" i="3" s="1"/>
  <c r="Q8" i="3"/>
  <c r="AD8" i="3" s="1"/>
  <c r="P9" i="3"/>
  <c r="AC9" i="3" s="1"/>
  <c r="Q9" i="3"/>
  <c r="AD9" i="3" s="1"/>
  <c r="P10" i="3"/>
  <c r="AC10" i="3" s="1"/>
  <c r="Q10" i="3"/>
  <c r="AD10" i="3" s="1"/>
  <c r="P11" i="3"/>
  <c r="AC11" i="3" s="1"/>
  <c r="Q11" i="3"/>
  <c r="AD11" i="3" s="1"/>
  <c r="P12" i="3"/>
  <c r="AC12" i="3" s="1"/>
  <c r="Q12" i="3"/>
  <c r="AD12" i="3" s="1"/>
  <c r="P13" i="3"/>
  <c r="AC13" i="3" s="1"/>
  <c r="Q13" i="3"/>
  <c r="AD13" i="3" s="1"/>
  <c r="P14" i="3"/>
  <c r="AC14" i="3" s="1"/>
  <c r="Q14" i="3"/>
  <c r="AD14" i="3" s="1"/>
  <c r="P15" i="3"/>
  <c r="AC15" i="3" s="1"/>
  <c r="Q15" i="3"/>
  <c r="AD15" i="3" s="1"/>
  <c r="P16" i="3"/>
  <c r="AC16" i="3" s="1"/>
  <c r="Q16" i="3"/>
  <c r="AD16" i="3" s="1"/>
  <c r="P17" i="3"/>
  <c r="AC17" i="3" s="1"/>
  <c r="Q17" i="3"/>
  <c r="AD17" i="3" s="1"/>
  <c r="P18" i="3"/>
  <c r="AC18" i="3" s="1"/>
  <c r="Q18" i="3"/>
  <c r="AD18" i="3" s="1"/>
  <c r="P19" i="3"/>
  <c r="AC19" i="3" s="1"/>
  <c r="Q19" i="3"/>
  <c r="AD19" i="3" s="1"/>
  <c r="P20" i="3"/>
  <c r="AC20" i="3" s="1"/>
  <c r="Q20" i="3"/>
  <c r="AD20" i="3" s="1"/>
  <c r="P21" i="3"/>
  <c r="AC21" i="3" s="1"/>
  <c r="Q21" i="3"/>
  <c r="AD21" i="3" s="1"/>
  <c r="P22" i="3"/>
  <c r="AC22" i="3" s="1"/>
  <c r="Q22" i="3"/>
  <c r="AD22" i="3" s="1"/>
  <c r="P23" i="3"/>
  <c r="AC23" i="3" s="1"/>
  <c r="Q23" i="3"/>
  <c r="AD23" i="3" s="1"/>
  <c r="P24" i="3"/>
  <c r="AC24" i="3" s="1"/>
  <c r="Q24" i="3"/>
  <c r="AD24" i="3" s="1"/>
  <c r="P25" i="3"/>
  <c r="AC25" i="3" s="1"/>
  <c r="Q25" i="3"/>
  <c r="AD25" i="3" s="1"/>
  <c r="P26" i="3"/>
  <c r="AC26" i="3" s="1"/>
  <c r="Q26" i="3"/>
  <c r="AD26" i="3" s="1"/>
  <c r="P27" i="3"/>
  <c r="AC27" i="3" s="1"/>
  <c r="Q27" i="3"/>
  <c r="AD27" i="3" s="1"/>
  <c r="P28" i="3"/>
  <c r="AC28" i="3" s="1"/>
  <c r="Q28" i="3"/>
  <c r="AD28" i="3" s="1"/>
  <c r="P29" i="3"/>
  <c r="AC29" i="3" s="1"/>
  <c r="Q29" i="3"/>
  <c r="AD29" i="3" s="1"/>
  <c r="P30" i="3"/>
  <c r="AC30" i="3" s="1"/>
  <c r="Q30" i="3"/>
  <c r="AD30" i="3" s="1"/>
  <c r="P31" i="3"/>
  <c r="AC31" i="3" s="1"/>
  <c r="Q31" i="3"/>
  <c r="AD31" i="3" s="1"/>
  <c r="P32" i="3"/>
  <c r="AC32" i="3" s="1"/>
  <c r="Q32" i="3"/>
  <c r="AD32" i="3" s="1"/>
  <c r="P33" i="3"/>
  <c r="AC33" i="3" s="1"/>
  <c r="Q33" i="3"/>
  <c r="AD33" i="3" s="1"/>
  <c r="P34" i="3"/>
  <c r="AC34" i="3" s="1"/>
  <c r="Q34" i="3"/>
  <c r="AD34" i="3" s="1"/>
  <c r="P35" i="3"/>
  <c r="AC35" i="3" s="1"/>
  <c r="Q35" i="3"/>
  <c r="AD35" i="3" s="1"/>
  <c r="P36" i="3"/>
  <c r="AC36" i="3" s="1"/>
  <c r="Q36" i="3"/>
  <c r="AD36" i="3" s="1"/>
  <c r="P37" i="3"/>
  <c r="AC37" i="3" s="1"/>
  <c r="Q37" i="3"/>
  <c r="AD37" i="3" s="1"/>
  <c r="P38" i="3"/>
  <c r="AC38" i="3" s="1"/>
  <c r="Q38" i="3"/>
  <c r="AD38" i="3" s="1"/>
  <c r="P39" i="3"/>
  <c r="AC39" i="3" s="1"/>
  <c r="Q39" i="3"/>
  <c r="AD39" i="3" s="1"/>
  <c r="P40" i="3"/>
  <c r="AC40" i="3" s="1"/>
  <c r="Q40" i="3"/>
  <c r="AD40" i="3" s="1"/>
  <c r="P41" i="3"/>
  <c r="AC41" i="3" s="1"/>
  <c r="Q41" i="3"/>
  <c r="AD41" i="3" s="1"/>
  <c r="P42" i="3"/>
  <c r="AC42" i="3" s="1"/>
  <c r="Q42" i="3"/>
  <c r="AD42" i="3" s="1"/>
  <c r="P43" i="3"/>
  <c r="AC43" i="3" s="1"/>
  <c r="Q43" i="3"/>
  <c r="AD43" i="3" s="1"/>
  <c r="P44" i="3"/>
  <c r="AC44" i="3" s="1"/>
  <c r="Q44" i="3"/>
  <c r="AD44" i="3" s="1"/>
  <c r="P45" i="3"/>
  <c r="AC45" i="3" s="1"/>
  <c r="Q45" i="3"/>
  <c r="AD45" i="3" s="1"/>
  <c r="P46" i="3"/>
  <c r="AC46" i="3" s="1"/>
  <c r="Q46" i="3"/>
  <c r="AD46" i="3" s="1"/>
  <c r="P47" i="3"/>
  <c r="AC47" i="3" s="1"/>
  <c r="Q47" i="3"/>
  <c r="AD47" i="3" s="1"/>
  <c r="P48" i="3"/>
  <c r="AC48" i="3" s="1"/>
  <c r="Q48" i="3"/>
  <c r="AD48" i="3" s="1"/>
  <c r="P49" i="3"/>
  <c r="AC49" i="3" s="1"/>
  <c r="Q49" i="3"/>
  <c r="AD49" i="3" s="1"/>
  <c r="P50" i="3"/>
  <c r="AC50" i="3" s="1"/>
  <c r="Q50" i="3"/>
  <c r="AD50" i="3" s="1"/>
  <c r="P51" i="3"/>
  <c r="AC51" i="3" s="1"/>
  <c r="Q51" i="3"/>
  <c r="AD51" i="3" s="1"/>
  <c r="P52" i="3"/>
  <c r="AC52" i="3" s="1"/>
  <c r="Q52" i="3"/>
  <c r="AD52" i="3" s="1"/>
  <c r="P53" i="3"/>
  <c r="AC53" i="3" s="1"/>
  <c r="Q53" i="3"/>
  <c r="AD53" i="3" s="1"/>
  <c r="P54" i="3"/>
  <c r="AC54" i="3" s="1"/>
  <c r="Q54" i="3"/>
  <c r="AD54" i="3" s="1"/>
  <c r="P55" i="3"/>
  <c r="AC55" i="3" s="1"/>
  <c r="Q55" i="3"/>
  <c r="AD55" i="3" s="1"/>
  <c r="P56" i="3"/>
  <c r="AC56" i="3" s="1"/>
  <c r="Q56" i="3"/>
  <c r="AD56" i="3" s="1"/>
  <c r="P57" i="3"/>
  <c r="AC57" i="3" s="1"/>
  <c r="Q57" i="3"/>
  <c r="AD57" i="3" s="1"/>
  <c r="P58" i="3"/>
  <c r="AC58" i="3" s="1"/>
  <c r="Q58" i="3"/>
  <c r="AD58" i="3" s="1"/>
  <c r="P59" i="3"/>
  <c r="AC59" i="3" s="1"/>
  <c r="Q59" i="3"/>
  <c r="AD59" i="3" s="1"/>
  <c r="P60" i="3"/>
  <c r="AC60" i="3" s="1"/>
  <c r="Q60" i="3"/>
  <c r="AD60" i="3" s="1"/>
  <c r="P61" i="3"/>
  <c r="AC61" i="3" s="1"/>
  <c r="Q61" i="3"/>
  <c r="AD61" i="3" s="1"/>
  <c r="P62" i="3"/>
  <c r="AC62" i="3" s="1"/>
  <c r="Q62" i="3"/>
  <c r="AD62" i="3" s="1"/>
  <c r="P63" i="3"/>
  <c r="AC63" i="3" s="1"/>
  <c r="Q63" i="3"/>
  <c r="AD63" i="3" s="1"/>
  <c r="P64" i="3"/>
  <c r="AC64" i="3" s="1"/>
  <c r="Q64" i="3"/>
  <c r="AD64" i="3" s="1"/>
  <c r="P65" i="3"/>
  <c r="AC65" i="3" s="1"/>
  <c r="Q65" i="3"/>
  <c r="AD65" i="3" s="1"/>
  <c r="P66" i="3"/>
  <c r="AC66" i="3" s="1"/>
  <c r="Q66" i="3"/>
  <c r="AD66" i="3" s="1"/>
  <c r="P67" i="3"/>
  <c r="AC67" i="3" s="1"/>
  <c r="Q67" i="3"/>
  <c r="AD67" i="3" s="1"/>
  <c r="P68" i="3"/>
  <c r="AC68" i="3" s="1"/>
  <c r="Q68" i="3"/>
  <c r="AD68" i="3" s="1"/>
  <c r="P69" i="3"/>
  <c r="AC69" i="3" s="1"/>
  <c r="Q69" i="3"/>
  <c r="AD69" i="3" s="1"/>
  <c r="P70" i="3"/>
  <c r="AC70" i="3" s="1"/>
  <c r="Q70" i="3"/>
  <c r="AD70" i="3" s="1"/>
  <c r="P71" i="3"/>
  <c r="AC71" i="3" s="1"/>
  <c r="Q71" i="3"/>
  <c r="AD71" i="3" s="1"/>
  <c r="P72" i="3"/>
  <c r="AC72" i="3" s="1"/>
  <c r="Q72" i="3"/>
  <c r="AD72" i="3" s="1"/>
  <c r="P73" i="3"/>
  <c r="AC73" i="3" s="1"/>
  <c r="Q73" i="3"/>
  <c r="AD73" i="3" s="1"/>
  <c r="P74" i="3"/>
  <c r="AC74" i="3" s="1"/>
  <c r="Q74" i="3"/>
  <c r="AD74" i="3" s="1"/>
  <c r="P75" i="3"/>
  <c r="AC75" i="3" s="1"/>
  <c r="Q75" i="3"/>
  <c r="AD75" i="3" s="1"/>
  <c r="P76" i="3"/>
  <c r="AC76" i="3" s="1"/>
  <c r="Q76" i="3"/>
  <c r="AD76" i="3" s="1"/>
  <c r="P77" i="3"/>
  <c r="AC77" i="3" s="1"/>
  <c r="Q77" i="3"/>
  <c r="AD77" i="3" s="1"/>
  <c r="P78" i="3"/>
  <c r="AC78" i="3" s="1"/>
  <c r="Q78" i="3"/>
  <c r="AD78" i="3" s="1"/>
  <c r="P79" i="3"/>
  <c r="AC79" i="3" s="1"/>
  <c r="Q79" i="3"/>
  <c r="AD79" i="3" s="1"/>
  <c r="P80" i="3"/>
  <c r="AC80" i="3" s="1"/>
  <c r="Q80" i="3"/>
  <c r="AD80" i="3" s="1"/>
  <c r="P81" i="3"/>
  <c r="AC81" i="3" s="1"/>
  <c r="Q81" i="3"/>
  <c r="AD81" i="3" s="1"/>
  <c r="P82" i="3"/>
  <c r="AC82" i="3" s="1"/>
  <c r="Q82" i="3"/>
  <c r="AD82" i="3" s="1"/>
  <c r="P83" i="3"/>
  <c r="AC83" i="3" s="1"/>
  <c r="Q83" i="3"/>
  <c r="AD83" i="3" s="1"/>
  <c r="P84" i="3"/>
  <c r="AC84" i="3" s="1"/>
  <c r="Q84" i="3"/>
  <c r="AD84" i="3" s="1"/>
  <c r="P85" i="3"/>
  <c r="AC85" i="3" s="1"/>
  <c r="Q85" i="3"/>
  <c r="AD85" i="3" s="1"/>
  <c r="P86" i="3"/>
  <c r="AC86" i="3" s="1"/>
  <c r="Q86" i="3"/>
  <c r="AD86" i="3" s="1"/>
  <c r="P87" i="3"/>
  <c r="AC87" i="3" s="1"/>
  <c r="Q87" i="3"/>
  <c r="AD87" i="3" s="1"/>
  <c r="P88" i="3"/>
  <c r="AC88" i="3" s="1"/>
  <c r="Q88" i="3"/>
  <c r="AD88" i="3" s="1"/>
  <c r="P89" i="3"/>
  <c r="AC89" i="3" s="1"/>
  <c r="Q89" i="3"/>
  <c r="AD89" i="3" s="1"/>
  <c r="P90" i="3"/>
  <c r="AC90" i="3" s="1"/>
  <c r="Q90" i="3"/>
  <c r="AD90" i="3" s="1"/>
  <c r="P91" i="3"/>
  <c r="AC91" i="3" s="1"/>
  <c r="Q91" i="3"/>
  <c r="AD91" i="3" s="1"/>
  <c r="P92" i="3"/>
  <c r="AC92" i="3" s="1"/>
  <c r="Q92" i="3"/>
  <c r="AD92" i="3" s="1"/>
  <c r="P93" i="3"/>
  <c r="AC93" i="3" s="1"/>
  <c r="Q93" i="3"/>
  <c r="AD93" i="3" s="1"/>
  <c r="P94" i="3"/>
  <c r="AC94" i="3" s="1"/>
  <c r="Q94" i="3"/>
  <c r="AD94" i="3" s="1"/>
  <c r="P95" i="3"/>
  <c r="AC95" i="3" s="1"/>
  <c r="Q95" i="3"/>
  <c r="AD95" i="3" s="1"/>
  <c r="P96" i="3"/>
  <c r="AC96" i="3" s="1"/>
  <c r="Q96" i="3"/>
  <c r="AD96" i="3" s="1"/>
  <c r="P97" i="3"/>
  <c r="AC97" i="3" s="1"/>
  <c r="Q97" i="3"/>
  <c r="AD97" i="3" s="1"/>
  <c r="P98" i="3"/>
  <c r="AC98" i="3" s="1"/>
  <c r="Q98" i="3"/>
  <c r="AD98" i="3" s="1"/>
  <c r="P99" i="3"/>
  <c r="AC99" i="3" s="1"/>
  <c r="Q99" i="3"/>
  <c r="AD99" i="3" s="1"/>
  <c r="P100" i="3"/>
  <c r="AC100" i="3" s="1"/>
  <c r="Q100" i="3"/>
  <c r="AD100" i="3" s="1"/>
  <c r="P101" i="3"/>
  <c r="AC101" i="3" s="1"/>
  <c r="Q101" i="3"/>
  <c r="AD101" i="3" s="1"/>
  <c r="P102" i="3"/>
  <c r="AC102" i="3" s="1"/>
  <c r="Q102" i="3"/>
  <c r="AD102" i="3" s="1"/>
  <c r="P103" i="3"/>
  <c r="AC103" i="3" s="1"/>
  <c r="Q103" i="3"/>
  <c r="AD103" i="3" s="1"/>
  <c r="P104" i="3"/>
  <c r="AC104" i="3" s="1"/>
  <c r="Q104" i="3"/>
  <c r="AD104" i="3" s="1"/>
  <c r="P105" i="3"/>
  <c r="AC105" i="3" s="1"/>
  <c r="Q105" i="3"/>
  <c r="AD105" i="3" s="1"/>
  <c r="P106" i="3"/>
  <c r="AC106" i="3" s="1"/>
  <c r="Q106" i="3"/>
  <c r="AD106" i="3" s="1"/>
  <c r="P107" i="3"/>
  <c r="AC107" i="3" s="1"/>
  <c r="Q107" i="3"/>
  <c r="AD107" i="3" s="1"/>
  <c r="P108" i="3"/>
  <c r="AC108" i="3" s="1"/>
  <c r="Q108" i="3"/>
  <c r="AD108" i="3" s="1"/>
  <c r="P109" i="3"/>
  <c r="AC109" i="3" s="1"/>
  <c r="Q109" i="3"/>
  <c r="AD109" i="3" s="1"/>
  <c r="P110" i="3"/>
  <c r="AC110" i="3" s="1"/>
  <c r="Q110" i="3"/>
  <c r="AD110" i="3" s="1"/>
  <c r="P111" i="3"/>
  <c r="AC111" i="3" s="1"/>
  <c r="Q111" i="3"/>
  <c r="AD111" i="3" s="1"/>
  <c r="P112" i="3"/>
  <c r="AC112" i="3" s="1"/>
  <c r="Q112" i="3"/>
  <c r="AD112" i="3" s="1"/>
  <c r="P113" i="3"/>
  <c r="AC113" i="3" s="1"/>
  <c r="Q113" i="3"/>
  <c r="AD113" i="3" s="1"/>
  <c r="P114" i="3"/>
  <c r="AC114" i="3" s="1"/>
  <c r="Q114" i="3"/>
  <c r="AD114" i="3" s="1"/>
  <c r="P115" i="3"/>
  <c r="AC115" i="3" s="1"/>
  <c r="Q115" i="3"/>
  <c r="AD115" i="3" s="1"/>
  <c r="P116" i="3"/>
  <c r="AC116" i="3" s="1"/>
  <c r="Q116" i="3"/>
  <c r="AD116" i="3" s="1"/>
  <c r="P117" i="3"/>
  <c r="AC117" i="3" s="1"/>
  <c r="Q117" i="3"/>
  <c r="AD117" i="3" s="1"/>
  <c r="P118" i="3"/>
  <c r="AC118" i="3" s="1"/>
  <c r="Q118" i="3"/>
  <c r="AD118" i="3" s="1"/>
  <c r="P119" i="3"/>
  <c r="AC119" i="3" s="1"/>
  <c r="Q119" i="3"/>
  <c r="AD119" i="3" s="1"/>
  <c r="P120" i="3"/>
  <c r="AC120" i="3" s="1"/>
  <c r="Q120" i="3"/>
  <c r="AD120" i="3" s="1"/>
  <c r="P121" i="3"/>
  <c r="AC121" i="3" s="1"/>
  <c r="Q121" i="3"/>
  <c r="AD121" i="3" s="1"/>
  <c r="P122" i="3"/>
  <c r="AC122" i="3" s="1"/>
  <c r="Q122" i="3"/>
  <c r="AD122" i="3" s="1"/>
  <c r="P123" i="3"/>
  <c r="AC123" i="3" s="1"/>
  <c r="Q123" i="3"/>
  <c r="AD123" i="3" s="1"/>
  <c r="P124" i="3"/>
  <c r="AC124" i="3" s="1"/>
  <c r="Q124" i="3"/>
  <c r="AD124" i="3" s="1"/>
  <c r="P125" i="3"/>
  <c r="AC125" i="3" s="1"/>
  <c r="Q125" i="3"/>
  <c r="AD125" i="3" s="1"/>
  <c r="P126" i="3"/>
  <c r="AC126" i="3" s="1"/>
  <c r="Q126" i="3"/>
  <c r="AD126" i="3" s="1"/>
  <c r="P127" i="3"/>
  <c r="AC127" i="3" s="1"/>
  <c r="Q127" i="3"/>
  <c r="AD127" i="3" s="1"/>
  <c r="P128" i="3"/>
  <c r="AC128" i="3" s="1"/>
  <c r="Q128" i="3"/>
  <c r="AD128" i="3" s="1"/>
  <c r="P129" i="3"/>
  <c r="AC129" i="3" s="1"/>
  <c r="Q129" i="3"/>
  <c r="AD129" i="3" s="1"/>
  <c r="P130" i="3"/>
  <c r="AC130" i="3" s="1"/>
  <c r="Q130" i="3"/>
  <c r="AD130" i="3" s="1"/>
  <c r="P131" i="3"/>
  <c r="AC131" i="3" s="1"/>
  <c r="Q131" i="3"/>
  <c r="AD131" i="3" s="1"/>
  <c r="P132" i="3"/>
  <c r="AC132" i="3" s="1"/>
  <c r="Q132" i="3"/>
  <c r="AD132" i="3" s="1"/>
  <c r="P133" i="3"/>
  <c r="AC133" i="3" s="1"/>
  <c r="Q133" i="3"/>
  <c r="AD133" i="3" s="1"/>
  <c r="P134" i="3"/>
  <c r="AC134" i="3" s="1"/>
  <c r="Q134" i="3"/>
  <c r="AD134" i="3" s="1"/>
  <c r="P135" i="3"/>
  <c r="AC135" i="3" s="1"/>
  <c r="Q135" i="3"/>
  <c r="AD135" i="3" s="1"/>
  <c r="P136" i="3"/>
  <c r="AC136" i="3" s="1"/>
  <c r="Q136" i="3"/>
  <c r="AD136" i="3" s="1"/>
  <c r="P137" i="3"/>
  <c r="AC137" i="3" s="1"/>
  <c r="Q137" i="3"/>
  <c r="AD137" i="3" s="1"/>
  <c r="P138" i="3"/>
  <c r="AC138" i="3" s="1"/>
  <c r="Q138" i="3"/>
  <c r="AD138" i="3" s="1"/>
  <c r="P139" i="3"/>
  <c r="AC139" i="3" s="1"/>
  <c r="Q139" i="3"/>
  <c r="AD139" i="3" s="1"/>
  <c r="P140" i="3"/>
  <c r="AC140" i="3" s="1"/>
  <c r="Q140" i="3"/>
  <c r="AD140" i="3" s="1"/>
  <c r="P141" i="3"/>
  <c r="AC141" i="3" s="1"/>
  <c r="Q141" i="3"/>
  <c r="AD141" i="3" s="1"/>
  <c r="P142" i="3"/>
  <c r="AC142" i="3" s="1"/>
  <c r="Q142" i="3"/>
  <c r="AD142" i="3" s="1"/>
  <c r="P143" i="3"/>
  <c r="AC143" i="3" s="1"/>
  <c r="Q143" i="3"/>
  <c r="AD143" i="3" s="1"/>
  <c r="P144" i="3"/>
  <c r="AC144" i="3" s="1"/>
  <c r="Q144" i="3"/>
  <c r="AD144" i="3" s="1"/>
  <c r="P145" i="3"/>
  <c r="AC145" i="3" s="1"/>
  <c r="Q145" i="3"/>
  <c r="AD145" i="3" s="1"/>
  <c r="P146" i="3"/>
  <c r="AC146" i="3" s="1"/>
  <c r="Q146" i="3"/>
  <c r="AD146" i="3" s="1"/>
  <c r="P147" i="3"/>
  <c r="AC147" i="3" s="1"/>
  <c r="Q147" i="3"/>
  <c r="AD147" i="3" s="1"/>
  <c r="P148" i="3"/>
  <c r="AC148" i="3" s="1"/>
  <c r="Q148" i="3"/>
  <c r="AD148" i="3" s="1"/>
  <c r="P149" i="3"/>
  <c r="AC149" i="3" s="1"/>
  <c r="Q149" i="3"/>
  <c r="AD149" i="3" s="1"/>
  <c r="P150" i="3"/>
  <c r="AC150" i="3" s="1"/>
  <c r="Q150" i="3"/>
  <c r="AD150" i="3" s="1"/>
  <c r="P151" i="3"/>
  <c r="AC151" i="3" s="1"/>
  <c r="Q151" i="3"/>
  <c r="AD151" i="3" s="1"/>
  <c r="P152" i="3"/>
  <c r="AC152" i="3" s="1"/>
  <c r="Q152" i="3"/>
  <c r="AD152" i="3" s="1"/>
  <c r="P153" i="3"/>
  <c r="AC153" i="3" s="1"/>
  <c r="Q153" i="3"/>
  <c r="AD153" i="3" s="1"/>
  <c r="P154" i="3"/>
  <c r="AC154" i="3" s="1"/>
  <c r="Q154" i="3"/>
  <c r="AD154" i="3" s="1"/>
  <c r="P155" i="3"/>
  <c r="AC155" i="3" s="1"/>
  <c r="Q155" i="3"/>
  <c r="AD155" i="3" s="1"/>
  <c r="P156" i="3"/>
  <c r="AC156" i="3" s="1"/>
  <c r="Q156" i="3"/>
  <c r="AD156" i="3" s="1"/>
  <c r="P157" i="3"/>
  <c r="AC157" i="3" s="1"/>
  <c r="Q157" i="3"/>
  <c r="AD157" i="3" s="1"/>
  <c r="P158" i="3"/>
  <c r="AC158" i="3" s="1"/>
  <c r="Q158" i="3"/>
  <c r="AD158" i="3" s="1"/>
  <c r="P159" i="3"/>
  <c r="AC159" i="3" s="1"/>
  <c r="Q159" i="3"/>
  <c r="AD159" i="3" s="1"/>
  <c r="P160" i="3"/>
  <c r="AC160" i="3" s="1"/>
  <c r="Q160" i="3"/>
  <c r="AD160" i="3" s="1"/>
  <c r="P161" i="3"/>
  <c r="AC161" i="3" s="1"/>
  <c r="Q161" i="3"/>
  <c r="AD161" i="3" s="1"/>
  <c r="P162" i="3"/>
  <c r="AC162" i="3" s="1"/>
  <c r="Q162" i="3"/>
  <c r="AD162" i="3" s="1"/>
  <c r="P163" i="3"/>
  <c r="AC163" i="3" s="1"/>
  <c r="Q163" i="3"/>
  <c r="AD163" i="3" s="1"/>
  <c r="P164" i="3"/>
  <c r="AC164" i="3" s="1"/>
  <c r="Q164" i="3"/>
  <c r="AD164" i="3" s="1"/>
  <c r="P165" i="3"/>
  <c r="AC165" i="3" s="1"/>
  <c r="Q165" i="3"/>
  <c r="AD165" i="3" s="1"/>
  <c r="P166" i="3"/>
  <c r="AC166" i="3" s="1"/>
  <c r="Q166" i="3"/>
  <c r="AD166" i="3" s="1"/>
  <c r="P167" i="3"/>
  <c r="AC167" i="3" s="1"/>
  <c r="Q167" i="3"/>
  <c r="AD167" i="3" s="1"/>
  <c r="P168" i="3"/>
  <c r="AC168" i="3" s="1"/>
  <c r="Q168" i="3"/>
  <c r="AD168" i="3" s="1"/>
  <c r="P169" i="3"/>
  <c r="AC169" i="3" s="1"/>
  <c r="Q169" i="3"/>
  <c r="AD169" i="3" s="1"/>
  <c r="P170" i="3"/>
  <c r="AC170" i="3" s="1"/>
  <c r="Q170" i="3"/>
  <c r="AD170" i="3" s="1"/>
  <c r="P171" i="3"/>
  <c r="AC171" i="3" s="1"/>
  <c r="Q171" i="3"/>
  <c r="AD171" i="3" s="1"/>
  <c r="P172" i="3"/>
  <c r="AC172" i="3" s="1"/>
  <c r="Q172" i="3"/>
  <c r="AD172" i="3" s="1"/>
  <c r="P173" i="3"/>
  <c r="AC173" i="3" s="1"/>
  <c r="Q173" i="3"/>
  <c r="AD173" i="3" s="1"/>
  <c r="P174" i="3"/>
  <c r="AC174" i="3" s="1"/>
  <c r="Q174" i="3"/>
  <c r="AD174" i="3" s="1"/>
  <c r="P175" i="3"/>
  <c r="AC175" i="3" s="1"/>
  <c r="Q175" i="3"/>
  <c r="AD175" i="3" s="1"/>
  <c r="P176" i="3"/>
  <c r="AC176" i="3" s="1"/>
  <c r="Q176" i="3"/>
  <c r="AD176" i="3" s="1"/>
  <c r="P177" i="3"/>
  <c r="AC177" i="3" s="1"/>
  <c r="Q177" i="3"/>
  <c r="AD177" i="3" s="1"/>
  <c r="P178" i="3"/>
  <c r="AC178" i="3" s="1"/>
  <c r="Q178" i="3"/>
  <c r="AD178" i="3" s="1"/>
  <c r="P179" i="3"/>
  <c r="AC179" i="3" s="1"/>
  <c r="Q179" i="3"/>
  <c r="AD179" i="3" s="1"/>
  <c r="P180" i="3"/>
  <c r="AC180" i="3" s="1"/>
  <c r="Q180" i="3"/>
  <c r="AD180" i="3" s="1"/>
  <c r="P181" i="3"/>
  <c r="AC181" i="3" s="1"/>
  <c r="Q181" i="3"/>
  <c r="AD181" i="3" s="1"/>
  <c r="P182" i="3"/>
  <c r="AC182" i="3" s="1"/>
  <c r="Q182" i="3"/>
  <c r="AD182" i="3" s="1"/>
  <c r="P183" i="3"/>
  <c r="AC183" i="3" s="1"/>
  <c r="Q183" i="3"/>
  <c r="AD183" i="3" s="1"/>
  <c r="P184" i="3"/>
  <c r="AC184" i="3" s="1"/>
  <c r="Q184" i="3"/>
  <c r="AD184" i="3" s="1"/>
  <c r="P185" i="3"/>
  <c r="AC185" i="3" s="1"/>
  <c r="Q185" i="3"/>
  <c r="AD185" i="3" s="1"/>
  <c r="P186" i="3"/>
  <c r="AC186" i="3" s="1"/>
  <c r="Q186" i="3"/>
  <c r="AD186" i="3" s="1"/>
  <c r="P187" i="3"/>
  <c r="AC187" i="3" s="1"/>
  <c r="Q187" i="3"/>
  <c r="AD187" i="3" s="1"/>
  <c r="P188" i="3"/>
  <c r="AC188" i="3" s="1"/>
  <c r="Q188" i="3"/>
  <c r="AD188" i="3" s="1"/>
  <c r="P189" i="3"/>
  <c r="AC189" i="3" s="1"/>
  <c r="Q189" i="3"/>
  <c r="AD189" i="3" s="1"/>
  <c r="P190" i="3"/>
  <c r="AC190" i="3" s="1"/>
  <c r="Q190" i="3"/>
  <c r="AD190" i="3" s="1"/>
  <c r="P191" i="3"/>
  <c r="AC191" i="3" s="1"/>
  <c r="Q191" i="3"/>
  <c r="AD191" i="3" s="1"/>
  <c r="P192" i="3"/>
  <c r="AC192" i="3" s="1"/>
  <c r="Q192" i="3"/>
  <c r="AD192" i="3" s="1"/>
  <c r="P193" i="3"/>
  <c r="AC193" i="3" s="1"/>
  <c r="Q193" i="3"/>
  <c r="AD193" i="3" s="1"/>
  <c r="P194" i="3"/>
  <c r="AC194" i="3" s="1"/>
  <c r="Q194" i="3"/>
  <c r="AD194" i="3" s="1"/>
  <c r="P195" i="3"/>
  <c r="AC195" i="3" s="1"/>
  <c r="Q195" i="3"/>
  <c r="AD195" i="3" s="1"/>
  <c r="P196" i="3"/>
  <c r="AC196" i="3" s="1"/>
  <c r="Q196" i="3"/>
  <c r="AD196" i="3" s="1"/>
  <c r="P197" i="3"/>
  <c r="AC197" i="3" s="1"/>
  <c r="Q197" i="3"/>
  <c r="AD197" i="3" s="1"/>
  <c r="P198" i="3"/>
  <c r="AC198" i="3" s="1"/>
  <c r="Q198" i="3"/>
  <c r="AD198" i="3" s="1"/>
  <c r="P199" i="3"/>
  <c r="AC199" i="3" s="1"/>
  <c r="Q199" i="3"/>
  <c r="AD199" i="3" s="1"/>
  <c r="P200" i="3"/>
  <c r="AC200" i="3" s="1"/>
  <c r="Q200" i="3"/>
  <c r="AD200" i="3" s="1"/>
  <c r="P201" i="3"/>
  <c r="AC201" i="3" s="1"/>
  <c r="Q201" i="3"/>
  <c r="AD201" i="3" s="1"/>
  <c r="P202" i="3"/>
  <c r="AC202" i="3" s="1"/>
  <c r="Q202" i="3"/>
  <c r="AD202" i="3" s="1"/>
  <c r="P203" i="3"/>
  <c r="AC203" i="3" s="1"/>
  <c r="Q203" i="3"/>
  <c r="AD203" i="3" s="1"/>
  <c r="P204" i="3"/>
  <c r="AC204" i="3" s="1"/>
  <c r="Q204" i="3"/>
  <c r="AD204" i="3" s="1"/>
  <c r="R6" i="3"/>
  <c r="AE6" i="3" s="1"/>
  <c r="S6" i="3"/>
  <c r="AF6" i="3" s="1"/>
  <c r="T6" i="3"/>
  <c r="AG6" i="3" s="1"/>
  <c r="U6" i="3"/>
  <c r="AH6" i="3" s="1"/>
  <c r="V6" i="3"/>
  <c r="AI6" i="3" s="1"/>
  <c r="W6" i="3"/>
  <c r="AJ6" i="3" s="1"/>
  <c r="X6" i="3"/>
  <c r="AK6" i="3" s="1"/>
  <c r="Y6" i="3"/>
  <c r="AL6" i="3" s="1"/>
  <c r="Z6" i="3"/>
  <c r="AM6" i="3" s="1"/>
  <c r="R7" i="3"/>
  <c r="AE7" i="3" s="1"/>
  <c r="S7" i="3"/>
  <c r="AF7" i="3" s="1"/>
  <c r="T7" i="3"/>
  <c r="AG7" i="3" s="1"/>
  <c r="U7" i="3"/>
  <c r="AH7" i="3" s="1"/>
  <c r="V7" i="3"/>
  <c r="AI7" i="3" s="1"/>
  <c r="W7" i="3"/>
  <c r="AJ7" i="3" s="1"/>
  <c r="X7" i="3"/>
  <c r="AK7" i="3" s="1"/>
  <c r="Y7" i="3"/>
  <c r="AL7" i="3" s="1"/>
  <c r="Z7" i="3"/>
  <c r="AM7" i="3" s="1"/>
  <c r="R8" i="3"/>
  <c r="AE8" i="3" s="1"/>
  <c r="S8" i="3"/>
  <c r="AF8" i="3" s="1"/>
  <c r="T8" i="3"/>
  <c r="AG8" i="3" s="1"/>
  <c r="U8" i="3"/>
  <c r="AH8" i="3" s="1"/>
  <c r="V8" i="3"/>
  <c r="AI8" i="3" s="1"/>
  <c r="W8" i="3"/>
  <c r="AJ8" i="3" s="1"/>
  <c r="X8" i="3"/>
  <c r="AK8" i="3" s="1"/>
  <c r="Y8" i="3"/>
  <c r="AL8" i="3" s="1"/>
  <c r="Z8" i="3"/>
  <c r="AM8" i="3" s="1"/>
  <c r="R9" i="3"/>
  <c r="AE9" i="3" s="1"/>
  <c r="S9" i="3"/>
  <c r="AF9" i="3" s="1"/>
  <c r="T9" i="3"/>
  <c r="AG9" i="3" s="1"/>
  <c r="U9" i="3"/>
  <c r="AH9" i="3" s="1"/>
  <c r="V9" i="3"/>
  <c r="AI9" i="3" s="1"/>
  <c r="W9" i="3"/>
  <c r="AJ9" i="3" s="1"/>
  <c r="X9" i="3"/>
  <c r="AK9" i="3" s="1"/>
  <c r="Y9" i="3"/>
  <c r="AL9" i="3" s="1"/>
  <c r="Z9" i="3"/>
  <c r="AM9" i="3" s="1"/>
  <c r="R10" i="3"/>
  <c r="AE10" i="3" s="1"/>
  <c r="S10" i="3"/>
  <c r="AF10" i="3" s="1"/>
  <c r="T10" i="3"/>
  <c r="AG10" i="3" s="1"/>
  <c r="U10" i="3"/>
  <c r="AH10" i="3" s="1"/>
  <c r="V10" i="3"/>
  <c r="AI10" i="3" s="1"/>
  <c r="W10" i="3"/>
  <c r="AJ10" i="3" s="1"/>
  <c r="X10" i="3"/>
  <c r="AK10" i="3" s="1"/>
  <c r="Y10" i="3"/>
  <c r="AL10" i="3" s="1"/>
  <c r="Z10" i="3"/>
  <c r="AM10" i="3" s="1"/>
  <c r="R11" i="3"/>
  <c r="AE11" i="3" s="1"/>
  <c r="S11" i="3"/>
  <c r="AF11" i="3" s="1"/>
  <c r="T11" i="3"/>
  <c r="AG11" i="3" s="1"/>
  <c r="U11" i="3"/>
  <c r="AH11" i="3" s="1"/>
  <c r="V11" i="3"/>
  <c r="AI11" i="3" s="1"/>
  <c r="W11" i="3"/>
  <c r="AJ11" i="3" s="1"/>
  <c r="X11" i="3"/>
  <c r="AK11" i="3" s="1"/>
  <c r="Y11" i="3"/>
  <c r="AL11" i="3" s="1"/>
  <c r="Z11" i="3"/>
  <c r="AM11" i="3" s="1"/>
  <c r="R12" i="3"/>
  <c r="AE12" i="3" s="1"/>
  <c r="S12" i="3"/>
  <c r="AF12" i="3" s="1"/>
  <c r="T12" i="3"/>
  <c r="AG12" i="3" s="1"/>
  <c r="U12" i="3"/>
  <c r="AH12" i="3" s="1"/>
  <c r="V12" i="3"/>
  <c r="AI12" i="3" s="1"/>
  <c r="W12" i="3"/>
  <c r="AJ12" i="3" s="1"/>
  <c r="X12" i="3"/>
  <c r="AK12" i="3" s="1"/>
  <c r="Y12" i="3"/>
  <c r="AL12" i="3" s="1"/>
  <c r="Z12" i="3"/>
  <c r="AM12" i="3" s="1"/>
  <c r="R13" i="3"/>
  <c r="AE13" i="3" s="1"/>
  <c r="S13" i="3"/>
  <c r="AF13" i="3" s="1"/>
  <c r="T13" i="3"/>
  <c r="AG13" i="3" s="1"/>
  <c r="U13" i="3"/>
  <c r="AH13" i="3" s="1"/>
  <c r="V13" i="3"/>
  <c r="AI13" i="3" s="1"/>
  <c r="W13" i="3"/>
  <c r="AJ13" i="3" s="1"/>
  <c r="X13" i="3"/>
  <c r="AK13" i="3" s="1"/>
  <c r="Y13" i="3"/>
  <c r="AL13" i="3" s="1"/>
  <c r="Z13" i="3"/>
  <c r="AM13" i="3" s="1"/>
  <c r="R14" i="3"/>
  <c r="AE14" i="3" s="1"/>
  <c r="S14" i="3"/>
  <c r="AF14" i="3" s="1"/>
  <c r="T14" i="3"/>
  <c r="AG14" i="3" s="1"/>
  <c r="U14" i="3"/>
  <c r="AH14" i="3" s="1"/>
  <c r="V14" i="3"/>
  <c r="AI14" i="3" s="1"/>
  <c r="W14" i="3"/>
  <c r="AJ14" i="3" s="1"/>
  <c r="X14" i="3"/>
  <c r="AK14" i="3" s="1"/>
  <c r="Y14" i="3"/>
  <c r="AL14" i="3" s="1"/>
  <c r="Z14" i="3"/>
  <c r="AM14" i="3" s="1"/>
  <c r="R15" i="3"/>
  <c r="AE15" i="3" s="1"/>
  <c r="S15" i="3"/>
  <c r="AF15" i="3" s="1"/>
  <c r="T15" i="3"/>
  <c r="AG15" i="3" s="1"/>
  <c r="U15" i="3"/>
  <c r="AH15" i="3" s="1"/>
  <c r="V15" i="3"/>
  <c r="AI15" i="3" s="1"/>
  <c r="W15" i="3"/>
  <c r="AJ15" i="3" s="1"/>
  <c r="X15" i="3"/>
  <c r="AK15" i="3" s="1"/>
  <c r="Y15" i="3"/>
  <c r="AL15" i="3" s="1"/>
  <c r="Z15" i="3"/>
  <c r="AM15" i="3" s="1"/>
  <c r="R16" i="3"/>
  <c r="AE16" i="3" s="1"/>
  <c r="S16" i="3"/>
  <c r="AF16" i="3" s="1"/>
  <c r="T16" i="3"/>
  <c r="AG16" i="3" s="1"/>
  <c r="U16" i="3"/>
  <c r="AH16" i="3" s="1"/>
  <c r="V16" i="3"/>
  <c r="AI16" i="3" s="1"/>
  <c r="W16" i="3"/>
  <c r="AJ16" i="3" s="1"/>
  <c r="X16" i="3"/>
  <c r="AK16" i="3" s="1"/>
  <c r="Y16" i="3"/>
  <c r="AL16" i="3" s="1"/>
  <c r="Z16" i="3"/>
  <c r="AM16" i="3" s="1"/>
  <c r="R17" i="3"/>
  <c r="AE17" i="3" s="1"/>
  <c r="S17" i="3"/>
  <c r="AF17" i="3" s="1"/>
  <c r="T17" i="3"/>
  <c r="AG17" i="3" s="1"/>
  <c r="U17" i="3"/>
  <c r="AH17" i="3" s="1"/>
  <c r="V17" i="3"/>
  <c r="AI17" i="3" s="1"/>
  <c r="W17" i="3"/>
  <c r="AJ17" i="3" s="1"/>
  <c r="X17" i="3"/>
  <c r="AK17" i="3" s="1"/>
  <c r="Y17" i="3"/>
  <c r="AL17" i="3" s="1"/>
  <c r="Z17" i="3"/>
  <c r="AM17" i="3" s="1"/>
  <c r="R18" i="3"/>
  <c r="AE18" i="3" s="1"/>
  <c r="S18" i="3"/>
  <c r="AF18" i="3" s="1"/>
  <c r="T18" i="3"/>
  <c r="AG18" i="3" s="1"/>
  <c r="U18" i="3"/>
  <c r="AH18" i="3" s="1"/>
  <c r="V18" i="3"/>
  <c r="AI18" i="3" s="1"/>
  <c r="W18" i="3"/>
  <c r="AJ18" i="3" s="1"/>
  <c r="X18" i="3"/>
  <c r="AK18" i="3" s="1"/>
  <c r="Y18" i="3"/>
  <c r="AL18" i="3" s="1"/>
  <c r="Z18" i="3"/>
  <c r="AM18" i="3" s="1"/>
  <c r="R19" i="3"/>
  <c r="AE19" i="3" s="1"/>
  <c r="S19" i="3"/>
  <c r="AF19" i="3" s="1"/>
  <c r="T19" i="3"/>
  <c r="AG19" i="3" s="1"/>
  <c r="U19" i="3"/>
  <c r="AH19" i="3" s="1"/>
  <c r="V19" i="3"/>
  <c r="AI19" i="3" s="1"/>
  <c r="W19" i="3"/>
  <c r="AJ19" i="3" s="1"/>
  <c r="X19" i="3"/>
  <c r="AK19" i="3" s="1"/>
  <c r="Y19" i="3"/>
  <c r="AL19" i="3" s="1"/>
  <c r="Z19" i="3"/>
  <c r="AM19" i="3" s="1"/>
  <c r="R20" i="3"/>
  <c r="AE20" i="3" s="1"/>
  <c r="S20" i="3"/>
  <c r="AF20" i="3" s="1"/>
  <c r="T20" i="3"/>
  <c r="AG20" i="3" s="1"/>
  <c r="U20" i="3"/>
  <c r="AH20" i="3" s="1"/>
  <c r="V20" i="3"/>
  <c r="AI20" i="3" s="1"/>
  <c r="W20" i="3"/>
  <c r="AJ20" i="3" s="1"/>
  <c r="X20" i="3"/>
  <c r="AK20" i="3" s="1"/>
  <c r="Y20" i="3"/>
  <c r="AL20" i="3" s="1"/>
  <c r="Z20" i="3"/>
  <c r="AM20" i="3" s="1"/>
  <c r="R21" i="3"/>
  <c r="AE21" i="3" s="1"/>
  <c r="S21" i="3"/>
  <c r="AF21" i="3" s="1"/>
  <c r="T21" i="3"/>
  <c r="AG21" i="3" s="1"/>
  <c r="U21" i="3"/>
  <c r="AH21" i="3" s="1"/>
  <c r="V21" i="3"/>
  <c r="AI21" i="3" s="1"/>
  <c r="W21" i="3"/>
  <c r="AJ21" i="3" s="1"/>
  <c r="X21" i="3"/>
  <c r="AK21" i="3" s="1"/>
  <c r="Y21" i="3"/>
  <c r="AL21" i="3" s="1"/>
  <c r="Z21" i="3"/>
  <c r="AM21" i="3" s="1"/>
  <c r="R22" i="3"/>
  <c r="AE22" i="3" s="1"/>
  <c r="S22" i="3"/>
  <c r="AF22" i="3" s="1"/>
  <c r="T22" i="3"/>
  <c r="AG22" i="3" s="1"/>
  <c r="U22" i="3"/>
  <c r="AH22" i="3" s="1"/>
  <c r="V22" i="3"/>
  <c r="AI22" i="3" s="1"/>
  <c r="W22" i="3"/>
  <c r="AJ22" i="3" s="1"/>
  <c r="X22" i="3"/>
  <c r="AK22" i="3" s="1"/>
  <c r="Y22" i="3"/>
  <c r="AL22" i="3" s="1"/>
  <c r="Z22" i="3"/>
  <c r="AM22" i="3" s="1"/>
  <c r="R23" i="3"/>
  <c r="AE23" i="3" s="1"/>
  <c r="S23" i="3"/>
  <c r="AF23" i="3" s="1"/>
  <c r="T23" i="3"/>
  <c r="AG23" i="3" s="1"/>
  <c r="U23" i="3"/>
  <c r="AH23" i="3" s="1"/>
  <c r="V23" i="3"/>
  <c r="AI23" i="3" s="1"/>
  <c r="W23" i="3"/>
  <c r="AJ23" i="3" s="1"/>
  <c r="X23" i="3"/>
  <c r="AK23" i="3" s="1"/>
  <c r="Y23" i="3"/>
  <c r="AL23" i="3" s="1"/>
  <c r="Z23" i="3"/>
  <c r="AM23" i="3" s="1"/>
  <c r="R24" i="3"/>
  <c r="AE24" i="3" s="1"/>
  <c r="S24" i="3"/>
  <c r="AF24" i="3" s="1"/>
  <c r="T24" i="3"/>
  <c r="AG24" i="3" s="1"/>
  <c r="U24" i="3"/>
  <c r="AH24" i="3" s="1"/>
  <c r="V24" i="3"/>
  <c r="AI24" i="3" s="1"/>
  <c r="W24" i="3"/>
  <c r="AJ24" i="3" s="1"/>
  <c r="X24" i="3"/>
  <c r="AK24" i="3" s="1"/>
  <c r="Y24" i="3"/>
  <c r="AL24" i="3" s="1"/>
  <c r="Z24" i="3"/>
  <c r="AM24" i="3" s="1"/>
  <c r="R25" i="3"/>
  <c r="AE25" i="3" s="1"/>
  <c r="S25" i="3"/>
  <c r="AF25" i="3" s="1"/>
  <c r="T25" i="3"/>
  <c r="AG25" i="3" s="1"/>
  <c r="U25" i="3"/>
  <c r="AH25" i="3" s="1"/>
  <c r="V25" i="3"/>
  <c r="AI25" i="3" s="1"/>
  <c r="W25" i="3"/>
  <c r="AJ25" i="3" s="1"/>
  <c r="X25" i="3"/>
  <c r="AK25" i="3" s="1"/>
  <c r="Y25" i="3"/>
  <c r="AL25" i="3" s="1"/>
  <c r="Z25" i="3"/>
  <c r="AM25" i="3" s="1"/>
  <c r="R26" i="3"/>
  <c r="AE26" i="3" s="1"/>
  <c r="S26" i="3"/>
  <c r="AF26" i="3" s="1"/>
  <c r="T26" i="3"/>
  <c r="AG26" i="3" s="1"/>
  <c r="U26" i="3"/>
  <c r="AH26" i="3" s="1"/>
  <c r="V26" i="3"/>
  <c r="AI26" i="3" s="1"/>
  <c r="W26" i="3"/>
  <c r="AJ26" i="3" s="1"/>
  <c r="X26" i="3"/>
  <c r="AK26" i="3" s="1"/>
  <c r="Y26" i="3"/>
  <c r="AL26" i="3" s="1"/>
  <c r="Z26" i="3"/>
  <c r="AM26" i="3" s="1"/>
  <c r="R27" i="3"/>
  <c r="AE27" i="3" s="1"/>
  <c r="S27" i="3"/>
  <c r="AF27" i="3" s="1"/>
  <c r="T27" i="3"/>
  <c r="AG27" i="3" s="1"/>
  <c r="U27" i="3"/>
  <c r="AH27" i="3" s="1"/>
  <c r="V27" i="3"/>
  <c r="AI27" i="3" s="1"/>
  <c r="W27" i="3"/>
  <c r="AJ27" i="3" s="1"/>
  <c r="X27" i="3"/>
  <c r="AK27" i="3" s="1"/>
  <c r="Y27" i="3"/>
  <c r="AL27" i="3" s="1"/>
  <c r="Z27" i="3"/>
  <c r="AM27" i="3" s="1"/>
  <c r="R28" i="3"/>
  <c r="AE28" i="3" s="1"/>
  <c r="S28" i="3"/>
  <c r="AF28" i="3" s="1"/>
  <c r="T28" i="3"/>
  <c r="AG28" i="3" s="1"/>
  <c r="U28" i="3"/>
  <c r="AH28" i="3" s="1"/>
  <c r="V28" i="3"/>
  <c r="AI28" i="3" s="1"/>
  <c r="W28" i="3"/>
  <c r="AJ28" i="3" s="1"/>
  <c r="X28" i="3"/>
  <c r="AK28" i="3" s="1"/>
  <c r="Y28" i="3"/>
  <c r="AL28" i="3" s="1"/>
  <c r="Z28" i="3"/>
  <c r="AM28" i="3" s="1"/>
  <c r="R29" i="3"/>
  <c r="AE29" i="3" s="1"/>
  <c r="S29" i="3"/>
  <c r="AF29" i="3" s="1"/>
  <c r="T29" i="3"/>
  <c r="AG29" i="3" s="1"/>
  <c r="U29" i="3"/>
  <c r="AH29" i="3" s="1"/>
  <c r="V29" i="3"/>
  <c r="AI29" i="3" s="1"/>
  <c r="W29" i="3"/>
  <c r="AJ29" i="3" s="1"/>
  <c r="X29" i="3"/>
  <c r="AK29" i="3" s="1"/>
  <c r="Y29" i="3"/>
  <c r="AL29" i="3" s="1"/>
  <c r="Z29" i="3"/>
  <c r="AM29" i="3" s="1"/>
  <c r="R30" i="3"/>
  <c r="AE30" i="3" s="1"/>
  <c r="S30" i="3"/>
  <c r="AF30" i="3" s="1"/>
  <c r="T30" i="3"/>
  <c r="AG30" i="3" s="1"/>
  <c r="U30" i="3"/>
  <c r="AH30" i="3" s="1"/>
  <c r="V30" i="3"/>
  <c r="AI30" i="3" s="1"/>
  <c r="W30" i="3"/>
  <c r="AJ30" i="3" s="1"/>
  <c r="X30" i="3"/>
  <c r="AK30" i="3" s="1"/>
  <c r="Y30" i="3"/>
  <c r="AL30" i="3" s="1"/>
  <c r="Z30" i="3"/>
  <c r="AM30" i="3" s="1"/>
  <c r="R31" i="3"/>
  <c r="AE31" i="3" s="1"/>
  <c r="S31" i="3"/>
  <c r="AF31" i="3" s="1"/>
  <c r="T31" i="3"/>
  <c r="AG31" i="3" s="1"/>
  <c r="U31" i="3"/>
  <c r="AH31" i="3" s="1"/>
  <c r="V31" i="3"/>
  <c r="AI31" i="3" s="1"/>
  <c r="W31" i="3"/>
  <c r="AJ31" i="3" s="1"/>
  <c r="X31" i="3"/>
  <c r="AK31" i="3" s="1"/>
  <c r="Y31" i="3"/>
  <c r="AL31" i="3" s="1"/>
  <c r="Z31" i="3"/>
  <c r="AM31" i="3" s="1"/>
  <c r="R32" i="3"/>
  <c r="AE32" i="3" s="1"/>
  <c r="S32" i="3"/>
  <c r="AF32" i="3" s="1"/>
  <c r="T32" i="3"/>
  <c r="AG32" i="3" s="1"/>
  <c r="U32" i="3"/>
  <c r="AH32" i="3" s="1"/>
  <c r="V32" i="3"/>
  <c r="AI32" i="3" s="1"/>
  <c r="W32" i="3"/>
  <c r="AJ32" i="3" s="1"/>
  <c r="X32" i="3"/>
  <c r="AK32" i="3" s="1"/>
  <c r="Y32" i="3"/>
  <c r="AL32" i="3" s="1"/>
  <c r="Z32" i="3"/>
  <c r="AM32" i="3" s="1"/>
  <c r="R33" i="3"/>
  <c r="AE33" i="3" s="1"/>
  <c r="S33" i="3"/>
  <c r="AF33" i="3" s="1"/>
  <c r="T33" i="3"/>
  <c r="AG33" i="3" s="1"/>
  <c r="U33" i="3"/>
  <c r="AH33" i="3" s="1"/>
  <c r="V33" i="3"/>
  <c r="AI33" i="3" s="1"/>
  <c r="W33" i="3"/>
  <c r="AJ33" i="3" s="1"/>
  <c r="X33" i="3"/>
  <c r="AK33" i="3" s="1"/>
  <c r="Y33" i="3"/>
  <c r="AL33" i="3" s="1"/>
  <c r="Z33" i="3"/>
  <c r="AM33" i="3" s="1"/>
  <c r="R34" i="3"/>
  <c r="AE34" i="3" s="1"/>
  <c r="S34" i="3"/>
  <c r="AF34" i="3" s="1"/>
  <c r="T34" i="3"/>
  <c r="AG34" i="3" s="1"/>
  <c r="U34" i="3"/>
  <c r="AH34" i="3" s="1"/>
  <c r="V34" i="3"/>
  <c r="AI34" i="3" s="1"/>
  <c r="W34" i="3"/>
  <c r="AJ34" i="3" s="1"/>
  <c r="X34" i="3"/>
  <c r="AK34" i="3" s="1"/>
  <c r="Y34" i="3"/>
  <c r="AL34" i="3" s="1"/>
  <c r="Z34" i="3"/>
  <c r="AM34" i="3" s="1"/>
  <c r="R35" i="3"/>
  <c r="AE35" i="3" s="1"/>
  <c r="S35" i="3"/>
  <c r="AF35" i="3" s="1"/>
  <c r="T35" i="3"/>
  <c r="AG35" i="3" s="1"/>
  <c r="U35" i="3"/>
  <c r="AH35" i="3" s="1"/>
  <c r="V35" i="3"/>
  <c r="AI35" i="3" s="1"/>
  <c r="W35" i="3"/>
  <c r="AJ35" i="3" s="1"/>
  <c r="X35" i="3"/>
  <c r="AK35" i="3" s="1"/>
  <c r="Y35" i="3"/>
  <c r="AL35" i="3" s="1"/>
  <c r="Z35" i="3"/>
  <c r="AM35" i="3" s="1"/>
  <c r="R36" i="3"/>
  <c r="AE36" i="3" s="1"/>
  <c r="S36" i="3"/>
  <c r="AF36" i="3" s="1"/>
  <c r="T36" i="3"/>
  <c r="AG36" i="3" s="1"/>
  <c r="U36" i="3"/>
  <c r="AH36" i="3" s="1"/>
  <c r="V36" i="3"/>
  <c r="AI36" i="3" s="1"/>
  <c r="W36" i="3"/>
  <c r="AJ36" i="3" s="1"/>
  <c r="X36" i="3"/>
  <c r="AK36" i="3" s="1"/>
  <c r="Y36" i="3"/>
  <c r="AL36" i="3" s="1"/>
  <c r="Z36" i="3"/>
  <c r="AM36" i="3" s="1"/>
  <c r="R37" i="3"/>
  <c r="AE37" i="3" s="1"/>
  <c r="S37" i="3"/>
  <c r="AF37" i="3" s="1"/>
  <c r="T37" i="3"/>
  <c r="AG37" i="3" s="1"/>
  <c r="U37" i="3"/>
  <c r="AH37" i="3" s="1"/>
  <c r="V37" i="3"/>
  <c r="AI37" i="3" s="1"/>
  <c r="W37" i="3"/>
  <c r="AJ37" i="3" s="1"/>
  <c r="X37" i="3"/>
  <c r="AK37" i="3" s="1"/>
  <c r="Y37" i="3"/>
  <c r="AL37" i="3" s="1"/>
  <c r="Z37" i="3"/>
  <c r="AM37" i="3" s="1"/>
  <c r="R38" i="3"/>
  <c r="AE38" i="3" s="1"/>
  <c r="S38" i="3"/>
  <c r="AF38" i="3" s="1"/>
  <c r="T38" i="3"/>
  <c r="AG38" i="3" s="1"/>
  <c r="U38" i="3"/>
  <c r="AH38" i="3" s="1"/>
  <c r="V38" i="3"/>
  <c r="AI38" i="3" s="1"/>
  <c r="W38" i="3"/>
  <c r="AJ38" i="3" s="1"/>
  <c r="X38" i="3"/>
  <c r="AK38" i="3" s="1"/>
  <c r="Y38" i="3"/>
  <c r="AL38" i="3" s="1"/>
  <c r="Z38" i="3"/>
  <c r="AM38" i="3" s="1"/>
  <c r="R39" i="3"/>
  <c r="AE39" i="3" s="1"/>
  <c r="S39" i="3"/>
  <c r="AF39" i="3" s="1"/>
  <c r="T39" i="3"/>
  <c r="AG39" i="3" s="1"/>
  <c r="U39" i="3"/>
  <c r="AH39" i="3" s="1"/>
  <c r="V39" i="3"/>
  <c r="AI39" i="3" s="1"/>
  <c r="W39" i="3"/>
  <c r="AJ39" i="3" s="1"/>
  <c r="X39" i="3"/>
  <c r="AK39" i="3" s="1"/>
  <c r="Y39" i="3"/>
  <c r="AL39" i="3" s="1"/>
  <c r="Z39" i="3"/>
  <c r="AM39" i="3" s="1"/>
  <c r="R40" i="3"/>
  <c r="AE40" i="3" s="1"/>
  <c r="S40" i="3"/>
  <c r="AF40" i="3" s="1"/>
  <c r="T40" i="3"/>
  <c r="AG40" i="3" s="1"/>
  <c r="U40" i="3"/>
  <c r="AH40" i="3" s="1"/>
  <c r="V40" i="3"/>
  <c r="AI40" i="3" s="1"/>
  <c r="W40" i="3"/>
  <c r="AJ40" i="3" s="1"/>
  <c r="X40" i="3"/>
  <c r="AK40" i="3" s="1"/>
  <c r="Y40" i="3"/>
  <c r="AL40" i="3" s="1"/>
  <c r="Z40" i="3"/>
  <c r="AM40" i="3" s="1"/>
  <c r="R41" i="3"/>
  <c r="AE41" i="3" s="1"/>
  <c r="S41" i="3"/>
  <c r="AF41" i="3" s="1"/>
  <c r="T41" i="3"/>
  <c r="AG41" i="3" s="1"/>
  <c r="U41" i="3"/>
  <c r="AH41" i="3" s="1"/>
  <c r="V41" i="3"/>
  <c r="AI41" i="3" s="1"/>
  <c r="W41" i="3"/>
  <c r="AJ41" i="3" s="1"/>
  <c r="X41" i="3"/>
  <c r="AK41" i="3" s="1"/>
  <c r="Y41" i="3"/>
  <c r="AL41" i="3" s="1"/>
  <c r="Z41" i="3"/>
  <c r="AM41" i="3" s="1"/>
  <c r="R42" i="3"/>
  <c r="AE42" i="3" s="1"/>
  <c r="S42" i="3"/>
  <c r="AF42" i="3" s="1"/>
  <c r="T42" i="3"/>
  <c r="AG42" i="3" s="1"/>
  <c r="U42" i="3"/>
  <c r="AH42" i="3" s="1"/>
  <c r="V42" i="3"/>
  <c r="AI42" i="3" s="1"/>
  <c r="W42" i="3"/>
  <c r="AJ42" i="3" s="1"/>
  <c r="X42" i="3"/>
  <c r="AK42" i="3" s="1"/>
  <c r="Y42" i="3"/>
  <c r="AL42" i="3" s="1"/>
  <c r="Z42" i="3"/>
  <c r="AM42" i="3" s="1"/>
  <c r="R43" i="3"/>
  <c r="AE43" i="3" s="1"/>
  <c r="S43" i="3"/>
  <c r="AF43" i="3" s="1"/>
  <c r="T43" i="3"/>
  <c r="AG43" i="3" s="1"/>
  <c r="U43" i="3"/>
  <c r="AH43" i="3" s="1"/>
  <c r="V43" i="3"/>
  <c r="AI43" i="3" s="1"/>
  <c r="W43" i="3"/>
  <c r="AJ43" i="3" s="1"/>
  <c r="X43" i="3"/>
  <c r="AK43" i="3" s="1"/>
  <c r="Y43" i="3"/>
  <c r="AL43" i="3" s="1"/>
  <c r="Z43" i="3"/>
  <c r="AM43" i="3" s="1"/>
  <c r="R44" i="3"/>
  <c r="AE44" i="3" s="1"/>
  <c r="S44" i="3"/>
  <c r="AF44" i="3" s="1"/>
  <c r="T44" i="3"/>
  <c r="AG44" i="3" s="1"/>
  <c r="U44" i="3"/>
  <c r="AH44" i="3" s="1"/>
  <c r="V44" i="3"/>
  <c r="AI44" i="3" s="1"/>
  <c r="W44" i="3"/>
  <c r="AJ44" i="3" s="1"/>
  <c r="X44" i="3"/>
  <c r="AK44" i="3" s="1"/>
  <c r="Y44" i="3"/>
  <c r="AL44" i="3" s="1"/>
  <c r="Z44" i="3"/>
  <c r="AM44" i="3" s="1"/>
  <c r="R45" i="3"/>
  <c r="AE45" i="3" s="1"/>
  <c r="S45" i="3"/>
  <c r="AF45" i="3" s="1"/>
  <c r="T45" i="3"/>
  <c r="AG45" i="3" s="1"/>
  <c r="U45" i="3"/>
  <c r="AH45" i="3" s="1"/>
  <c r="V45" i="3"/>
  <c r="AI45" i="3" s="1"/>
  <c r="W45" i="3"/>
  <c r="AJ45" i="3" s="1"/>
  <c r="X45" i="3"/>
  <c r="AK45" i="3" s="1"/>
  <c r="Y45" i="3"/>
  <c r="AL45" i="3" s="1"/>
  <c r="Z45" i="3"/>
  <c r="AM45" i="3" s="1"/>
  <c r="R46" i="3"/>
  <c r="AE46" i="3" s="1"/>
  <c r="S46" i="3"/>
  <c r="AF46" i="3" s="1"/>
  <c r="T46" i="3"/>
  <c r="AG46" i="3" s="1"/>
  <c r="U46" i="3"/>
  <c r="AH46" i="3" s="1"/>
  <c r="V46" i="3"/>
  <c r="AI46" i="3" s="1"/>
  <c r="W46" i="3"/>
  <c r="AJ46" i="3" s="1"/>
  <c r="X46" i="3"/>
  <c r="AK46" i="3" s="1"/>
  <c r="Y46" i="3"/>
  <c r="AL46" i="3" s="1"/>
  <c r="Z46" i="3"/>
  <c r="AM46" i="3" s="1"/>
  <c r="R47" i="3"/>
  <c r="AE47" i="3" s="1"/>
  <c r="S47" i="3"/>
  <c r="AF47" i="3" s="1"/>
  <c r="T47" i="3"/>
  <c r="AG47" i="3" s="1"/>
  <c r="U47" i="3"/>
  <c r="AH47" i="3" s="1"/>
  <c r="V47" i="3"/>
  <c r="AI47" i="3" s="1"/>
  <c r="W47" i="3"/>
  <c r="AJ47" i="3" s="1"/>
  <c r="X47" i="3"/>
  <c r="AK47" i="3" s="1"/>
  <c r="Y47" i="3"/>
  <c r="AL47" i="3" s="1"/>
  <c r="Z47" i="3"/>
  <c r="AM47" i="3" s="1"/>
  <c r="R48" i="3"/>
  <c r="AE48" i="3" s="1"/>
  <c r="S48" i="3"/>
  <c r="AF48" i="3" s="1"/>
  <c r="T48" i="3"/>
  <c r="AG48" i="3" s="1"/>
  <c r="U48" i="3"/>
  <c r="AH48" i="3" s="1"/>
  <c r="V48" i="3"/>
  <c r="AI48" i="3" s="1"/>
  <c r="W48" i="3"/>
  <c r="AJ48" i="3" s="1"/>
  <c r="X48" i="3"/>
  <c r="AK48" i="3" s="1"/>
  <c r="Y48" i="3"/>
  <c r="AL48" i="3" s="1"/>
  <c r="Z48" i="3"/>
  <c r="AM48" i="3" s="1"/>
  <c r="R49" i="3"/>
  <c r="AE49" i="3" s="1"/>
  <c r="S49" i="3"/>
  <c r="AF49" i="3" s="1"/>
  <c r="T49" i="3"/>
  <c r="AG49" i="3" s="1"/>
  <c r="U49" i="3"/>
  <c r="AH49" i="3" s="1"/>
  <c r="V49" i="3"/>
  <c r="AI49" i="3" s="1"/>
  <c r="W49" i="3"/>
  <c r="AJ49" i="3" s="1"/>
  <c r="X49" i="3"/>
  <c r="AK49" i="3" s="1"/>
  <c r="Y49" i="3"/>
  <c r="AL49" i="3" s="1"/>
  <c r="Z49" i="3"/>
  <c r="AM49" i="3" s="1"/>
  <c r="R50" i="3"/>
  <c r="AE50" i="3" s="1"/>
  <c r="S50" i="3"/>
  <c r="AF50" i="3" s="1"/>
  <c r="T50" i="3"/>
  <c r="AG50" i="3" s="1"/>
  <c r="U50" i="3"/>
  <c r="AH50" i="3" s="1"/>
  <c r="V50" i="3"/>
  <c r="AI50" i="3" s="1"/>
  <c r="W50" i="3"/>
  <c r="AJ50" i="3" s="1"/>
  <c r="X50" i="3"/>
  <c r="AK50" i="3" s="1"/>
  <c r="Y50" i="3"/>
  <c r="AL50" i="3" s="1"/>
  <c r="Z50" i="3"/>
  <c r="AM50" i="3" s="1"/>
  <c r="R51" i="3"/>
  <c r="AE51" i="3" s="1"/>
  <c r="S51" i="3"/>
  <c r="AF51" i="3" s="1"/>
  <c r="T51" i="3"/>
  <c r="AG51" i="3" s="1"/>
  <c r="U51" i="3"/>
  <c r="AH51" i="3" s="1"/>
  <c r="V51" i="3"/>
  <c r="AI51" i="3" s="1"/>
  <c r="W51" i="3"/>
  <c r="AJ51" i="3" s="1"/>
  <c r="X51" i="3"/>
  <c r="AK51" i="3" s="1"/>
  <c r="Y51" i="3"/>
  <c r="AL51" i="3" s="1"/>
  <c r="Z51" i="3"/>
  <c r="AM51" i="3" s="1"/>
  <c r="R52" i="3"/>
  <c r="AE52" i="3" s="1"/>
  <c r="S52" i="3"/>
  <c r="AF52" i="3" s="1"/>
  <c r="T52" i="3"/>
  <c r="AG52" i="3" s="1"/>
  <c r="U52" i="3"/>
  <c r="AH52" i="3" s="1"/>
  <c r="V52" i="3"/>
  <c r="AI52" i="3" s="1"/>
  <c r="W52" i="3"/>
  <c r="AJ52" i="3" s="1"/>
  <c r="X52" i="3"/>
  <c r="AK52" i="3" s="1"/>
  <c r="Y52" i="3"/>
  <c r="AL52" i="3" s="1"/>
  <c r="Z52" i="3"/>
  <c r="AM52" i="3" s="1"/>
  <c r="R53" i="3"/>
  <c r="AE53" i="3" s="1"/>
  <c r="S53" i="3"/>
  <c r="AF53" i="3" s="1"/>
  <c r="T53" i="3"/>
  <c r="AG53" i="3" s="1"/>
  <c r="U53" i="3"/>
  <c r="AH53" i="3" s="1"/>
  <c r="V53" i="3"/>
  <c r="AI53" i="3" s="1"/>
  <c r="W53" i="3"/>
  <c r="AJ53" i="3" s="1"/>
  <c r="X53" i="3"/>
  <c r="AK53" i="3" s="1"/>
  <c r="Y53" i="3"/>
  <c r="AL53" i="3" s="1"/>
  <c r="Z53" i="3"/>
  <c r="AM53" i="3" s="1"/>
  <c r="R54" i="3"/>
  <c r="AE54" i="3" s="1"/>
  <c r="S54" i="3"/>
  <c r="AF54" i="3" s="1"/>
  <c r="T54" i="3"/>
  <c r="AG54" i="3" s="1"/>
  <c r="U54" i="3"/>
  <c r="AH54" i="3" s="1"/>
  <c r="V54" i="3"/>
  <c r="AI54" i="3" s="1"/>
  <c r="W54" i="3"/>
  <c r="AJ54" i="3" s="1"/>
  <c r="X54" i="3"/>
  <c r="AK54" i="3" s="1"/>
  <c r="Y54" i="3"/>
  <c r="AL54" i="3" s="1"/>
  <c r="Z54" i="3"/>
  <c r="AM54" i="3" s="1"/>
  <c r="R55" i="3"/>
  <c r="AE55" i="3" s="1"/>
  <c r="S55" i="3"/>
  <c r="AF55" i="3" s="1"/>
  <c r="T55" i="3"/>
  <c r="AG55" i="3" s="1"/>
  <c r="U55" i="3"/>
  <c r="AH55" i="3" s="1"/>
  <c r="V55" i="3"/>
  <c r="AI55" i="3" s="1"/>
  <c r="W55" i="3"/>
  <c r="AJ55" i="3" s="1"/>
  <c r="X55" i="3"/>
  <c r="AK55" i="3" s="1"/>
  <c r="Y55" i="3"/>
  <c r="AL55" i="3" s="1"/>
  <c r="Z55" i="3"/>
  <c r="AM55" i="3" s="1"/>
  <c r="R56" i="3"/>
  <c r="AE56" i="3" s="1"/>
  <c r="S56" i="3"/>
  <c r="AF56" i="3" s="1"/>
  <c r="T56" i="3"/>
  <c r="AG56" i="3" s="1"/>
  <c r="U56" i="3"/>
  <c r="AH56" i="3" s="1"/>
  <c r="V56" i="3"/>
  <c r="AI56" i="3" s="1"/>
  <c r="W56" i="3"/>
  <c r="AJ56" i="3" s="1"/>
  <c r="X56" i="3"/>
  <c r="AK56" i="3" s="1"/>
  <c r="Y56" i="3"/>
  <c r="AL56" i="3" s="1"/>
  <c r="Z56" i="3"/>
  <c r="AM56" i="3" s="1"/>
  <c r="R57" i="3"/>
  <c r="AE57" i="3" s="1"/>
  <c r="S57" i="3"/>
  <c r="AF57" i="3" s="1"/>
  <c r="T57" i="3"/>
  <c r="AG57" i="3" s="1"/>
  <c r="U57" i="3"/>
  <c r="AH57" i="3" s="1"/>
  <c r="V57" i="3"/>
  <c r="AI57" i="3" s="1"/>
  <c r="W57" i="3"/>
  <c r="AJ57" i="3" s="1"/>
  <c r="X57" i="3"/>
  <c r="AK57" i="3" s="1"/>
  <c r="Y57" i="3"/>
  <c r="AL57" i="3" s="1"/>
  <c r="Z57" i="3"/>
  <c r="AM57" i="3" s="1"/>
  <c r="R58" i="3"/>
  <c r="AE58" i="3" s="1"/>
  <c r="S58" i="3"/>
  <c r="AF58" i="3" s="1"/>
  <c r="T58" i="3"/>
  <c r="AG58" i="3" s="1"/>
  <c r="U58" i="3"/>
  <c r="AH58" i="3" s="1"/>
  <c r="V58" i="3"/>
  <c r="AI58" i="3" s="1"/>
  <c r="W58" i="3"/>
  <c r="AJ58" i="3" s="1"/>
  <c r="X58" i="3"/>
  <c r="AK58" i="3" s="1"/>
  <c r="Y58" i="3"/>
  <c r="AL58" i="3" s="1"/>
  <c r="Z58" i="3"/>
  <c r="AM58" i="3" s="1"/>
  <c r="R59" i="3"/>
  <c r="AE59" i="3" s="1"/>
  <c r="S59" i="3"/>
  <c r="AF59" i="3" s="1"/>
  <c r="T59" i="3"/>
  <c r="AG59" i="3" s="1"/>
  <c r="U59" i="3"/>
  <c r="AH59" i="3" s="1"/>
  <c r="V59" i="3"/>
  <c r="AI59" i="3" s="1"/>
  <c r="W59" i="3"/>
  <c r="AJ59" i="3" s="1"/>
  <c r="X59" i="3"/>
  <c r="AK59" i="3" s="1"/>
  <c r="Y59" i="3"/>
  <c r="AL59" i="3" s="1"/>
  <c r="Z59" i="3"/>
  <c r="AM59" i="3" s="1"/>
  <c r="R60" i="3"/>
  <c r="AE60" i="3" s="1"/>
  <c r="S60" i="3"/>
  <c r="AF60" i="3" s="1"/>
  <c r="T60" i="3"/>
  <c r="AG60" i="3" s="1"/>
  <c r="U60" i="3"/>
  <c r="AH60" i="3" s="1"/>
  <c r="V60" i="3"/>
  <c r="AI60" i="3" s="1"/>
  <c r="W60" i="3"/>
  <c r="AJ60" i="3" s="1"/>
  <c r="X60" i="3"/>
  <c r="AK60" i="3" s="1"/>
  <c r="Y60" i="3"/>
  <c r="AL60" i="3" s="1"/>
  <c r="Z60" i="3"/>
  <c r="AM60" i="3" s="1"/>
  <c r="R61" i="3"/>
  <c r="AE61" i="3" s="1"/>
  <c r="S61" i="3"/>
  <c r="AF61" i="3" s="1"/>
  <c r="T61" i="3"/>
  <c r="AG61" i="3" s="1"/>
  <c r="U61" i="3"/>
  <c r="AH61" i="3" s="1"/>
  <c r="V61" i="3"/>
  <c r="AI61" i="3" s="1"/>
  <c r="W61" i="3"/>
  <c r="AJ61" i="3" s="1"/>
  <c r="X61" i="3"/>
  <c r="AK61" i="3" s="1"/>
  <c r="Y61" i="3"/>
  <c r="AL61" i="3" s="1"/>
  <c r="Z61" i="3"/>
  <c r="AM61" i="3" s="1"/>
  <c r="R62" i="3"/>
  <c r="AE62" i="3" s="1"/>
  <c r="S62" i="3"/>
  <c r="AF62" i="3" s="1"/>
  <c r="T62" i="3"/>
  <c r="AG62" i="3" s="1"/>
  <c r="U62" i="3"/>
  <c r="AH62" i="3" s="1"/>
  <c r="V62" i="3"/>
  <c r="AI62" i="3" s="1"/>
  <c r="W62" i="3"/>
  <c r="AJ62" i="3" s="1"/>
  <c r="X62" i="3"/>
  <c r="AK62" i="3" s="1"/>
  <c r="Y62" i="3"/>
  <c r="AL62" i="3" s="1"/>
  <c r="Z62" i="3"/>
  <c r="AM62" i="3" s="1"/>
  <c r="R63" i="3"/>
  <c r="AE63" i="3" s="1"/>
  <c r="S63" i="3"/>
  <c r="AF63" i="3" s="1"/>
  <c r="T63" i="3"/>
  <c r="AG63" i="3" s="1"/>
  <c r="U63" i="3"/>
  <c r="AH63" i="3" s="1"/>
  <c r="V63" i="3"/>
  <c r="AI63" i="3" s="1"/>
  <c r="W63" i="3"/>
  <c r="AJ63" i="3" s="1"/>
  <c r="X63" i="3"/>
  <c r="AK63" i="3" s="1"/>
  <c r="Y63" i="3"/>
  <c r="AL63" i="3" s="1"/>
  <c r="Z63" i="3"/>
  <c r="AM63" i="3" s="1"/>
  <c r="R64" i="3"/>
  <c r="AE64" i="3" s="1"/>
  <c r="S64" i="3"/>
  <c r="AF64" i="3" s="1"/>
  <c r="T64" i="3"/>
  <c r="AG64" i="3" s="1"/>
  <c r="U64" i="3"/>
  <c r="AH64" i="3" s="1"/>
  <c r="V64" i="3"/>
  <c r="AI64" i="3" s="1"/>
  <c r="W64" i="3"/>
  <c r="AJ64" i="3" s="1"/>
  <c r="X64" i="3"/>
  <c r="AK64" i="3" s="1"/>
  <c r="Y64" i="3"/>
  <c r="AL64" i="3" s="1"/>
  <c r="Z64" i="3"/>
  <c r="AM64" i="3" s="1"/>
  <c r="R65" i="3"/>
  <c r="AE65" i="3" s="1"/>
  <c r="S65" i="3"/>
  <c r="AF65" i="3" s="1"/>
  <c r="T65" i="3"/>
  <c r="AG65" i="3" s="1"/>
  <c r="U65" i="3"/>
  <c r="AH65" i="3" s="1"/>
  <c r="V65" i="3"/>
  <c r="AI65" i="3" s="1"/>
  <c r="W65" i="3"/>
  <c r="AJ65" i="3" s="1"/>
  <c r="X65" i="3"/>
  <c r="AK65" i="3" s="1"/>
  <c r="Y65" i="3"/>
  <c r="AL65" i="3" s="1"/>
  <c r="Z65" i="3"/>
  <c r="AM65" i="3" s="1"/>
  <c r="R66" i="3"/>
  <c r="AE66" i="3" s="1"/>
  <c r="S66" i="3"/>
  <c r="AF66" i="3" s="1"/>
  <c r="T66" i="3"/>
  <c r="AG66" i="3" s="1"/>
  <c r="U66" i="3"/>
  <c r="AH66" i="3" s="1"/>
  <c r="V66" i="3"/>
  <c r="AI66" i="3" s="1"/>
  <c r="W66" i="3"/>
  <c r="AJ66" i="3" s="1"/>
  <c r="X66" i="3"/>
  <c r="AK66" i="3" s="1"/>
  <c r="Y66" i="3"/>
  <c r="AL66" i="3" s="1"/>
  <c r="Z66" i="3"/>
  <c r="AM66" i="3" s="1"/>
  <c r="R67" i="3"/>
  <c r="AE67" i="3" s="1"/>
  <c r="S67" i="3"/>
  <c r="AF67" i="3" s="1"/>
  <c r="T67" i="3"/>
  <c r="AG67" i="3" s="1"/>
  <c r="U67" i="3"/>
  <c r="AH67" i="3" s="1"/>
  <c r="V67" i="3"/>
  <c r="AI67" i="3" s="1"/>
  <c r="W67" i="3"/>
  <c r="AJ67" i="3" s="1"/>
  <c r="X67" i="3"/>
  <c r="AK67" i="3" s="1"/>
  <c r="Y67" i="3"/>
  <c r="AL67" i="3" s="1"/>
  <c r="Z67" i="3"/>
  <c r="AM67" i="3" s="1"/>
  <c r="R68" i="3"/>
  <c r="AE68" i="3" s="1"/>
  <c r="S68" i="3"/>
  <c r="AF68" i="3" s="1"/>
  <c r="T68" i="3"/>
  <c r="AG68" i="3" s="1"/>
  <c r="U68" i="3"/>
  <c r="AH68" i="3" s="1"/>
  <c r="V68" i="3"/>
  <c r="AI68" i="3" s="1"/>
  <c r="W68" i="3"/>
  <c r="AJ68" i="3" s="1"/>
  <c r="X68" i="3"/>
  <c r="AK68" i="3" s="1"/>
  <c r="Y68" i="3"/>
  <c r="AL68" i="3" s="1"/>
  <c r="Z68" i="3"/>
  <c r="AM68" i="3" s="1"/>
  <c r="R69" i="3"/>
  <c r="AE69" i="3" s="1"/>
  <c r="S69" i="3"/>
  <c r="AF69" i="3" s="1"/>
  <c r="T69" i="3"/>
  <c r="AG69" i="3" s="1"/>
  <c r="U69" i="3"/>
  <c r="AH69" i="3" s="1"/>
  <c r="V69" i="3"/>
  <c r="AI69" i="3" s="1"/>
  <c r="W69" i="3"/>
  <c r="AJ69" i="3" s="1"/>
  <c r="X69" i="3"/>
  <c r="AK69" i="3" s="1"/>
  <c r="Y69" i="3"/>
  <c r="AL69" i="3" s="1"/>
  <c r="Z69" i="3"/>
  <c r="AM69" i="3" s="1"/>
  <c r="R70" i="3"/>
  <c r="AE70" i="3" s="1"/>
  <c r="S70" i="3"/>
  <c r="AF70" i="3" s="1"/>
  <c r="T70" i="3"/>
  <c r="AG70" i="3" s="1"/>
  <c r="U70" i="3"/>
  <c r="AH70" i="3" s="1"/>
  <c r="V70" i="3"/>
  <c r="AI70" i="3" s="1"/>
  <c r="W70" i="3"/>
  <c r="AJ70" i="3" s="1"/>
  <c r="X70" i="3"/>
  <c r="AK70" i="3" s="1"/>
  <c r="Y70" i="3"/>
  <c r="AL70" i="3" s="1"/>
  <c r="Z70" i="3"/>
  <c r="AM70" i="3" s="1"/>
  <c r="R71" i="3"/>
  <c r="AE71" i="3" s="1"/>
  <c r="S71" i="3"/>
  <c r="AF71" i="3" s="1"/>
  <c r="T71" i="3"/>
  <c r="AG71" i="3" s="1"/>
  <c r="U71" i="3"/>
  <c r="AH71" i="3" s="1"/>
  <c r="V71" i="3"/>
  <c r="AI71" i="3" s="1"/>
  <c r="W71" i="3"/>
  <c r="AJ71" i="3" s="1"/>
  <c r="X71" i="3"/>
  <c r="AK71" i="3" s="1"/>
  <c r="Y71" i="3"/>
  <c r="AL71" i="3" s="1"/>
  <c r="Z71" i="3"/>
  <c r="AM71" i="3" s="1"/>
  <c r="R72" i="3"/>
  <c r="AE72" i="3" s="1"/>
  <c r="S72" i="3"/>
  <c r="AF72" i="3" s="1"/>
  <c r="T72" i="3"/>
  <c r="AG72" i="3" s="1"/>
  <c r="U72" i="3"/>
  <c r="AH72" i="3" s="1"/>
  <c r="V72" i="3"/>
  <c r="AI72" i="3" s="1"/>
  <c r="W72" i="3"/>
  <c r="AJ72" i="3" s="1"/>
  <c r="X72" i="3"/>
  <c r="AK72" i="3" s="1"/>
  <c r="Y72" i="3"/>
  <c r="AL72" i="3" s="1"/>
  <c r="Z72" i="3"/>
  <c r="AM72" i="3" s="1"/>
  <c r="R73" i="3"/>
  <c r="AE73" i="3" s="1"/>
  <c r="S73" i="3"/>
  <c r="AF73" i="3" s="1"/>
  <c r="T73" i="3"/>
  <c r="AG73" i="3" s="1"/>
  <c r="U73" i="3"/>
  <c r="AH73" i="3" s="1"/>
  <c r="V73" i="3"/>
  <c r="AI73" i="3" s="1"/>
  <c r="W73" i="3"/>
  <c r="AJ73" i="3" s="1"/>
  <c r="X73" i="3"/>
  <c r="AK73" i="3" s="1"/>
  <c r="Y73" i="3"/>
  <c r="AL73" i="3" s="1"/>
  <c r="Z73" i="3"/>
  <c r="AM73" i="3" s="1"/>
  <c r="R74" i="3"/>
  <c r="AE74" i="3" s="1"/>
  <c r="S74" i="3"/>
  <c r="AF74" i="3" s="1"/>
  <c r="T74" i="3"/>
  <c r="AG74" i="3" s="1"/>
  <c r="U74" i="3"/>
  <c r="AH74" i="3" s="1"/>
  <c r="V74" i="3"/>
  <c r="AI74" i="3" s="1"/>
  <c r="W74" i="3"/>
  <c r="AJ74" i="3" s="1"/>
  <c r="X74" i="3"/>
  <c r="AK74" i="3" s="1"/>
  <c r="Y74" i="3"/>
  <c r="AL74" i="3" s="1"/>
  <c r="Z74" i="3"/>
  <c r="AM74" i="3" s="1"/>
  <c r="R75" i="3"/>
  <c r="AE75" i="3" s="1"/>
  <c r="S75" i="3"/>
  <c r="AF75" i="3" s="1"/>
  <c r="T75" i="3"/>
  <c r="AG75" i="3" s="1"/>
  <c r="U75" i="3"/>
  <c r="AH75" i="3" s="1"/>
  <c r="V75" i="3"/>
  <c r="AI75" i="3" s="1"/>
  <c r="W75" i="3"/>
  <c r="AJ75" i="3" s="1"/>
  <c r="X75" i="3"/>
  <c r="AK75" i="3" s="1"/>
  <c r="Y75" i="3"/>
  <c r="AL75" i="3" s="1"/>
  <c r="Z75" i="3"/>
  <c r="AM75" i="3" s="1"/>
  <c r="R76" i="3"/>
  <c r="AE76" i="3" s="1"/>
  <c r="S76" i="3"/>
  <c r="AF76" i="3" s="1"/>
  <c r="T76" i="3"/>
  <c r="AG76" i="3" s="1"/>
  <c r="U76" i="3"/>
  <c r="AH76" i="3" s="1"/>
  <c r="V76" i="3"/>
  <c r="AI76" i="3" s="1"/>
  <c r="W76" i="3"/>
  <c r="AJ76" i="3" s="1"/>
  <c r="X76" i="3"/>
  <c r="AK76" i="3" s="1"/>
  <c r="Y76" i="3"/>
  <c r="AL76" i="3" s="1"/>
  <c r="Z76" i="3"/>
  <c r="AM76" i="3" s="1"/>
  <c r="R77" i="3"/>
  <c r="AE77" i="3" s="1"/>
  <c r="S77" i="3"/>
  <c r="AF77" i="3" s="1"/>
  <c r="T77" i="3"/>
  <c r="AG77" i="3" s="1"/>
  <c r="U77" i="3"/>
  <c r="AH77" i="3" s="1"/>
  <c r="V77" i="3"/>
  <c r="AI77" i="3" s="1"/>
  <c r="W77" i="3"/>
  <c r="AJ77" i="3" s="1"/>
  <c r="X77" i="3"/>
  <c r="AK77" i="3" s="1"/>
  <c r="Y77" i="3"/>
  <c r="AL77" i="3" s="1"/>
  <c r="Z77" i="3"/>
  <c r="AM77" i="3" s="1"/>
  <c r="R78" i="3"/>
  <c r="AE78" i="3" s="1"/>
  <c r="S78" i="3"/>
  <c r="AF78" i="3" s="1"/>
  <c r="T78" i="3"/>
  <c r="AG78" i="3" s="1"/>
  <c r="U78" i="3"/>
  <c r="AH78" i="3" s="1"/>
  <c r="V78" i="3"/>
  <c r="AI78" i="3" s="1"/>
  <c r="W78" i="3"/>
  <c r="AJ78" i="3" s="1"/>
  <c r="X78" i="3"/>
  <c r="AK78" i="3" s="1"/>
  <c r="Y78" i="3"/>
  <c r="AL78" i="3" s="1"/>
  <c r="Z78" i="3"/>
  <c r="AM78" i="3" s="1"/>
  <c r="R79" i="3"/>
  <c r="AE79" i="3" s="1"/>
  <c r="S79" i="3"/>
  <c r="AF79" i="3" s="1"/>
  <c r="T79" i="3"/>
  <c r="AG79" i="3" s="1"/>
  <c r="U79" i="3"/>
  <c r="AH79" i="3" s="1"/>
  <c r="V79" i="3"/>
  <c r="AI79" i="3" s="1"/>
  <c r="W79" i="3"/>
  <c r="AJ79" i="3" s="1"/>
  <c r="X79" i="3"/>
  <c r="AK79" i="3" s="1"/>
  <c r="Y79" i="3"/>
  <c r="AL79" i="3" s="1"/>
  <c r="Z79" i="3"/>
  <c r="AM79" i="3" s="1"/>
  <c r="R80" i="3"/>
  <c r="AE80" i="3" s="1"/>
  <c r="S80" i="3"/>
  <c r="AF80" i="3" s="1"/>
  <c r="T80" i="3"/>
  <c r="AG80" i="3" s="1"/>
  <c r="U80" i="3"/>
  <c r="AH80" i="3" s="1"/>
  <c r="V80" i="3"/>
  <c r="AI80" i="3" s="1"/>
  <c r="W80" i="3"/>
  <c r="AJ80" i="3" s="1"/>
  <c r="X80" i="3"/>
  <c r="AK80" i="3" s="1"/>
  <c r="Y80" i="3"/>
  <c r="AL80" i="3" s="1"/>
  <c r="Z80" i="3"/>
  <c r="AM80" i="3" s="1"/>
  <c r="R81" i="3"/>
  <c r="AE81" i="3" s="1"/>
  <c r="S81" i="3"/>
  <c r="AF81" i="3" s="1"/>
  <c r="T81" i="3"/>
  <c r="AG81" i="3" s="1"/>
  <c r="U81" i="3"/>
  <c r="AH81" i="3" s="1"/>
  <c r="V81" i="3"/>
  <c r="AI81" i="3" s="1"/>
  <c r="W81" i="3"/>
  <c r="AJ81" i="3" s="1"/>
  <c r="X81" i="3"/>
  <c r="AK81" i="3" s="1"/>
  <c r="Y81" i="3"/>
  <c r="AL81" i="3" s="1"/>
  <c r="Z81" i="3"/>
  <c r="AM81" i="3" s="1"/>
  <c r="R82" i="3"/>
  <c r="AE82" i="3" s="1"/>
  <c r="S82" i="3"/>
  <c r="AF82" i="3" s="1"/>
  <c r="T82" i="3"/>
  <c r="AG82" i="3" s="1"/>
  <c r="U82" i="3"/>
  <c r="AH82" i="3" s="1"/>
  <c r="V82" i="3"/>
  <c r="AI82" i="3" s="1"/>
  <c r="W82" i="3"/>
  <c r="AJ82" i="3" s="1"/>
  <c r="X82" i="3"/>
  <c r="AK82" i="3" s="1"/>
  <c r="Y82" i="3"/>
  <c r="AL82" i="3" s="1"/>
  <c r="Z82" i="3"/>
  <c r="AM82" i="3" s="1"/>
  <c r="R83" i="3"/>
  <c r="AE83" i="3" s="1"/>
  <c r="S83" i="3"/>
  <c r="AF83" i="3" s="1"/>
  <c r="T83" i="3"/>
  <c r="AG83" i="3" s="1"/>
  <c r="U83" i="3"/>
  <c r="AH83" i="3" s="1"/>
  <c r="V83" i="3"/>
  <c r="AI83" i="3" s="1"/>
  <c r="W83" i="3"/>
  <c r="AJ83" i="3" s="1"/>
  <c r="X83" i="3"/>
  <c r="AK83" i="3" s="1"/>
  <c r="Y83" i="3"/>
  <c r="AL83" i="3" s="1"/>
  <c r="Z83" i="3"/>
  <c r="AM83" i="3" s="1"/>
  <c r="R84" i="3"/>
  <c r="AE84" i="3" s="1"/>
  <c r="S84" i="3"/>
  <c r="AF84" i="3" s="1"/>
  <c r="T84" i="3"/>
  <c r="AG84" i="3" s="1"/>
  <c r="U84" i="3"/>
  <c r="AH84" i="3" s="1"/>
  <c r="V84" i="3"/>
  <c r="AI84" i="3" s="1"/>
  <c r="W84" i="3"/>
  <c r="AJ84" i="3" s="1"/>
  <c r="X84" i="3"/>
  <c r="AK84" i="3" s="1"/>
  <c r="Y84" i="3"/>
  <c r="AL84" i="3" s="1"/>
  <c r="Z84" i="3"/>
  <c r="AM84" i="3" s="1"/>
  <c r="R85" i="3"/>
  <c r="AE85" i="3" s="1"/>
  <c r="S85" i="3"/>
  <c r="AF85" i="3" s="1"/>
  <c r="T85" i="3"/>
  <c r="AG85" i="3" s="1"/>
  <c r="U85" i="3"/>
  <c r="AH85" i="3" s="1"/>
  <c r="V85" i="3"/>
  <c r="AI85" i="3" s="1"/>
  <c r="W85" i="3"/>
  <c r="AJ85" i="3" s="1"/>
  <c r="X85" i="3"/>
  <c r="AK85" i="3" s="1"/>
  <c r="Y85" i="3"/>
  <c r="AL85" i="3" s="1"/>
  <c r="Z85" i="3"/>
  <c r="AM85" i="3" s="1"/>
  <c r="R86" i="3"/>
  <c r="AE86" i="3" s="1"/>
  <c r="S86" i="3"/>
  <c r="AF86" i="3" s="1"/>
  <c r="T86" i="3"/>
  <c r="AG86" i="3" s="1"/>
  <c r="U86" i="3"/>
  <c r="AH86" i="3" s="1"/>
  <c r="V86" i="3"/>
  <c r="AI86" i="3" s="1"/>
  <c r="W86" i="3"/>
  <c r="AJ86" i="3" s="1"/>
  <c r="X86" i="3"/>
  <c r="AK86" i="3" s="1"/>
  <c r="Y86" i="3"/>
  <c r="AL86" i="3" s="1"/>
  <c r="Z86" i="3"/>
  <c r="AM86" i="3" s="1"/>
  <c r="R87" i="3"/>
  <c r="AE87" i="3" s="1"/>
  <c r="S87" i="3"/>
  <c r="AF87" i="3" s="1"/>
  <c r="T87" i="3"/>
  <c r="AG87" i="3" s="1"/>
  <c r="U87" i="3"/>
  <c r="AH87" i="3" s="1"/>
  <c r="V87" i="3"/>
  <c r="AI87" i="3" s="1"/>
  <c r="W87" i="3"/>
  <c r="AJ87" i="3" s="1"/>
  <c r="X87" i="3"/>
  <c r="AK87" i="3" s="1"/>
  <c r="Y87" i="3"/>
  <c r="AL87" i="3" s="1"/>
  <c r="Z87" i="3"/>
  <c r="AM87" i="3" s="1"/>
  <c r="R88" i="3"/>
  <c r="AE88" i="3" s="1"/>
  <c r="S88" i="3"/>
  <c r="AF88" i="3" s="1"/>
  <c r="T88" i="3"/>
  <c r="AG88" i="3" s="1"/>
  <c r="U88" i="3"/>
  <c r="AH88" i="3" s="1"/>
  <c r="V88" i="3"/>
  <c r="AI88" i="3" s="1"/>
  <c r="W88" i="3"/>
  <c r="AJ88" i="3" s="1"/>
  <c r="X88" i="3"/>
  <c r="AK88" i="3" s="1"/>
  <c r="Y88" i="3"/>
  <c r="AL88" i="3" s="1"/>
  <c r="Z88" i="3"/>
  <c r="AM88" i="3" s="1"/>
  <c r="R89" i="3"/>
  <c r="AE89" i="3" s="1"/>
  <c r="S89" i="3"/>
  <c r="AF89" i="3" s="1"/>
  <c r="T89" i="3"/>
  <c r="AG89" i="3" s="1"/>
  <c r="U89" i="3"/>
  <c r="AH89" i="3" s="1"/>
  <c r="V89" i="3"/>
  <c r="AI89" i="3" s="1"/>
  <c r="W89" i="3"/>
  <c r="AJ89" i="3" s="1"/>
  <c r="X89" i="3"/>
  <c r="AK89" i="3" s="1"/>
  <c r="Y89" i="3"/>
  <c r="AL89" i="3" s="1"/>
  <c r="Z89" i="3"/>
  <c r="AM89" i="3" s="1"/>
  <c r="R90" i="3"/>
  <c r="AE90" i="3" s="1"/>
  <c r="S90" i="3"/>
  <c r="AF90" i="3" s="1"/>
  <c r="T90" i="3"/>
  <c r="AG90" i="3" s="1"/>
  <c r="U90" i="3"/>
  <c r="AH90" i="3" s="1"/>
  <c r="V90" i="3"/>
  <c r="AI90" i="3" s="1"/>
  <c r="W90" i="3"/>
  <c r="AJ90" i="3" s="1"/>
  <c r="X90" i="3"/>
  <c r="AK90" i="3" s="1"/>
  <c r="Y90" i="3"/>
  <c r="AL90" i="3" s="1"/>
  <c r="Z90" i="3"/>
  <c r="AM90" i="3" s="1"/>
  <c r="R91" i="3"/>
  <c r="AE91" i="3" s="1"/>
  <c r="S91" i="3"/>
  <c r="AF91" i="3" s="1"/>
  <c r="T91" i="3"/>
  <c r="AG91" i="3" s="1"/>
  <c r="U91" i="3"/>
  <c r="AH91" i="3" s="1"/>
  <c r="V91" i="3"/>
  <c r="AI91" i="3" s="1"/>
  <c r="W91" i="3"/>
  <c r="AJ91" i="3" s="1"/>
  <c r="X91" i="3"/>
  <c r="AK91" i="3" s="1"/>
  <c r="Y91" i="3"/>
  <c r="AL91" i="3" s="1"/>
  <c r="Z91" i="3"/>
  <c r="AM91" i="3" s="1"/>
  <c r="R92" i="3"/>
  <c r="AE92" i="3" s="1"/>
  <c r="S92" i="3"/>
  <c r="AF92" i="3" s="1"/>
  <c r="T92" i="3"/>
  <c r="AG92" i="3" s="1"/>
  <c r="U92" i="3"/>
  <c r="AH92" i="3" s="1"/>
  <c r="V92" i="3"/>
  <c r="AI92" i="3" s="1"/>
  <c r="W92" i="3"/>
  <c r="AJ92" i="3" s="1"/>
  <c r="X92" i="3"/>
  <c r="AK92" i="3" s="1"/>
  <c r="Y92" i="3"/>
  <c r="AL92" i="3" s="1"/>
  <c r="Z92" i="3"/>
  <c r="AM92" i="3" s="1"/>
  <c r="R93" i="3"/>
  <c r="AE93" i="3" s="1"/>
  <c r="S93" i="3"/>
  <c r="AF93" i="3" s="1"/>
  <c r="T93" i="3"/>
  <c r="AG93" i="3" s="1"/>
  <c r="U93" i="3"/>
  <c r="AH93" i="3" s="1"/>
  <c r="V93" i="3"/>
  <c r="AI93" i="3" s="1"/>
  <c r="W93" i="3"/>
  <c r="AJ93" i="3" s="1"/>
  <c r="X93" i="3"/>
  <c r="AK93" i="3" s="1"/>
  <c r="Y93" i="3"/>
  <c r="AL93" i="3" s="1"/>
  <c r="Z93" i="3"/>
  <c r="AM93" i="3" s="1"/>
  <c r="R94" i="3"/>
  <c r="AE94" i="3" s="1"/>
  <c r="S94" i="3"/>
  <c r="AF94" i="3" s="1"/>
  <c r="T94" i="3"/>
  <c r="AG94" i="3" s="1"/>
  <c r="U94" i="3"/>
  <c r="AH94" i="3" s="1"/>
  <c r="V94" i="3"/>
  <c r="AI94" i="3" s="1"/>
  <c r="W94" i="3"/>
  <c r="AJ94" i="3" s="1"/>
  <c r="X94" i="3"/>
  <c r="AK94" i="3" s="1"/>
  <c r="Y94" i="3"/>
  <c r="AL94" i="3" s="1"/>
  <c r="Z94" i="3"/>
  <c r="AM94" i="3" s="1"/>
  <c r="R95" i="3"/>
  <c r="AE95" i="3" s="1"/>
  <c r="S95" i="3"/>
  <c r="AF95" i="3" s="1"/>
  <c r="T95" i="3"/>
  <c r="AG95" i="3" s="1"/>
  <c r="U95" i="3"/>
  <c r="AH95" i="3" s="1"/>
  <c r="V95" i="3"/>
  <c r="AI95" i="3" s="1"/>
  <c r="W95" i="3"/>
  <c r="AJ95" i="3" s="1"/>
  <c r="X95" i="3"/>
  <c r="AK95" i="3" s="1"/>
  <c r="Y95" i="3"/>
  <c r="AL95" i="3" s="1"/>
  <c r="Z95" i="3"/>
  <c r="AM95" i="3" s="1"/>
  <c r="R96" i="3"/>
  <c r="AE96" i="3" s="1"/>
  <c r="S96" i="3"/>
  <c r="AF96" i="3" s="1"/>
  <c r="T96" i="3"/>
  <c r="AG96" i="3" s="1"/>
  <c r="U96" i="3"/>
  <c r="AH96" i="3" s="1"/>
  <c r="V96" i="3"/>
  <c r="AI96" i="3" s="1"/>
  <c r="W96" i="3"/>
  <c r="AJ96" i="3" s="1"/>
  <c r="X96" i="3"/>
  <c r="AK96" i="3" s="1"/>
  <c r="Y96" i="3"/>
  <c r="AL96" i="3" s="1"/>
  <c r="Z96" i="3"/>
  <c r="AM96" i="3" s="1"/>
  <c r="R97" i="3"/>
  <c r="AE97" i="3" s="1"/>
  <c r="S97" i="3"/>
  <c r="AF97" i="3" s="1"/>
  <c r="T97" i="3"/>
  <c r="AG97" i="3" s="1"/>
  <c r="U97" i="3"/>
  <c r="AH97" i="3" s="1"/>
  <c r="V97" i="3"/>
  <c r="AI97" i="3" s="1"/>
  <c r="W97" i="3"/>
  <c r="AJ97" i="3" s="1"/>
  <c r="X97" i="3"/>
  <c r="AK97" i="3" s="1"/>
  <c r="Y97" i="3"/>
  <c r="AL97" i="3" s="1"/>
  <c r="Z97" i="3"/>
  <c r="AM97" i="3" s="1"/>
  <c r="R98" i="3"/>
  <c r="AE98" i="3" s="1"/>
  <c r="S98" i="3"/>
  <c r="AF98" i="3" s="1"/>
  <c r="T98" i="3"/>
  <c r="AG98" i="3" s="1"/>
  <c r="U98" i="3"/>
  <c r="AH98" i="3" s="1"/>
  <c r="V98" i="3"/>
  <c r="AI98" i="3" s="1"/>
  <c r="W98" i="3"/>
  <c r="AJ98" i="3" s="1"/>
  <c r="X98" i="3"/>
  <c r="AK98" i="3" s="1"/>
  <c r="Y98" i="3"/>
  <c r="AL98" i="3" s="1"/>
  <c r="Z98" i="3"/>
  <c r="AM98" i="3" s="1"/>
  <c r="R99" i="3"/>
  <c r="AE99" i="3" s="1"/>
  <c r="S99" i="3"/>
  <c r="AF99" i="3" s="1"/>
  <c r="T99" i="3"/>
  <c r="AG99" i="3" s="1"/>
  <c r="U99" i="3"/>
  <c r="AH99" i="3" s="1"/>
  <c r="V99" i="3"/>
  <c r="AI99" i="3" s="1"/>
  <c r="W99" i="3"/>
  <c r="AJ99" i="3" s="1"/>
  <c r="X99" i="3"/>
  <c r="AK99" i="3" s="1"/>
  <c r="Y99" i="3"/>
  <c r="AL99" i="3" s="1"/>
  <c r="Z99" i="3"/>
  <c r="AM99" i="3" s="1"/>
  <c r="R100" i="3"/>
  <c r="AE100" i="3" s="1"/>
  <c r="S100" i="3"/>
  <c r="AF100" i="3" s="1"/>
  <c r="T100" i="3"/>
  <c r="AG100" i="3" s="1"/>
  <c r="U100" i="3"/>
  <c r="AH100" i="3" s="1"/>
  <c r="V100" i="3"/>
  <c r="AI100" i="3" s="1"/>
  <c r="W100" i="3"/>
  <c r="AJ100" i="3" s="1"/>
  <c r="X100" i="3"/>
  <c r="AK100" i="3" s="1"/>
  <c r="Y100" i="3"/>
  <c r="AL100" i="3" s="1"/>
  <c r="Z100" i="3"/>
  <c r="AM100" i="3" s="1"/>
  <c r="R101" i="3"/>
  <c r="AE101" i="3" s="1"/>
  <c r="S101" i="3"/>
  <c r="AF101" i="3" s="1"/>
  <c r="T101" i="3"/>
  <c r="AG101" i="3" s="1"/>
  <c r="U101" i="3"/>
  <c r="AH101" i="3" s="1"/>
  <c r="V101" i="3"/>
  <c r="AI101" i="3" s="1"/>
  <c r="W101" i="3"/>
  <c r="AJ101" i="3" s="1"/>
  <c r="X101" i="3"/>
  <c r="AK101" i="3" s="1"/>
  <c r="Y101" i="3"/>
  <c r="AL101" i="3" s="1"/>
  <c r="Z101" i="3"/>
  <c r="AM101" i="3" s="1"/>
  <c r="R102" i="3"/>
  <c r="AE102" i="3" s="1"/>
  <c r="S102" i="3"/>
  <c r="AF102" i="3" s="1"/>
  <c r="T102" i="3"/>
  <c r="AG102" i="3" s="1"/>
  <c r="U102" i="3"/>
  <c r="AH102" i="3" s="1"/>
  <c r="V102" i="3"/>
  <c r="AI102" i="3" s="1"/>
  <c r="W102" i="3"/>
  <c r="AJ102" i="3" s="1"/>
  <c r="X102" i="3"/>
  <c r="AK102" i="3" s="1"/>
  <c r="Y102" i="3"/>
  <c r="AL102" i="3" s="1"/>
  <c r="Z102" i="3"/>
  <c r="AM102" i="3" s="1"/>
  <c r="R103" i="3"/>
  <c r="AE103" i="3" s="1"/>
  <c r="S103" i="3"/>
  <c r="AF103" i="3" s="1"/>
  <c r="T103" i="3"/>
  <c r="AG103" i="3" s="1"/>
  <c r="U103" i="3"/>
  <c r="AH103" i="3" s="1"/>
  <c r="V103" i="3"/>
  <c r="AI103" i="3" s="1"/>
  <c r="W103" i="3"/>
  <c r="AJ103" i="3" s="1"/>
  <c r="X103" i="3"/>
  <c r="AK103" i="3" s="1"/>
  <c r="Y103" i="3"/>
  <c r="AL103" i="3" s="1"/>
  <c r="Z103" i="3"/>
  <c r="AM103" i="3" s="1"/>
  <c r="R104" i="3"/>
  <c r="AE104" i="3" s="1"/>
  <c r="S104" i="3"/>
  <c r="AF104" i="3" s="1"/>
  <c r="T104" i="3"/>
  <c r="AG104" i="3" s="1"/>
  <c r="U104" i="3"/>
  <c r="AH104" i="3" s="1"/>
  <c r="V104" i="3"/>
  <c r="AI104" i="3" s="1"/>
  <c r="W104" i="3"/>
  <c r="AJ104" i="3" s="1"/>
  <c r="X104" i="3"/>
  <c r="AK104" i="3" s="1"/>
  <c r="Y104" i="3"/>
  <c r="AL104" i="3" s="1"/>
  <c r="Z104" i="3"/>
  <c r="AM104" i="3" s="1"/>
  <c r="R105" i="3"/>
  <c r="AE105" i="3" s="1"/>
  <c r="S105" i="3"/>
  <c r="AF105" i="3" s="1"/>
  <c r="T105" i="3"/>
  <c r="AG105" i="3" s="1"/>
  <c r="U105" i="3"/>
  <c r="AH105" i="3" s="1"/>
  <c r="V105" i="3"/>
  <c r="AI105" i="3" s="1"/>
  <c r="W105" i="3"/>
  <c r="AJ105" i="3" s="1"/>
  <c r="X105" i="3"/>
  <c r="AK105" i="3" s="1"/>
  <c r="Y105" i="3"/>
  <c r="AL105" i="3" s="1"/>
  <c r="Z105" i="3"/>
  <c r="AM105" i="3" s="1"/>
  <c r="R106" i="3"/>
  <c r="AE106" i="3" s="1"/>
  <c r="S106" i="3"/>
  <c r="AF106" i="3" s="1"/>
  <c r="T106" i="3"/>
  <c r="AG106" i="3" s="1"/>
  <c r="U106" i="3"/>
  <c r="AH106" i="3" s="1"/>
  <c r="V106" i="3"/>
  <c r="AI106" i="3" s="1"/>
  <c r="W106" i="3"/>
  <c r="AJ106" i="3" s="1"/>
  <c r="X106" i="3"/>
  <c r="AK106" i="3" s="1"/>
  <c r="Y106" i="3"/>
  <c r="AL106" i="3" s="1"/>
  <c r="Z106" i="3"/>
  <c r="AM106" i="3" s="1"/>
  <c r="R107" i="3"/>
  <c r="AE107" i="3" s="1"/>
  <c r="S107" i="3"/>
  <c r="AF107" i="3" s="1"/>
  <c r="T107" i="3"/>
  <c r="AG107" i="3" s="1"/>
  <c r="U107" i="3"/>
  <c r="AH107" i="3" s="1"/>
  <c r="V107" i="3"/>
  <c r="AI107" i="3" s="1"/>
  <c r="W107" i="3"/>
  <c r="AJ107" i="3" s="1"/>
  <c r="X107" i="3"/>
  <c r="AK107" i="3" s="1"/>
  <c r="Y107" i="3"/>
  <c r="AL107" i="3" s="1"/>
  <c r="Z107" i="3"/>
  <c r="AM107" i="3" s="1"/>
  <c r="R108" i="3"/>
  <c r="AE108" i="3" s="1"/>
  <c r="S108" i="3"/>
  <c r="AF108" i="3" s="1"/>
  <c r="T108" i="3"/>
  <c r="AG108" i="3" s="1"/>
  <c r="U108" i="3"/>
  <c r="AH108" i="3" s="1"/>
  <c r="V108" i="3"/>
  <c r="AI108" i="3" s="1"/>
  <c r="W108" i="3"/>
  <c r="AJ108" i="3" s="1"/>
  <c r="X108" i="3"/>
  <c r="AK108" i="3" s="1"/>
  <c r="Y108" i="3"/>
  <c r="AL108" i="3" s="1"/>
  <c r="Z108" i="3"/>
  <c r="AM108" i="3" s="1"/>
  <c r="R109" i="3"/>
  <c r="AE109" i="3" s="1"/>
  <c r="S109" i="3"/>
  <c r="AF109" i="3" s="1"/>
  <c r="T109" i="3"/>
  <c r="AG109" i="3" s="1"/>
  <c r="U109" i="3"/>
  <c r="AH109" i="3" s="1"/>
  <c r="V109" i="3"/>
  <c r="AI109" i="3" s="1"/>
  <c r="W109" i="3"/>
  <c r="AJ109" i="3" s="1"/>
  <c r="X109" i="3"/>
  <c r="AK109" i="3" s="1"/>
  <c r="Y109" i="3"/>
  <c r="AL109" i="3" s="1"/>
  <c r="Z109" i="3"/>
  <c r="AM109" i="3" s="1"/>
  <c r="R110" i="3"/>
  <c r="AE110" i="3" s="1"/>
  <c r="S110" i="3"/>
  <c r="AF110" i="3" s="1"/>
  <c r="T110" i="3"/>
  <c r="AG110" i="3" s="1"/>
  <c r="U110" i="3"/>
  <c r="AH110" i="3" s="1"/>
  <c r="V110" i="3"/>
  <c r="AI110" i="3" s="1"/>
  <c r="W110" i="3"/>
  <c r="AJ110" i="3" s="1"/>
  <c r="X110" i="3"/>
  <c r="AK110" i="3" s="1"/>
  <c r="Y110" i="3"/>
  <c r="AL110" i="3" s="1"/>
  <c r="Z110" i="3"/>
  <c r="AM110" i="3" s="1"/>
  <c r="R111" i="3"/>
  <c r="AE111" i="3" s="1"/>
  <c r="S111" i="3"/>
  <c r="AF111" i="3" s="1"/>
  <c r="T111" i="3"/>
  <c r="AG111" i="3" s="1"/>
  <c r="U111" i="3"/>
  <c r="AH111" i="3" s="1"/>
  <c r="V111" i="3"/>
  <c r="AI111" i="3" s="1"/>
  <c r="W111" i="3"/>
  <c r="AJ111" i="3" s="1"/>
  <c r="X111" i="3"/>
  <c r="AK111" i="3" s="1"/>
  <c r="Y111" i="3"/>
  <c r="AL111" i="3" s="1"/>
  <c r="Z111" i="3"/>
  <c r="AM111" i="3" s="1"/>
  <c r="R112" i="3"/>
  <c r="AE112" i="3" s="1"/>
  <c r="S112" i="3"/>
  <c r="AF112" i="3" s="1"/>
  <c r="T112" i="3"/>
  <c r="AG112" i="3" s="1"/>
  <c r="U112" i="3"/>
  <c r="AH112" i="3" s="1"/>
  <c r="V112" i="3"/>
  <c r="AI112" i="3" s="1"/>
  <c r="W112" i="3"/>
  <c r="AJ112" i="3" s="1"/>
  <c r="X112" i="3"/>
  <c r="AK112" i="3" s="1"/>
  <c r="Y112" i="3"/>
  <c r="AL112" i="3" s="1"/>
  <c r="Z112" i="3"/>
  <c r="AM112" i="3" s="1"/>
  <c r="R113" i="3"/>
  <c r="AE113" i="3" s="1"/>
  <c r="S113" i="3"/>
  <c r="AF113" i="3" s="1"/>
  <c r="T113" i="3"/>
  <c r="AG113" i="3" s="1"/>
  <c r="U113" i="3"/>
  <c r="AH113" i="3" s="1"/>
  <c r="V113" i="3"/>
  <c r="AI113" i="3" s="1"/>
  <c r="W113" i="3"/>
  <c r="AJ113" i="3" s="1"/>
  <c r="X113" i="3"/>
  <c r="AK113" i="3" s="1"/>
  <c r="Y113" i="3"/>
  <c r="AL113" i="3" s="1"/>
  <c r="Z113" i="3"/>
  <c r="AM113" i="3" s="1"/>
  <c r="R114" i="3"/>
  <c r="AE114" i="3" s="1"/>
  <c r="S114" i="3"/>
  <c r="AF114" i="3" s="1"/>
  <c r="T114" i="3"/>
  <c r="AG114" i="3" s="1"/>
  <c r="U114" i="3"/>
  <c r="AH114" i="3" s="1"/>
  <c r="V114" i="3"/>
  <c r="AI114" i="3" s="1"/>
  <c r="W114" i="3"/>
  <c r="AJ114" i="3" s="1"/>
  <c r="X114" i="3"/>
  <c r="AK114" i="3" s="1"/>
  <c r="Y114" i="3"/>
  <c r="AL114" i="3" s="1"/>
  <c r="Z114" i="3"/>
  <c r="AM114" i="3" s="1"/>
  <c r="R115" i="3"/>
  <c r="AE115" i="3" s="1"/>
  <c r="S115" i="3"/>
  <c r="AF115" i="3" s="1"/>
  <c r="T115" i="3"/>
  <c r="AG115" i="3" s="1"/>
  <c r="U115" i="3"/>
  <c r="AH115" i="3" s="1"/>
  <c r="V115" i="3"/>
  <c r="AI115" i="3" s="1"/>
  <c r="W115" i="3"/>
  <c r="AJ115" i="3" s="1"/>
  <c r="X115" i="3"/>
  <c r="AK115" i="3" s="1"/>
  <c r="Y115" i="3"/>
  <c r="AL115" i="3" s="1"/>
  <c r="Z115" i="3"/>
  <c r="AM115" i="3" s="1"/>
  <c r="R116" i="3"/>
  <c r="AE116" i="3" s="1"/>
  <c r="S116" i="3"/>
  <c r="AF116" i="3" s="1"/>
  <c r="T116" i="3"/>
  <c r="AG116" i="3" s="1"/>
  <c r="U116" i="3"/>
  <c r="AH116" i="3" s="1"/>
  <c r="V116" i="3"/>
  <c r="AI116" i="3" s="1"/>
  <c r="W116" i="3"/>
  <c r="AJ116" i="3" s="1"/>
  <c r="X116" i="3"/>
  <c r="AK116" i="3" s="1"/>
  <c r="Y116" i="3"/>
  <c r="AL116" i="3" s="1"/>
  <c r="Z116" i="3"/>
  <c r="AM116" i="3" s="1"/>
  <c r="R117" i="3"/>
  <c r="AE117" i="3" s="1"/>
  <c r="S117" i="3"/>
  <c r="AF117" i="3" s="1"/>
  <c r="T117" i="3"/>
  <c r="AG117" i="3" s="1"/>
  <c r="U117" i="3"/>
  <c r="AH117" i="3" s="1"/>
  <c r="V117" i="3"/>
  <c r="AI117" i="3" s="1"/>
  <c r="W117" i="3"/>
  <c r="AJ117" i="3" s="1"/>
  <c r="X117" i="3"/>
  <c r="AK117" i="3" s="1"/>
  <c r="Y117" i="3"/>
  <c r="AL117" i="3" s="1"/>
  <c r="Z117" i="3"/>
  <c r="AM117" i="3" s="1"/>
  <c r="R118" i="3"/>
  <c r="AE118" i="3" s="1"/>
  <c r="S118" i="3"/>
  <c r="AF118" i="3" s="1"/>
  <c r="T118" i="3"/>
  <c r="AG118" i="3" s="1"/>
  <c r="U118" i="3"/>
  <c r="AH118" i="3" s="1"/>
  <c r="V118" i="3"/>
  <c r="AI118" i="3" s="1"/>
  <c r="W118" i="3"/>
  <c r="AJ118" i="3" s="1"/>
  <c r="X118" i="3"/>
  <c r="AK118" i="3" s="1"/>
  <c r="Y118" i="3"/>
  <c r="AL118" i="3" s="1"/>
  <c r="Z118" i="3"/>
  <c r="AM118" i="3" s="1"/>
  <c r="R119" i="3"/>
  <c r="AE119" i="3" s="1"/>
  <c r="S119" i="3"/>
  <c r="AF119" i="3" s="1"/>
  <c r="T119" i="3"/>
  <c r="AG119" i="3" s="1"/>
  <c r="U119" i="3"/>
  <c r="AH119" i="3" s="1"/>
  <c r="V119" i="3"/>
  <c r="AI119" i="3" s="1"/>
  <c r="W119" i="3"/>
  <c r="AJ119" i="3" s="1"/>
  <c r="X119" i="3"/>
  <c r="AK119" i="3" s="1"/>
  <c r="Y119" i="3"/>
  <c r="AL119" i="3" s="1"/>
  <c r="Z119" i="3"/>
  <c r="AM119" i="3" s="1"/>
  <c r="R120" i="3"/>
  <c r="AE120" i="3" s="1"/>
  <c r="S120" i="3"/>
  <c r="AF120" i="3" s="1"/>
  <c r="T120" i="3"/>
  <c r="AG120" i="3" s="1"/>
  <c r="U120" i="3"/>
  <c r="AH120" i="3" s="1"/>
  <c r="V120" i="3"/>
  <c r="AI120" i="3" s="1"/>
  <c r="W120" i="3"/>
  <c r="AJ120" i="3" s="1"/>
  <c r="X120" i="3"/>
  <c r="AK120" i="3" s="1"/>
  <c r="Y120" i="3"/>
  <c r="AL120" i="3" s="1"/>
  <c r="Z120" i="3"/>
  <c r="AM120" i="3" s="1"/>
  <c r="R121" i="3"/>
  <c r="AE121" i="3" s="1"/>
  <c r="S121" i="3"/>
  <c r="AF121" i="3" s="1"/>
  <c r="T121" i="3"/>
  <c r="AG121" i="3" s="1"/>
  <c r="U121" i="3"/>
  <c r="AH121" i="3" s="1"/>
  <c r="V121" i="3"/>
  <c r="AI121" i="3" s="1"/>
  <c r="W121" i="3"/>
  <c r="AJ121" i="3" s="1"/>
  <c r="X121" i="3"/>
  <c r="AK121" i="3" s="1"/>
  <c r="Y121" i="3"/>
  <c r="AL121" i="3" s="1"/>
  <c r="Z121" i="3"/>
  <c r="AM121" i="3" s="1"/>
  <c r="R122" i="3"/>
  <c r="AE122" i="3" s="1"/>
  <c r="S122" i="3"/>
  <c r="AF122" i="3" s="1"/>
  <c r="T122" i="3"/>
  <c r="AG122" i="3" s="1"/>
  <c r="U122" i="3"/>
  <c r="AH122" i="3" s="1"/>
  <c r="V122" i="3"/>
  <c r="AI122" i="3" s="1"/>
  <c r="W122" i="3"/>
  <c r="AJ122" i="3" s="1"/>
  <c r="X122" i="3"/>
  <c r="AK122" i="3" s="1"/>
  <c r="Y122" i="3"/>
  <c r="AL122" i="3" s="1"/>
  <c r="Z122" i="3"/>
  <c r="AM122" i="3" s="1"/>
  <c r="R123" i="3"/>
  <c r="AE123" i="3" s="1"/>
  <c r="S123" i="3"/>
  <c r="AF123" i="3" s="1"/>
  <c r="T123" i="3"/>
  <c r="AG123" i="3" s="1"/>
  <c r="U123" i="3"/>
  <c r="AH123" i="3" s="1"/>
  <c r="V123" i="3"/>
  <c r="AI123" i="3" s="1"/>
  <c r="W123" i="3"/>
  <c r="AJ123" i="3" s="1"/>
  <c r="X123" i="3"/>
  <c r="AK123" i="3" s="1"/>
  <c r="Y123" i="3"/>
  <c r="AL123" i="3" s="1"/>
  <c r="Z123" i="3"/>
  <c r="AM123" i="3" s="1"/>
  <c r="R124" i="3"/>
  <c r="AE124" i="3" s="1"/>
  <c r="S124" i="3"/>
  <c r="AF124" i="3" s="1"/>
  <c r="T124" i="3"/>
  <c r="AG124" i="3" s="1"/>
  <c r="U124" i="3"/>
  <c r="AH124" i="3" s="1"/>
  <c r="V124" i="3"/>
  <c r="AI124" i="3" s="1"/>
  <c r="W124" i="3"/>
  <c r="AJ124" i="3" s="1"/>
  <c r="X124" i="3"/>
  <c r="AK124" i="3" s="1"/>
  <c r="Y124" i="3"/>
  <c r="AL124" i="3" s="1"/>
  <c r="Z124" i="3"/>
  <c r="AM124" i="3" s="1"/>
  <c r="R125" i="3"/>
  <c r="AE125" i="3" s="1"/>
  <c r="S125" i="3"/>
  <c r="AF125" i="3" s="1"/>
  <c r="T125" i="3"/>
  <c r="AG125" i="3" s="1"/>
  <c r="U125" i="3"/>
  <c r="AH125" i="3" s="1"/>
  <c r="V125" i="3"/>
  <c r="AI125" i="3" s="1"/>
  <c r="W125" i="3"/>
  <c r="AJ125" i="3" s="1"/>
  <c r="X125" i="3"/>
  <c r="AK125" i="3" s="1"/>
  <c r="Y125" i="3"/>
  <c r="AL125" i="3" s="1"/>
  <c r="Z125" i="3"/>
  <c r="AM125" i="3" s="1"/>
  <c r="R126" i="3"/>
  <c r="AE126" i="3" s="1"/>
  <c r="S126" i="3"/>
  <c r="AF126" i="3" s="1"/>
  <c r="T126" i="3"/>
  <c r="AG126" i="3" s="1"/>
  <c r="U126" i="3"/>
  <c r="AH126" i="3" s="1"/>
  <c r="V126" i="3"/>
  <c r="AI126" i="3" s="1"/>
  <c r="W126" i="3"/>
  <c r="AJ126" i="3" s="1"/>
  <c r="X126" i="3"/>
  <c r="AK126" i="3" s="1"/>
  <c r="Y126" i="3"/>
  <c r="AL126" i="3" s="1"/>
  <c r="Z126" i="3"/>
  <c r="AM126" i="3" s="1"/>
  <c r="R127" i="3"/>
  <c r="AE127" i="3" s="1"/>
  <c r="S127" i="3"/>
  <c r="AF127" i="3" s="1"/>
  <c r="T127" i="3"/>
  <c r="AG127" i="3" s="1"/>
  <c r="U127" i="3"/>
  <c r="AH127" i="3" s="1"/>
  <c r="V127" i="3"/>
  <c r="AI127" i="3" s="1"/>
  <c r="W127" i="3"/>
  <c r="AJ127" i="3" s="1"/>
  <c r="X127" i="3"/>
  <c r="AK127" i="3" s="1"/>
  <c r="Y127" i="3"/>
  <c r="AL127" i="3" s="1"/>
  <c r="Z127" i="3"/>
  <c r="AM127" i="3" s="1"/>
  <c r="R128" i="3"/>
  <c r="AE128" i="3" s="1"/>
  <c r="S128" i="3"/>
  <c r="AF128" i="3" s="1"/>
  <c r="T128" i="3"/>
  <c r="AG128" i="3" s="1"/>
  <c r="U128" i="3"/>
  <c r="AH128" i="3" s="1"/>
  <c r="V128" i="3"/>
  <c r="AI128" i="3" s="1"/>
  <c r="W128" i="3"/>
  <c r="AJ128" i="3" s="1"/>
  <c r="X128" i="3"/>
  <c r="AK128" i="3" s="1"/>
  <c r="Y128" i="3"/>
  <c r="AL128" i="3" s="1"/>
  <c r="Z128" i="3"/>
  <c r="AM128" i="3" s="1"/>
  <c r="R129" i="3"/>
  <c r="AE129" i="3" s="1"/>
  <c r="S129" i="3"/>
  <c r="AF129" i="3" s="1"/>
  <c r="T129" i="3"/>
  <c r="AG129" i="3" s="1"/>
  <c r="U129" i="3"/>
  <c r="AH129" i="3" s="1"/>
  <c r="V129" i="3"/>
  <c r="AI129" i="3" s="1"/>
  <c r="W129" i="3"/>
  <c r="AJ129" i="3" s="1"/>
  <c r="X129" i="3"/>
  <c r="AK129" i="3" s="1"/>
  <c r="Y129" i="3"/>
  <c r="AL129" i="3" s="1"/>
  <c r="Z129" i="3"/>
  <c r="AM129" i="3" s="1"/>
  <c r="R130" i="3"/>
  <c r="AE130" i="3" s="1"/>
  <c r="S130" i="3"/>
  <c r="AF130" i="3" s="1"/>
  <c r="T130" i="3"/>
  <c r="AG130" i="3" s="1"/>
  <c r="U130" i="3"/>
  <c r="AH130" i="3" s="1"/>
  <c r="V130" i="3"/>
  <c r="AI130" i="3" s="1"/>
  <c r="W130" i="3"/>
  <c r="AJ130" i="3" s="1"/>
  <c r="X130" i="3"/>
  <c r="AK130" i="3" s="1"/>
  <c r="Y130" i="3"/>
  <c r="AL130" i="3" s="1"/>
  <c r="Z130" i="3"/>
  <c r="AM130" i="3" s="1"/>
  <c r="R131" i="3"/>
  <c r="AE131" i="3" s="1"/>
  <c r="S131" i="3"/>
  <c r="AF131" i="3" s="1"/>
  <c r="T131" i="3"/>
  <c r="AG131" i="3" s="1"/>
  <c r="U131" i="3"/>
  <c r="AH131" i="3" s="1"/>
  <c r="V131" i="3"/>
  <c r="AI131" i="3" s="1"/>
  <c r="W131" i="3"/>
  <c r="AJ131" i="3" s="1"/>
  <c r="X131" i="3"/>
  <c r="AK131" i="3" s="1"/>
  <c r="Y131" i="3"/>
  <c r="AL131" i="3" s="1"/>
  <c r="Z131" i="3"/>
  <c r="AM131" i="3" s="1"/>
  <c r="R132" i="3"/>
  <c r="AE132" i="3" s="1"/>
  <c r="S132" i="3"/>
  <c r="AF132" i="3" s="1"/>
  <c r="T132" i="3"/>
  <c r="AG132" i="3" s="1"/>
  <c r="U132" i="3"/>
  <c r="AH132" i="3" s="1"/>
  <c r="V132" i="3"/>
  <c r="AI132" i="3" s="1"/>
  <c r="W132" i="3"/>
  <c r="AJ132" i="3" s="1"/>
  <c r="X132" i="3"/>
  <c r="AK132" i="3" s="1"/>
  <c r="Y132" i="3"/>
  <c r="AL132" i="3" s="1"/>
  <c r="Z132" i="3"/>
  <c r="AM132" i="3" s="1"/>
  <c r="R133" i="3"/>
  <c r="AE133" i="3" s="1"/>
  <c r="S133" i="3"/>
  <c r="AF133" i="3" s="1"/>
  <c r="T133" i="3"/>
  <c r="AG133" i="3" s="1"/>
  <c r="U133" i="3"/>
  <c r="AH133" i="3" s="1"/>
  <c r="V133" i="3"/>
  <c r="AI133" i="3" s="1"/>
  <c r="W133" i="3"/>
  <c r="AJ133" i="3" s="1"/>
  <c r="X133" i="3"/>
  <c r="AK133" i="3" s="1"/>
  <c r="Y133" i="3"/>
  <c r="AL133" i="3" s="1"/>
  <c r="Z133" i="3"/>
  <c r="AM133" i="3" s="1"/>
  <c r="R134" i="3"/>
  <c r="AE134" i="3" s="1"/>
  <c r="S134" i="3"/>
  <c r="AF134" i="3" s="1"/>
  <c r="T134" i="3"/>
  <c r="AG134" i="3" s="1"/>
  <c r="U134" i="3"/>
  <c r="AH134" i="3" s="1"/>
  <c r="V134" i="3"/>
  <c r="AI134" i="3" s="1"/>
  <c r="W134" i="3"/>
  <c r="AJ134" i="3" s="1"/>
  <c r="X134" i="3"/>
  <c r="AK134" i="3" s="1"/>
  <c r="Y134" i="3"/>
  <c r="AL134" i="3" s="1"/>
  <c r="Z134" i="3"/>
  <c r="AM134" i="3" s="1"/>
  <c r="R135" i="3"/>
  <c r="AE135" i="3" s="1"/>
  <c r="S135" i="3"/>
  <c r="AF135" i="3" s="1"/>
  <c r="T135" i="3"/>
  <c r="AG135" i="3" s="1"/>
  <c r="U135" i="3"/>
  <c r="AH135" i="3" s="1"/>
  <c r="V135" i="3"/>
  <c r="AI135" i="3" s="1"/>
  <c r="W135" i="3"/>
  <c r="AJ135" i="3" s="1"/>
  <c r="X135" i="3"/>
  <c r="AK135" i="3" s="1"/>
  <c r="Y135" i="3"/>
  <c r="AL135" i="3" s="1"/>
  <c r="Z135" i="3"/>
  <c r="AM135" i="3" s="1"/>
  <c r="R136" i="3"/>
  <c r="AE136" i="3" s="1"/>
  <c r="S136" i="3"/>
  <c r="AF136" i="3" s="1"/>
  <c r="T136" i="3"/>
  <c r="AG136" i="3" s="1"/>
  <c r="U136" i="3"/>
  <c r="AH136" i="3" s="1"/>
  <c r="V136" i="3"/>
  <c r="AI136" i="3" s="1"/>
  <c r="W136" i="3"/>
  <c r="AJ136" i="3" s="1"/>
  <c r="X136" i="3"/>
  <c r="AK136" i="3" s="1"/>
  <c r="Y136" i="3"/>
  <c r="AL136" i="3" s="1"/>
  <c r="Z136" i="3"/>
  <c r="AM136" i="3" s="1"/>
  <c r="R137" i="3"/>
  <c r="AE137" i="3" s="1"/>
  <c r="S137" i="3"/>
  <c r="AF137" i="3" s="1"/>
  <c r="T137" i="3"/>
  <c r="AG137" i="3" s="1"/>
  <c r="U137" i="3"/>
  <c r="AH137" i="3" s="1"/>
  <c r="V137" i="3"/>
  <c r="AI137" i="3" s="1"/>
  <c r="W137" i="3"/>
  <c r="AJ137" i="3" s="1"/>
  <c r="X137" i="3"/>
  <c r="AK137" i="3" s="1"/>
  <c r="Y137" i="3"/>
  <c r="AL137" i="3" s="1"/>
  <c r="Z137" i="3"/>
  <c r="AM137" i="3" s="1"/>
  <c r="R138" i="3"/>
  <c r="AE138" i="3" s="1"/>
  <c r="S138" i="3"/>
  <c r="AF138" i="3" s="1"/>
  <c r="T138" i="3"/>
  <c r="AG138" i="3" s="1"/>
  <c r="U138" i="3"/>
  <c r="AH138" i="3" s="1"/>
  <c r="V138" i="3"/>
  <c r="AI138" i="3" s="1"/>
  <c r="W138" i="3"/>
  <c r="AJ138" i="3" s="1"/>
  <c r="X138" i="3"/>
  <c r="AK138" i="3" s="1"/>
  <c r="Y138" i="3"/>
  <c r="AL138" i="3" s="1"/>
  <c r="Z138" i="3"/>
  <c r="AM138" i="3" s="1"/>
  <c r="R139" i="3"/>
  <c r="AE139" i="3" s="1"/>
  <c r="S139" i="3"/>
  <c r="AF139" i="3" s="1"/>
  <c r="T139" i="3"/>
  <c r="AG139" i="3" s="1"/>
  <c r="U139" i="3"/>
  <c r="AH139" i="3" s="1"/>
  <c r="V139" i="3"/>
  <c r="AI139" i="3" s="1"/>
  <c r="W139" i="3"/>
  <c r="AJ139" i="3" s="1"/>
  <c r="X139" i="3"/>
  <c r="AK139" i="3" s="1"/>
  <c r="Y139" i="3"/>
  <c r="AL139" i="3" s="1"/>
  <c r="Z139" i="3"/>
  <c r="AM139" i="3" s="1"/>
  <c r="R140" i="3"/>
  <c r="AE140" i="3" s="1"/>
  <c r="S140" i="3"/>
  <c r="AF140" i="3" s="1"/>
  <c r="T140" i="3"/>
  <c r="AG140" i="3" s="1"/>
  <c r="U140" i="3"/>
  <c r="AH140" i="3" s="1"/>
  <c r="V140" i="3"/>
  <c r="AI140" i="3" s="1"/>
  <c r="W140" i="3"/>
  <c r="AJ140" i="3" s="1"/>
  <c r="X140" i="3"/>
  <c r="AK140" i="3" s="1"/>
  <c r="Y140" i="3"/>
  <c r="AL140" i="3" s="1"/>
  <c r="Z140" i="3"/>
  <c r="AM140" i="3" s="1"/>
  <c r="R141" i="3"/>
  <c r="AE141" i="3" s="1"/>
  <c r="S141" i="3"/>
  <c r="AF141" i="3" s="1"/>
  <c r="T141" i="3"/>
  <c r="AG141" i="3" s="1"/>
  <c r="U141" i="3"/>
  <c r="AH141" i="3" s="1"/>
  <c r="V141" i="3"/>
  <c r="AI141" i="3" s="1"/>
  <c r="W141" i="3"/>
  <c r="AJ141" i="3" s="1"/>
  <c r="X141" i="3"/>
  <c r="AK141" i="3" s="1"/>
  <c r="Y141" i="3"/>
  <c r="AL141" i="3" s="1"/>
  <c r="Z141" i="3"/>
  <c r="AM141" i="3" s="1"/>
  <c r="R142" i="3"/>
  <c r="AE142" i="3" s="1"/>
  <c r="S142" i="3"/>
  <c r="AF142" i="3" s="1"/>
  <c r="T142" i="3"/>
  <c r="AG142" i="3" s="1"/>
  <c r="U142" i="3"/>
  <c r="AH142" i="3" s="1"/>
  <c r="V142" i="3"/>
  <c r="AI142" i="3" s="1"/>
  <c r="W142" i="3"/>
  <c r="AJ142" i="3" s="1"/>
  <c r="X142" i="3"/>
  <c r="AK142" i="3" s="1"/>
  <c r="Y142" i="3"/>
  <c r="AL142" i="3" s="1"/>
  <c r="Z142" i="3"/>
  <c r="AM142" i="3" s="1"/>
  <c r="R143" i="3"/>
  <c r="AE143" i="3" s="1"/>
  <c r="S143" i="3"/>
  <c r="AF143" i="3" s="1"/>
  <c r="T143" i="3"/>
  <c r="AG143" i="3" s="1"/>
  <c r="U143" i="3"/>
  <c r="AH143" i="3" s="1"/>
  <c r="V143" i="3"/>
  <c r="AI143" i="3" s="1"/>
  <c r="W143" i="3"/>
  <c r="AJ143" i="3" s="1"/>
  <c r="X143" i="3"/>
  <c r="AK143" i="3" s="1"/>
  <c r="Y143" i="3"/>
  <c r="AL143" i="3" s="1"/>
  <c r="Z143" i="3"/>
  <c r="AM143" i="3" s="1"/>
  <c r="R144" i="3"/>
  <c r="AE144" i="3" s="1"/>
  <c r="S144" i="3"/>
  <c r="AF144" i="3" s="1"/>
  <c r="T144" i="3"/>
  <c r="AG144" i="3" s="1"/>
  <c r="U144" i="3"/>
  <c r="AH144" i="3" s="1"/>
  <c r="V144" i="3"/>
  <c r="AI144" i="3" s="1"/>
  <c r="W144" i="3"/>
  <c r="AJ144" i="3" s="1"/>
  <c r="X144" i="3"/>
  <c r="AK144" i="3" s="1"/>
  <c r="Y144" i="3"/>
  <c r="AL144" i="3" s="1"/>
  <c r="Z144" i="3"/>
  <c r="AM144" i="3" s="1"/>
  <c r="R145" i="3"/>
  <c r="AE145" i="3" s="1"/>
  <c r="S145" i="3"/>
  <c r="AF145" i="3" s="1"/>
  <c r="T145" i="3"/>
  <c r="AG145" i="3" s="1"/>
  <c r="U145" i="3"/>
  <c r="AH145" i="3" s="1"/>
  <c r="V145" i="3"/>
  <c r="AI145" i="3" s="1"/>
  <c r="W145" i="3"/>
  <c r="AJ145" i="3" s="1"/>
  <c r="X145" i="3"/>
  <c r="AK145" i="3" s="1"/>
  <c r="Y145" i="3"/>
  <c r="AL145" i="3" s="1"/>
  <c r="Z145" i="3"/>
  <c r="AM145" i="3" s="1"/>
  <c r="R146" i="3"/>
  <c r="AE146" i="3" s="1"/>
  <c r="S146" i="3"/>
  <c r="AF146" i="3" s="1"/>
  <c r="T146" i="3"/>
  <c r="AG146" i="3" s="1"/>
  <c r="U146" i="3"/>
  <c r="AH146" i="3" s="1"/>
  <c r="V146" i="3"/>
  <c r="AI146" i="3" s="1"/>
  <c r="W146" i="3"/>
  <c r="AJ146" i="3" s="1"/>
  <c r="X146" i="3"/>
  <c r="AK146" i="3" s="1"/>
  <c r="Y146" i="3"/>
  <c r="AL146" i="3" s="1"/>
  <c r="Z146" i="3"/>
  <c r="AM146" i="3" s="1"/>
  <c r="R147" i="3"/>
  <c r="AE147" i="3" s="1"/>
  <c r="S147" i="3"/>
  <c r="AF147" i="3" s="1"/>
  <c r="T147" i="3"/>
  <c r="AG147" i="3" s="1"/>
  <c r="U147" i="3"/>
  <c r="AH147" i="3" s="1"/>
  <c r="V147" i="3"/>
  <c r="AI147" i="3" s="1"/>
  <c r="W147" i="3"/>
  <c r="AJ147" i="3" s="1"/>
  <c r="X147" i="3"/>
  <c r="AK147" i="3" s="1"/>
  <c r="Y147" i="3"/>
  <c r="AL147" i="3" s="1"/>
  <c r="Z147" i="3"/>
  <c r="AM147" i="3" s="1"/>
  <c r="R148" i="3"/>
  <c r="AE148" i="3" s="1"/>
  <c r="S148" i="3"/>
  <c r="AF148" i="3" s="1"/>
  <c r="T148" i="3"/>
  <c r="AG148" i="3" s="1"/>
  <c r="U148" i="3"/>
  <c r="AH148" i="3" s="1"/>
  <c r="V148" i="3"/>
  <c r="AI148" i="3" s="1"/>
  <c r="W148" i="3"/>
  <c r="AJ148" i="3" s="1"/>
  <c r="X148" i="3"/>
  <c r="AK148" i="3" s="1"/>
  <c r="Y148" i="3"/>
  <c r="AL148" i="3" s="1"/>
  <c r="Z148" i="3"/>
  <c r="AM148" i="3" s="1"/>
  <c r="R149" i="3"/>
  <c r="AE149" i="3" s="1"/>
  <c r="S149" i="3"/>
  <c r="AF149" i="3" s="1"/>
  <c r="T149" i="3"/>
  <c r="AG149" i="3" s="1"/>
  <c r="U149" i="3"/>
  <c r="AH149" i="3" s="1"/>
  <c r="V149" i="3"/>
  <c r="AI149" i="3" s="1"/>
  <c r="W149" i="3"/>
  <c r="AJ149" i="3" s="1"/>
  <c r="X149" i="3"/>
  <c r="AK149" i="3" s="1"/>
  <c r="Y149" i="3"/>
  <c r="AL149" i="3" s="1"/>
  <c r="Z149" i="3"/>
  <c r="AM149" i="3" s="1"/>
  <c r="R150" i="3"/>
  <c r="AE150" i="3" s="1"/>
  <c r="S150" i="3"/>
  <c r="AF150" i="3" s="1"/>
  <c r="T150" i="3"/>
  <c r="AG150" i="3" s="1"/>
  <c r="U150" i="3"/>
  <c r="AH150" i="3" s="1"/>
  <c r="V150" i="3"/>
  <c r="AI150" i="3" s="1"/>
  <c r="W150" i="3"/>
  <c r="AJ150" i="3" s="1"/>
  <c r="X150" i="3"/>
  <c r="AK150" i="3" s="1"/>
  <c r="Y150" i="3"/>
  <c r="AL150" i="3" s="1"/>
  <c r="Z150" i="3"/>
  <c r="AM150" i="3" s="1"/>
  <c r="R151" i="3"/>
  <c r="AE151" i="3" s="1"/>
  <c r="S151" i="3"/>
  <c r="AF151" i="3" s="1"/>
  <c r="T151" i="3"/>
  <c r="AG151" i="3" s="1"/>
  <c r="U151" i="3"/>
  <c r="AH151" i="3" s="1"/>
  <c r="V151" i="3"/>
  <c r="AI151" i="3" s="1"/>
  <c r="W151" i="3"/>
  <c r="AJ151" i="3" s="1"/>
  <c r="X151" i="3"/>
  <c r="AK151" i="3" s="1"/>
  <c r="Y151" i="3"/>
  <c r="AL151" i="3" s="1"/>
  <c r="Z151" i="3"/>
  <c r="AM151" i="3" s="1"/>
  <c r="R152" i="3"/>
  <c r="AE152" i="3" s="1"/>
  <c r="S152" i="3"/>
  <c r="AF152" i="3" s="1"/>
  <c r="T152" i="3"/>
  <c r="AG152" i="3" s="1"/>
  <c r="U152" i="3"/>
  <c r="AH152" i="3" s="1"/>
  <c r="V152" i="3"/>
  <c r="AI152" i="3" s="1"/>
  <c r="W152" i="3"/>
  <c r="AJ152" i="3" s="1"/>
  <c r="X152" i="3"/>
  <c r="AK152" i="3" s="1"/>
  <c r="Y152" i="3"/>
  <c r="AL152" i="3" s="1"/>
  <c r="Z152" i="3"/>
  <c r="AM152" i="3" s="1"/>
  <c r="R153" i="3"/>
  <c r="AE153" i="3" s="1"/>
  <c r="S153" i="3"/>
  <c r="AF153" i="3" s="1"/>
  <c r="T153" i="3"/>
  <c r="AG153" i="3" s="1"/>
  <c r="U153" i="3"/>
  <c r="AH153" i="3" s="1"/>
  <c r="V153" i="3"/>
  <c r="AI153" i="3" s="1"/>
  <c r="W153" i="3"/>
  <c r="AJ153" i="3" s="1"/>
  <c r="X153" i="3"/>
  <c r="AK153" i="3" s="1"/>
  <c r="Y153" i="3"/>
  <c r="AL153" i="3" s="1"/>
  <c r="Z153" i="3"/>
  <c r="AM153" i="3" s="1"/>
  <c r="R154" i="3"/>
  <c r="AE154" i="3" s="1"/>
  <c r="S154" i="3"/>
  <c r="AF154" i="3" s="1"/>
  <c r="T154" i="3"/>
  <c r="AG154" i="3" s="1"/>
  <c r="U154" i="3"/>
  <c r="AH154" i="3" s="1"/>
  <c r="V154" i="3"/>
  <c r="AI154" i="3" s="1"/>
  <c r="W154" i="3"/>
  <c r="AJ154" i="3" s="1"/>
  <c r="X154" i="3"/>
  <c r="AK154" i="3" s="1"/>
  <c r="Y154" i="3"/>
  <c r="AL154" i="3" s="1"/>
  <c r="Z154" i="3"/>
  <c r="AM154" i="3" s="1"/>
  <c r="R155" i="3"/>
  <c r="AE155" i="3" s="1"/>
  <c r="S155" i="3"/>
  <c r="AF155" i="3" s="1"/>
  <c r="T155" i="3"/>
  <c r="AG155" i="3" s="1"/>
  <c r="U155" i="3"/>
  <c r="AH155" i="3" s="1"/>
  <c r="V155" i="3"/>
  <c r="AI155" i="3" s="1"/>
  <c r="W155" i="3"/>
  <c r="AJ155" i="3" s="1"/>
  <c r="X155" i="3"/>
  <c r="AK155" i="3" s="1"/>
  <c r="Y155" i="3"/>
  <c r="AL155" i="3" s="1"/>
  <c r="Z155" i="3"/>
  <c r="AM155" i="3" s="1"/>
  <c r="R156" i="3"/>
  <c r="AE156" i="3" s="1"/>
  <c r="S156" i="3"/>
  <c r="AF156" i="3" s="1"/>
  <c r="T156" i="3"/>
  <c r="AG156" i="3" s="1"/>
  <c r="U156" i="3"/>
  <c r="AH156" i="3" s="1"/>
  <c r="V156" i="3"/>
  <c r="AI156" i="3" s="1"/>
  <c r="W156" i="3"/>
  <c r="AJ156" i="3" s="1"/>
  <c r="X156" i="3"/>
  <c r="AK156" i="3" s="1"/>
  <c r="Y156" i="3"/>
  <c r="AL156" i="3" s="1"/>
  <c r="Z156" i="3"/>
  <c r="AM156" i="3" s="1"/>
  <c r="R157" i="3"/>
  <c r="AE157" i="3" s="1"/>
  <c r="S157" i="3"/>
  <c r="AF157" i="3" s="1"/>
  <c r="T157" i="3"/>
  <c r="AG157" i="3" s="1"/>
  <c r="U157" i="3"/>
  <c r="AH157" i="3" s="1"/>
  <c r="V157" i="3"/>
  <c r="AI157" i="3" s="1"/>
  <c r="W157" i="3"/>
  <c r="AJ157" i="3" s="1"/>
  <c r="X157" i="3"/>
  <c r="AK157" i="3" s="1"/>
  <c r="Y157" i="3"/>
  <c r="AL157" i="3" s="1"/>
  <c r="Z157" i="3"/>
  <c r="AM157" i="3" s="1"/>
  <c r="R158" i="3"/>
  <c r="AE158" i="3" s="1"/>
  <c r="S158" i="3"/>
  <c r="AF158" i="3" s="1"/>
  <c r="T158" i="3"/>
  <c r="AG158" i="3" s="1"/>
  <c r="U158" i="3"/>
  <c r="AH158" i="3" s="1"/>
  <c r="V158" i="3"/>
  <c r="AI158" i="3" s="1"/>
  <c r="W158" i="3"/>
  <c r="AJ158" i="3" s="1"/>
  <c r="X158" i="3"/>
  <c r="AK158" i="3" s="1"/>
  <c r="Y158" i="3"/>
  <c r="AL158" i="3" s="1"/>
  <c r="Z158" i="3"/>
  <c r="AM158" i="3" s="1"/>
  <c r="R159" i="3"/>
  <c r="AE159" i="3" s="1"/>
  <c r="S159" i="3"/>
  <c r="AF159" i="3" s="1"/>
  <c r="T159" i="3"/>
  <c r="AG159" i="3" s="1"/>
  <c r="U159" i="3"/>
  <c r="AH159" i="3" s="1"/>
  <c r="V159" i="3"/>
  <c r="AI159" i="3" s="1"/>
  <c r="W159" i="3"/>
  <c r="AJ159" i="3" s="1"/>
  <c r="X159" i="3"/>
  <c r="AK159" i="3" s="1"/>
  <c r="Y159" i="3"/>
  <c r="AL159" i="3" s="1"/>
  <c r="Z159" i="3"/>
  <c r="AM159" i="3" s="1"/>
  <c r="R160" i="3"/>
  <c r="AE160" i="3" s="1"/>
  <c r="S160" i="3"/>
  <c r="AF160" i="3" s="1"/>
  <c r="T160" i="3"/>
  <c r="AG160" i="3" s="1"/>
  <c r="U160" i="3"/>
  <c r="AH160" i="3" s="1"/>
  <c r="V160" i="3"/>
  <c r="AI160" i="3" s="1"/>
  <c r="W160" i="3"/>
  <c r="AJ160" i="3" s="1"/>
  <c r="X160" i="3"/>
  <c r="AK160" i="3" s="1"/>
  <c r="Y160" i="3"/>
  <c r="AL160" i="3" s="1"/>
  <c r="Z160" i="3"/>
  <c r="AM160" i="3" s="1"/>
  <c r="R161" i="3"/>
  <c r="AE161" i="3" s="1"/>
  <c r="S161" i="3"/>
  <c r="AF161" i="3" s="1"/>
  <c r="T161" i="3"/>
  <c r="AG161" i="3" s="1"/>
  <c r="U161" i="3"/>
  <c r="AH161" i="3" s="1"/>
  <c r="V161" i="3"/>
  <c r="AI161" i="3" s="1"/>
  <c r="W161" i="3"/>
  <c r="AJ161" i="3" s="1"/>
  <c r="X161" i="3"/>
  <c r="AK161" i="3" s="1"/>
  <c r="Y161" i="3"/>
  <c r="AL161" i="3" s="1"/>
  <c r="Z161" i="3"/>
  <c r="AM161" i="3" s="1"/>
  <c r="R162" i="3"/>
  <c r="AE162" i="3" s="1"/>
  <c r="S162" i="3"/>
  <c r="AF162" i="3" s="1"/>
  <c r="T162" i="3"/>
  <c r="AG162" i="3" s="1"/>
  <c r="U162" i="3"/>
  <c r="AH162" i="3" s="1"/>
  <c r="V162" i="3"/>
  <c r="AI162" i="3" s="1"/>
  <c r="W162" i="3"/>
  <c r="AJ162" i="3" s="1"/>
  <c r="X162" i="3"/>
  <c r="AK162" i="3" s="1"/>
  <c r="Y162" i="3"/>
  <c r="AL162" i="3" s="1"/>
  <c r="Z162" i="3"/>
  <c r="AM162" i="3" s="1"/>
  <c r="R163" i="3"/>
  <c r="AE163" i="3" s="1"/>
  <c r="S163" i="3"/>
  <c r="AF163" i="3" s="1"/>
  <c r="T163" i="3"/>
  <c r="AG163" i="3" s="1"/>
  <c r="U163" i="3"/>
  <c r="AH163" i="3" s="1"/>
  <c r="V163" i="3"/>
  <c r="AI163" i="3" s="1"/>
  <c r="W163" i="3"/>
  <c r="AJ163" i="3" s="1"/>
  <c r="X163" i="3"/>
  <c r="AK163" i="3" s="1"/>
  <c r="Y163" i="3"/>
  <c r="AL163" i="3" s="1"/>
  <c r="Z163" i="3"/>
  <c r="AM163" i="3" s="1"/>
  <c r="R164" i="3"/>
  <c r="AE164" i="3" s="1"/>
  <c r="S164" i="3"/>
  <c r="AF164" i="3" s="1"/>
  <c r="T164" i="3"/>
  <c r="AG164" i="3" s="1"/>
  <c r="U164" i="3"/>
  <c r="AH164" i="3" s="1"/>
  <c r="V164" i="3"/>
  <c r="AI164" i="3" s="1"/>
  <c r="W164" i="3"/>
  <c r="AJ164" i="3" s="1"/>
  <c r="X164" i="3"/>
  <c r="AK164" i="3" s="1"/>
  <c r="Y164" i="3"/>
  <c r="AL164" i="3" s="1"/>
  <c r="Z164" i="3"/>
  <c r="AM164" i="3" s="1"/>
  <c r="R165" i="3"/>
  <c r="AE165" i="3" s="1"/>
  <c r="S165" i="3"/>
  <c r="AF165" i="3" s="1"/>
  <c r="T165" i="3"/>
  <c r="AG165" i="3" s="1"/>
  <c r="U165" i="3"/>
  <c r="AH165" i="3" s="1"/>
  <c r="V165" i="3"/>
  <c r="AI165" i="3" s="1"/>
  <c r="W165" i="3"/>
  <c r="AJ165" i="3" s="1"/>
  <c r="X165" i="3"/>
  <c r="AK165" i="3" s="1"/>
  <c r="Y165" i="3"/>
  <c r="AL165" i="3" s="1"/>
  <c r="Z165" i="3"/>
  <c r="AM165" i="3" s="1"/>
  <c r="R166" i="3"/>
  <c r="AE166" i="3" s="1"/>
  <c r="S166" i="3"/>
  <c r="AF166" i="3" s="1"/>
  <c r="T166" i="3"/>
  <c r="AG166" i="3" s="1"/>
  <c r="U166" i="3"/>
  <c r="AH166" i="3" s="1"/>
  <c r="V166" i="3"/>
  <c r="AI166" i="3" s="1"/>
  <c r="W166" i="3"/>
  <c r="AJ166" i="3" s="1"/>
  <c r="X166" i="3"/>
  <c r="AK166" i="3" s="1"/>
  <c r="Y166" i="3"/>
  <c r="AL166" i="3" s="1"/>
  <c r="Z166" i="3"/>
  <c r="AM166" i="3" s="1"/>
  <c r="R167" i="3"/>
  <c r="AE167" i="3" s="1"/>
  <c r="S167" i="3"/>
  <c r="AF167" i="3" s="1"/>
  <c r="T167" i="3"/>
  <c r="AG167" i="3" s="1"/>
  <c r="U167" i="3"/>
  <c r="AH167" i="3" s="1"/>
  <c r="V167" i="3"/>
  <c r="AI167" i="3" s="1"/>
  <c r="W167" i="3"/>
  <c r="AJ167" i="3" s="1"/>
  <c r="X167" i="3"/>
  <c r="AK167" i="3" s="1"/>
  <c r="Y167" i="3"/>
  <c r="AL167" i="3" s="1"/>
  <c r="Z167" i="3"/>
  <c r="AM167" i="3" s="1"/>
  <c r="R168" i="3"/>
  <c r="AE168" i="3" s="1"/>
  <c r="S168" i="3"/>
  <c r="AF168" i="3" s="1"/>
  <c r="T168" i="3"/>
  <c r="AG168" i="3" s="1"/>
  <c r="U168" i="3"/>
  <c r="AH168" i="3" s="1"/>
  <c r="V168" i="3"/>
  <c r="AI168" i="3" s="1"/>
  <c r="W168" i="3"/>
  <c r="AJ168" i="3" s="1"/>
  <c r="X168" i="3"/>
  <c r="AK168" i="3" s="1"/>
  <c r="Y168" i="3"/>
  <c r="AL168" i="3" s="1"/>
  <c r="Z168" i="3"/>
  <c r="AM168" i="3" s="1"/>
  <c r="R169" i="3"/>
  <c r="AE169" i="3" s="1"/>
  <c r="S169" i="3"/>
  <c r="AF169" i="3" s="1"/>
  <c r="T169" i="3"/>
  <c r="AG169" i="3" s="1"/>
  <c r="U169" i="3"/>
  <c r="AH169" i="3" s="1"/>
  <c r="V169" i="3"/>
  <c r="AI169" i="3" s="1"/>
  <c r="W169" i="3"/>
  <c r="AJ169" i="3" s="1"/>
  <c r="X169" i="3"/>
  <c r="AK169" i="3" s="1"/>
  <c r="Y169" i="3"/>
  <c r="AL169" i="3" s="1"/>
  <c r="Z169" i="3"/>
  <c r="AM169" i="3" s="1"/>
  <c r="R170" i="3"/>
  <c r="AE170" i="3" s="1"/>
  <c r="S170" i="3"/>
  <c r="AF170" i="3" s="1"/>
  <c r="T170" i="3"/>
  <c r="AG170" i="3" s="1"/>
  <c r="U170" i="3"/>
  <c r="AH170" i="3" s="1"/>
  <c r="V170" i="3"/>
  <c r="AI170" i="3" s="1"/>
  <c r="W170" i="3"/>
  <c r="AJ170" i="3" s="1"/>
  <c r="X170" i="3"/>
  <c r="AK170" i="3" s="1"/>
  <c r="Y170" i="3"/>
  <c r="AL170" i="3" s="1"/>
  <c r="Z170" i="3"/>
  <c r="AM170" i="3" s="1"/>
  <c r="R171" i="3"/>
  <c r="AE171" i="3" s="1"/>
  <c r="S171" i="3"/>
  <c r="AF171" i="3" s="1"/>
  <c r="T171" i="3"/>
  <c r="AG171" i="3" s="1"/>
  <c r="U171" i="3"/>
  <c r="AH171" i="3" s="1"/>
  <c r="V171" i="3"/>
  <c r="AI171" i="3" s="1"/>
  <c r="W171" i="3"/>
  <c r="AJ171" i="3" s="1"/>
  <c r="X171" i="3"/>
  <c r="AK171" i="3" s="1"/>
  <c r="Y171" i="3"/>
  <c r="AL171" i="3" s="1"/>
  <c r="Z171" i="3"/>
  <c r="AM171" i="3" s="1"/>
  <c r="R172" i="3"/>
  <c r="AE172" i="3" s="1"/>
  <c r="S172" i="3"/>
  <c r="AF172" i="3" s="1"/>
  <c r="T172" i="3"/>
  <c r="AG172" i="3" s="1"/>
  <c r="U172" i="3"/>
  <c r="AH172" i="3" s="1"/>
  <c r="V172" i="3"/>
  <c r="AI172" i="3" s="1"/>
  <c r="W172" i="3"/>
  <c r="AJ172" i="3" s="1"/>
  <c r="X172" i="3"/>
  <c r="AK172" i="3" s="1"/>
  <c r="Y172" i="3"/>
  <c r="AL172" i="3" s="1"/>
  <c r="Z172" i="3"/>
  <c r="AM172" i="3" s="1"/>
  <c r="R173" i="3"/>
  <c r="AE173" i="3" s="1"/>
  <c r="S173" i="3"/>
  <c r="AF173" i="3" s="1"/>
  <c r="T173" i="3"/>
  <c r="AG173" i="3" s="1"/>
  <c r="U173" i="3"/>
  <c r="AH173" i="3" s="1"/>
  <c r="V173" i="3"/>
  <c r="AI173" i="3" s="1"/>
  <c r="W173" i="3"/>
  <c r="AJ173" i="3" s="1"/>
  <c r="X173" i="3"/>
  <c r="AK173" i="3" s="1"/>
  <c r="Y173" i="3"/>
  <c r="AL173" i="3" s="1"/>
  <c r="Z173" i="3"/>
  <c r="AM173" i="3" s="1"/>
  <c r="R174" i="3"/>
  <c r="AE174" i="3" s="1"/>
  <c r="S174" i="3"/>
  <c r="AF174" i="3" s="1"/>
  <c r="T174" i="3"/>
  <c r="AG174" i="3" s="1"/>
  <c r="U174" i="3"/>
  <c r="AH174" i="3" s="1"/>
  <c r="V174" i="3"/>
  <c r="AI174" i="3" s="1"/>
  <c r="W174" i="3"/>
  <c r="AJ174" i="3" s="1"/>
  <c r="X174" i="3"/>
  <c r="AK174" i="3" s="1"/>
  <c r="Y174" i="3"/>
  <c r="AL174" i="3" s="1"/>
  <c r="Z174" i="3"/>
  <c r="AM174" i="3" s="1"/>
  <c r="R175" i="3"/>
  <c r="AE175" i="3" s="1"/>
  <c r="S175" i="3"/>
  <c r="AF175" i="3" s="1"/>
  <c r="T175" i="3"/>
  <c r="AG175" i="3" s="1"/>
  <c r="U175" i="3"/>
  <c r="AH175" i="3" s="1"/>
  <c r="V175" i="3"/>
  <c r="AI175" i="3" s="1"/>
  <c r="W175" i="3"/>
  <c r="AJ175" i="3" s="1"/>
  <c r="X175" i="3"/>
  <c r="AK175" i="3" s="1"/>
  <c r="Y175" i="3"/>
  <c r="AL175" i="3" s="1"/>
  <c r="Z175" i="3"/>
  <c r="AM175" i="3" s="1"/>
  <c r="R176" i="3"/>
  <c r="AE176" i="3" s="1"/>
  <c r="S176" i="3"/>
  <c r="AF176" i="3" s="1"/>
  <c r="T176" i="3"/>
  <c r="AG176" i="3" s="1"/>
  <c r="U176" i="3"/>
  <c r="AH176" i="3" s="1"/>
  <c r="V176" i="3"/>
  <c r="AI176" i="3" s="1"/>
  <c r="W176" i="3"/>
  <c r="AJ176" i="3" s="1"/>
  <c r="X176" i="3"/>
  <c r="AK176" i="3" s="1"/>
  <c r="Y176" i="3"/>
  <c r="AL176" i="3" s="1"/>
  <c r="Z176" i="3"/>
  <c r="AM176" i="3" s="1"/>
  <c r="R177" i="3"/>
  <c r="AE177" i="3" s="1"/>
  <c r="S177" i="3"/>
  <c r="AF177" i="3" s="1"/>
  <c r="T177" i="3"/>
  <c r="AG177" i="3" s="1"/>
  <c r="U177" i="3"/>
  <c r="AH177" i="3" s="1"/>
  <c r="V177" i="3"/>
  <c r="AI177" i="3" s="1"/>
  <c r="W177" i="3"/>
  <c r="AJ177" i="3" s="1"/>
  <c r="X177" i="3"/>
  <c r="AK177" i="3" s="1"/>
  <c r="Y177" i="3"/>
  <c r="AL177" i="3" s="1"/>
  <c r="Z177" i="3"/>
  <c r="AM177" i="3" s="1"/>
  <c r="R178" i="3"/>
  <c r="AE178" i="3" s="1"/>
  <c r="S178" i="3"/>
  <c r="AF178" i="3" s="1"/>
  <c r="T178" i="3"/>
  <c r="AG178" i="3" s="1"/>
  <c r="U178" i="3"/>
  <c r="AH178" i="3" s="1"/>
  <c r="V178" i="3"/>
  <c r="AI178" i="3" s="1"/>
  <c r="W178" i="3"/>
  <c r="AJ178" i="3" s="1"/>
  <c r="X178" i="3"/>
  <c r="AK178" i="3" s="1"/>
  <c r="Y178" i="3"/>
  <c r="AL178" i="3" s="1"/>
  <c r="Z178" i="3"/>
  <c r="AM178" i="3" s="1"/>
  <c r="R179" i="3"/>
  <c r="AE179" i="3" s="1"/>
  <c r="S179" i="3"/>
  <c r="AF179" i="3" s="1"/>
  <c r="T179" i="3"/>
  <c r="AG179" i="3" s="1"/>
  <c r="U179" i="3"/>
  <c r="AH179" i="3" s="1"/>
  <c r="V179" i="3"/>
  <c r="AI179" i="3" s="1"/>
  <c r="W179" i="3"/>
  <c r="AJ179" i="3" s="1"/>
  <c r="X179" i="3"/>
  <c r="AK179" i="3" s="1"/>
  <c r="Y179" i="3"/>
  <c r="AL179" i="3" s="1"/>
  <c r="Z179" i="3"/>
  <c r="AM179" i="3" s="1"/>
  <c r="R180" i="3"/>
  <c r="AE180" i="3" s="1"/>
  <c r="S180" i="3"/>
  <c r="AF180" i="3" s="1"/>
  <c r="T180" i="3"/>
  <c r="AG180" i="3" s="1"/>
  <c r="U180" i="3"/>
  <c r="AH180" i="3" s="1"/>
  <c r="V180" i="3"/>
  <c r="AI180" i="3" s="1"/>
  <c r="W180" i="3"/>
  <c r="AJ180" i="3" s="1"/>
  <c r="X180" i="3"/>
  <c r="AK180" i="3" s="1"/>
  <c r="Y180" i="3"/>
  <c r="AL180" i="3" s="1"/>
  <c r="Z180" i="3"/>
  <c r="AM180" i="3" s="1"/>
  <c r="R181" i="3"/>
  <c r="AE181" i="3" s="1"/>
  <c r="S181" i="3"/>
  <c r="AF181" i="3" s="1"/>
  <c r="T181" i="3"/>
  <c r="AG181" i="3" s="1"/>
  <c r="U181" i="3"/>
  <c r="AH181" i="3" s="1"/>
  <c r="V181" i="3"/>
  <c r="AI181" i="3" s="1"/>
  <c r="W181" i="3"/>
  <c r="AJ181" i="3" s="1"/>
  <c r="X181" i="3"/>
  <c r="AK181" i="3" s="1"/>
  <c r="Y181" i="3"/>
  <c r="AL181" i="3" s="1"/>
  <c r="Z181" i="3"/>
  <c r="AM181" i="3" s="1"/>
  <c r="R182" i="3"/>
  <c r="AE182" i="3" s="1"/>
  <c r="S182" i="3"/>
  <c r="AF182" i="3" s="1"/>
  <c r="T182" i="3"/>
  <c r="AG182" i="3" s="1"/>
  <c r="U182" i="3"/>
  <c r="AH182" i="3" s="1"/>
  <c r="V182" i="3"/>
  <c r="AI182" i="3" s="1"/>
  <c r="W182" i="3"/>
  <c r="AJ182" i="3" s="1"/>
  <c r="X182" i="3"/>
  <c r="AK182" i="3" s="1"/>
  <c r="Y182" i="3"/>
  <c r="AL182" i="3" s="1"/>
  <c r="Z182" i="3"/>
  <c r="AM182" i="3" s="1"/>
  <c r="R183" i="3"/>
  <c r="AE183" i="3" s="1"/>
  <c r="S183" i="3"/>
  <c r="AF183" i="3" s="1"/>
  <c r="T183" i="3"/>
  <c r="AG183" i="3" s="1"/>
  <c r="U183" i="3"/>
  <c r="AH183" i="3" s="1"/>
  <c r="V183" i="3"/>
  <c r="AI183" i="3" s="1"/>
  <c r="W183" i="3"/>
  <c r="AJ183" i="3" s="1"/>
  <c r="X183" i="3"/>
  <c r="AK183" i="3" s="1"/>
  <c r="Y183" i="3"/>
  <c r="AL183" i="3" s="1"/>
  <c r="Z183" i="3"/>
  <c r="AM183" i="3" s="1"/>
  <c r="R184" i="3"/>
  <c r="AE184" i="3" s="1"/>
  <c r="S184" i="3"/>
  <c r="AF184" i="3" s="1"/>
  <c r="T184" i="3"/>
  <c r="AG184" i="3" s="1"/>
  <c r="U184" i="3"/>
  <c r="AH184" i="3" s="1"/>
  <c r="V184" i="3"/>
  <c r="AI184" i="3" s="1"/>
  <c r="W184" i="3"/>
  <c r="AJ184" i="3" s="1"/>
  <c r="X184" i="3"/>
  <c r="AK184" i="3" s="1"/>
  <c r="Y184" i="3"/>
  <c r="AL184" i="3" s="1"/>
  <c r="Z184" i="3"/>
  <c r="AM184" i="3" s="1"/>
  <c r="R185" i="3"/>
  <c r="AE185" i="3" s="1"/>
  <c r="S185" i="3"/>
  <c r="AF185" i="3" s="1"/>
  <c r="T185" i="3"/>
  <c r="AG185" i="3" s="1"/>
  <c r="U185" i="3"/>
  <c r="AH185" i="3" s="1"/>
  <c r="V185" i="3"/>
  <c r="AI185" i="3" s="1"/>
  <c r="W185" i="3"/>
  <c r="AJ185" i="3" s="1"/>
  <c r="X185" i="3"/>
  <c r="AK185" i="3" s="1"/>
  <c r="Y185" i="3"/>
  <c r="AL185" i="3" s="1"/>
  <c r="Z185" i="3"/>
  <c r="AM185" i="3" s="1"/>
  <c r="R186" i="3"/>
  <c r="AE186" i="3" s="1"/>
  <c r="S186" i="3"/>
  <c r="AF186" i="3" s="1"/>
  <c r="T186" i="3"/>
  <c r="AG186" i="3" s="1"/>
  <c r="U186" i="3"/>
  <c r="AH186" i="3" s="1"/>
  <c r="V186" i="3"/>
  <c r="AI186" i="3" s="1"/>
  <c r="W186" i="3"/>
  <c r="AJ186" i="3" s="1"/>
  <c r="X186" i="3"/>
  <c r="AK186" i="3" s="1"/>
  <c r="Y186" i="3"/>
  <c r="AL186" i="3" s="1"/>
  <c r="Z186" i="3"/>
  <c r="AM186" i="3" s="1"/>
  <c r="R187" i="3"/>
  <c r="AE187" i="3" s="1"/>
  <c r="S187" i="3"/>
  <c r="AF187" i="3" s="1"/>
  <c r="T187" i="3"/>
  <c r="AG187" i="3" s="1"/>
  <c r="U187" i="3"/>
  <c r="AH187" i="3" s="1"/>
  <c r="V187" i="3"/>
  <c r="AI187" i="3" s="1"/>
  <c r="W187" i="3"/>
  <c r="AJ187" i="3" s="1"/>
  <c r="X187" i="3"/>
  <c r="AK187" i="3" s="1"/>
  <c r="Y187" i="3"/>
  <c r="AL187" i="3" s="1"/>
  <c r="Z187" i="3"/>
  <c r="AM187" i="3" s="1"/>
  <c r="R188" i="3"/>
  <c r="AE188" i="3" s="1"/>
  <c r="S188" i="3"/>
  <c r="AF188" i="3" s="1"/>
  <c r="T188" i="3"/>
  <c r="AG188" i="3" s="1"/>
  <c r="U188" i="3"/>
  <c r="AH188" i="3" s="1"/>
  <c r="V188" i="3"/>
  <c r="AI188" i="3" s="1"/>
  <c r="W188" i="3"/>
  <c r="AJ188" i="3" s="1"/>
  <c r="X188" i="3"/>
  <c r="AK188" i="3" s="1"/>
  <c r="Y188" i="3"/>
  <c r="AL188" i="3" s="1"/>
  <c r="Z188" i="3"/>
  <c r="AM188" i="3" s="1"/>
  <c r="R189" i="3"/>
  <c r="AE189" i="3" s="1"/>
  <c r="S189" i="3"/>
  <c r="AF189" i="3" s="1"/>
  <c r="T189" i="3"/>
  <c r="AG189" i="3" s="1"/>
  <c r="U189" i="3"/>
  <c r="AH189" i="3" s="1"/>
  <c r="V189" i="3"/>
  <c r="AI189" i="3" s="1"/>
  <c r="W189" i="3"/>
  <c r="AJ189" i="3" s="1"/>
  <c r="X189" i="3"/>
  <c r="AK189" i="3" s="1"/>
  <c r="Y189" i="3"/>
  <c r="AL189" i="3" s="1"/>
  <c r="Z189" i="3"/>
  <c r="AM189" i="3" s="1"/>
  <c r="R190" i="3"/>
  <c r="AE190" i="3" s="1"/>
  <c r="S190" i="3"/>
  <c r="AF190" i="3" s="1"/>
  <c r="T190" i="3"/>
  <c r="AG190" i="3" s="1"/>
  <c r="U190" i="3"/>
  <c r="AH190" i="3" s="1"/>
  <c r="V190" i="3"/>
  <c r="AI190" i="3" s="1"/>
  <c r="W190" i="3"/>
  <c r="AJ190" i="3" s="1"/>
  <c r="X190" i="3"/>
  <c r="AK190" i="3" s="1"/>
  <c r="Y190" i="3"/>
  <c r="AL190" i="3" s="1"/>
  <c r="Z190" i="3"/>
  <c r="AM190" i="3" s="1"/>
  <c r="R191" i="3"/>
  <c r="AE191" i="3" s="1"/>
  <c r="S191" i="3"/>
  <c r="AF191" i="3" s="1"/>
  <c r="T191" i="3"/>
  <c r="AG191" i="3" s="1"/>
  <c r="U191" i="3"/>
  <c r="AH191" i="3" s="1"/>
  <c r="V191" i="3"/>
  <c r="AI191" i="3" s="1"/>
  <c r="W191" i="3"/>
  <c r="AJ191" i="3" s="1"/>
  <c r="X191" i="3"/>
  <c r="AK191" i="3" s="1"/>
  <c r="Y191" i="3"/>
  <c r="AL191" i="3" s="1"/>
  <c r="Z191" i="3"/>
  <c r="AM191" i="3" s="1"/>
  <c r="R192" i="3"/>
  <c r="AE192" i="3" s="1"/>
  <c r="S192" i="3"/>
  <c r="AF192" i="3" s="1"/>
  <c r="T192" i="3"/>
  <c r="AG192" i="3" s="1"/>
  <c r="U192" i="3"/>
  <c r="AH192" i="3" s="1"/>
  <c r="V192" i="3"/>
  <c r="AI192" i="3" s="1"/>
  <c r="W192" i="3"/>
  <c r="AJ192" i="3" s="1"/>
  <c r="X192" i="3"/>
  <c r="AK192" i="3" s="1"/>
  <c r="Y192" i="3"/>
  <c r="AL192" i="3" s="1"/>
  <c r="Z192" i="3"/>
  <c r="AM192" i="3" s="1"/>
  <c r="R193" i="3"/>
  <c r="AE193" i="3" s="1"/>
  <c r="S193" i="3"/>
  <c r="AF193" i="3" s="1"/>
  <c r="T193" i="3"/>
  <c r="AG193" i="3" s="1"/>
  <c r="U193" i="3"/>
  <c r="AH193" i="3" s="1"/>
  <c r="V193" i="3"/>
  <c r="AI193" i="3" s="1"/>
  <c r="W193" i="3"/>
  <c r="AJ193" i="3" s="1"/>
  <c r="X193" i="3"/>
  <c r="AK193" i="3" s="1"/>
  <c r="Y193" i="3"/>
  <c r="AL193" i="3" s="1"/>
  <c r="Z193" i="3"/>
  <c r="AM193" i="3" s="1"/>
  <c r="R194" i="3"/>
  <c r="AE194" i="3" s="1"/>
  <c r="S194" i="3"/>
  <c r="AF194" i="3" s="1"/>
  <c r="T194" i="3"/>
  <c r="AG194" i="3" s="1"/>
  <c r="U194" i="3"/>
  <c r="AH194" i="3" s="1"/>
  <c r="V194" i="3"/>
  <c r="AI194" i="3" s="1"/>
  <c r="W194" i="3"/>
  <c r="AJ194" i="3" s="1"/>
  <c r="X194" i="3"/>
  <c r="AK194" i="3" s="1"/>
  <c r="Y194" i="3"/>
  <c r="AL194" i="3" s="1"/>
  <c r="Z194" i="3"/>
  <c r="AM194" i="3" s="1"/>
  <c r="R195" i="3"/>
  <c r="AE195" i="3" s="1"/>
  <c r="S195" i="3"/>
  <c r="AF195" i="3" s="1"/>
  <c r="T195" i="3"/>
  <c r="AG195" i="3" s="1"/>
  <c r="U195" i="3"/>
  <c r="AH195" i="3" s="1"/>
  <c r="V195" i="3"/>
  <c r="AI195" i="3" s="1"/>
  <c r="W195" i="3"/>
  <c r="AJ195" i="3" s="1"/>
  <c r="X195" i="3"/>
  <c r="AK195" i="3" s="1"/>
  <c r="Y195" i="3"/>
  <c r="AL195" i="3" s="1"/>
  <c r="Z195" i="3"/>
  <c r="AM195" i="3" s="1"/>
  <c r="R196" i="3"/>
  <c r="AE196" i="3" s="1"/>
  <c r="S196" i="3"/>
  <c r="AF196" i="3" s="1"/>
  <c r="T196" i="3"/>
  <c r="AG196" i="3" s="1"/>
  <c r="U196" i="3"/>
  <c r="AH196" i="3" s="1"/>
  <c r="V196" i="3"/>
  <c r="AI196" i="3" s="1"/>
  <c r="W196" i="3"/>
  <c r="AJ196" i="3" s="1"/>
  <c r="X196" i="3"/>
  <c r="AK196" i="3" s="1"/>
  <c r="Y196" i="3"/>
  <c r="AL196" i="3" s="1"/>
  <c r="Z196" i="3"/>
  <c r="AM196" i="3" s="1"/>
  <c r="R197" i="3"/>
  <c r="AE197" i="3" s="1"/>
  <c r="S197" i="3"/>
  <c r="AF197" i="3" s="1"/>
  <c r="T197" i="3"/>
  <c r="AG197" i="3" s="1"/>
  <c r="U197" i="3"/>
  <c r="AH197" i="3" s="1"/>
  <c r="V197" i="3"/>
  <c r="AI197" i="3" s="1"/>
  <c r="W197" i="3"/>
  <c r="AJ197" i="3" s="1"/>
  <c r="X197" i="3"/>
  <c r="AK197" i="3" s="1"/>
  <c r="Y197" i="3"/>
  <c r="AL197" i="3" s="1"/>
  <c r="Z197" i="3"/>
  <c r="AM197" i="3" s="1"/>
  <c r="R198" i="3"/>
  <c r="AE198" i="3" s="1"/>
  <c r="S198" i="3"/>
  <c r="AF198" i="3" s="1"/>
  <c r="T198" i="3"/>
  <c r="AG198" i="3" s="1"/>
  <c r="U198" i="3"/>
  <c r="AH198" i="3" s="1"/>
  <c r="V198" i="3"/>
  <c r="AI198" i="3" s="1"/>
  <c r="W198" i="3"/>
  <c r="AJ198" i="3" s="1"/>
  <c r="X198" i="3"/>
  <c r="AK198" i="3" s="1"/>
  <c r="Y198" i="3"/>
  <c r="AL198" i="3" s="1"/>
  <c r="Z198" i="3"/>
  <c r="AM198" i="3" s="1"/>
  <c r="R199" i="3"/>
  <c r="AE199" i="3" s="1"/>
  <c r="S199" i="3"/>
  <c r="AF199" i="3" s="1"/>
  <c r="T199" i="3"/>
  <c r="AG199" i="3" s="1"/>
  <c r="U199" i="3"/>
  <c r="AH199" i="3" s="1"/>
  <c r="V199" i="3"/>
  <c r="AI199" i="3" s="1"/>
  <c r="W199" i="3"/>
  <c r="AJ199" i="3" s="1"/>
  <c r="X199" i="3"/>
  <c r="AK199" i="3" s="1"/>
  <c r="Y199" i="3"/>
  <c r="AL199" i="3" s="1"/>
  <c r="Z199" i="3"/>
  <c r="AM199" i="3" s="1"/>
  <c r="R200" i="3"/>
  <c r="AE200" i="3" s="1"/>
  <c r="S200" i="3"/>
  <c r="AF200" i="3" s="1"/>
  <c r="T200" i="3"/>
  <c r="AG200" i="3" s="1"/>
  <c r="U200" i="3"/>
  <c r="AH200" i="3" s="1"/>
  <c r="V200" i="3"/>
  <c r="AI200" i="3" s="1"/>
  <c r="W200" i="3"/>
  <c r="AJ200" i="3" s="1"/>
  <c r="X200" i="3"/>
  <c r="AK200" i="3" s="1"/>
  <c r="Y200" i="3"/>
  <c r="AL200" i="3" s="1"/>
  <c r="Z200" i="3"/>
  <c r="AM200" i="3" s="1"/>
  <c r="R201" i="3"/>
  <c r="AE201" i="3" s="1"/>
  <c r="S201" i="3"/>
  <c r="AF201" i="3" s="1"/>
  <c r="T201" i="3"/>
  <c r="AG201" i="3" s="1"/>
  <c r="U201" i="3"/>
  <c r="AH201" i="3" s="1"/>
  <c r="V201" i="3"/>
  <c r="AI201" i="3" s="1"/>
  <c r="W201" i="3"/>
  <c r="AJ201" i="3" s="1"/>
  <c r="X201" i="3"/>
  <c r="AK201" i="3" s="1"/>
  <c r="Y201" i="3"/>
  <c r="AL201" i="3" s="1"/>
  <c r="Z201" i="3"/>
  <c r="AM201" i="3" s="1"/>
  <c r="R202" i="3"/>
  <c r="AE202" i="3" s="1"/>
  <c r="S202" i="3"/>
  <c r="AF202" i="3" s="1"/>
  <c r="T202" i="3"/>
  <c r="AG202" i="3" s="1"/>
  <c r="U202" i="3"/>
  <c r="AH202" i="3" s="1"/>
  <c r="V202" i="3"/>
  <c r="AI202" i="3" s="1"/>
  <c r="W202" i="3"/>
  <c r="AJ202" i="3" s="1"/>
  <c r="X202" i="3"/>
  <c r="AK202" i="3" s="1"/>
  <c r="Y202" i="3"/>
  <c r="AL202" i="3" s="1"/>
  <c r="Z202" i="3"/>
  <c r="AM202" i="3" s="1"/>
  <c r="R203" i="3"/>
  <c r="AE203" i="3" s="1"/>
  <c r="S203" i="3"/>
  <c r="AF203" i="3" s="1"/>
  <c r="T203" i="3"/>
  <c r="AG203" i="3" s="1"/>
  <c r="U203" i="3"/>
  <c r="AH203" i="3" s="1"/>
  <c r="V203" i="3"/>
  <c r="AI203" i="3" s="1"/>
  <c r="W203" i="3"/>
  <c r="AJ203" i="3" s="1"/>
  <c r="X203" i="3"/>
  <c r="AK203" i="3" s="1"/>
  <c r="Y203" i="3"/>
  <c r="AL203" i="3" s="1"/>
  <c r="Z203" i="3"/>
  <c r="AM203" i="3" s="1"/>
  <c r="R204" i="3"/>
  <c r="AE204" i="3" s="1"/>
  <c r="S204" i="3"/>
  <c r="AF204" i="3" s="1"/>
  <c r="T204" i="3"/>
  <c r="AG204" i="3" s="1"/>
  <c r="U204" i="3"/>
  <c r="AH204" i="3" s="1"/>
  <c r="V204" i="3"/>
  <c r="AI204" i="3" s="1"/>
  <c r="W204" i="3"/>
  <c r="AJ204" i="3" s="1"/>
  <c r="X204" i="3"/>
  <c r="AK204" i="3" s="1"/>
  <c r="Y204" i="3"/>
  <c r="AL204" i="3" s="1"/>
  <c r="Z204" i="3"/>
  <c r="AM204" i="3" s="1"/>
  <c r="Z5" i="3"/>
  <c r="AM5" i="3" s="1"/>
  <c r="Y5" i="3"/>
  <c r="AL5" i="3" s="1"/>
  <c r="X5" i="3"/>
  <c r="AK5" i="3" s="1"/>
  <c r="W5" i="3"/>
  <c r="AJ5" i="3" s="1"/>
  <c r="V5" i="3"/>
  <c r="AI5" i="3" s="1"/>
  <c r="U5" i="3"/>
  <c r="AH5" i="3" s="1"/>
  <c r="T5" i="3"/>
  <c r="AG5" i="3" s="1"/>
  <c r="S5" i="3"/>
  <c r="AF5" i="3" s="1"/>
  <c r="R5" i="3"/>
  <c r="AE5" i="3" s="1"/>
  <c r="B205" i="3"/>
  <c r="AA207" i="3" l="1"/>
  <c r="Q207" i="3"/>
  <c r="P207" i="3"/>
  <c r="Y207" i="3"/>
  <c r="W207" i="3"/>
  <c r="Z207" i="3"/>
  <c r="V207" i="3"/>
  <c r="T207" i="3"/>
  <c r="X207" i="3"/>
  <c r="U207" i="3"/>
  <c r="S207" i="3"/>
  <c r="R207" i="3"/>
</calcChain>
</file>

<file path=xl/sharedStrings.xml><?xml version="1.0" encoding="utf-8"?>
<sst xmlns="http://schemas.openxmlformats.org/spreadsheetml/2006/main" count="4709" uniqueCount="537">
  <si>
    <t>Order_ID</t>
  </si>
  <si>
    <t>Customer_ID</t>
  </si>
  <si>
    <t>City</t>
  </si>
  <si>
    <t>Category</t>
  </si>
  <si>
    <t>Product_Name</t>
  </si>
  <si>
    <t>Unit_Price</t>
  </si>
  <si>
    <t>Discount (%)</t>
  </si>
  <si>
    <t>Revenue</t>
  </si>
  <si>
    <t>Cost</t>
  </si>
  <si>
    <t>Profit</t>
  </si>
  <si>
    <t>Payment_Method</t>
  </si>
  <si>
    <t>Delivery_Time (Days)</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</si>
  <si>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</si>
  <si>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</si>
  <si>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</si>
  <si>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</si>
  <si>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</si>
  <si>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</si>
  <si>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</si>
  <si>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</si>
  <si>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</si>
  <si>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</si>
  <si>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</si>
  <si>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</si>
  <si>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</si>
  <si>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</si>
  <si>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</si>
  <si>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</si>
  <si>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</si>
  <si>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</si>
  <si>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</si>
  <si>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</si>
  <si>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</si>
  <si>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</si>
  <si>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</si>
  <si>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</si>
  <si>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</si>
  <si>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</si>
  <si>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</si>
  <si>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</si>
  <si>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</si>
  <si>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</si>
  <si>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</si>
  <si>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</si>
  <si>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</si>
  <si>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</si>
  <si>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</si>
  <si>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</si>
  <si>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</si>
  <si>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</si>
  <si>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</si>
  <si>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</si>
  <si>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</si>
  <si>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</si>
  <si>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</si>
  <si>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</si>
  <si>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</si>
  <si>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</si>
  <si>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</si>
  <si>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</si>
  <si>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</si>
  <si>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</si>
  <si>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</si>
  <si>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</si>
  <si>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</si>
  <si>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</si>
  <si>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</si>
  <si>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</si>
  <si>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</si>
  <si>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</si>
  <si>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</si>
  <si>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</si>
  <si>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</si>
  <si>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</si>
  <si>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</si>
  <si>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</si>
  <si>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</si>
  <si>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</si>
  <si>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</si>
  <si>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</si>
  <si>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</si>
  <si>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</si>
  <si>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</si>
  <si>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</si>
  <si>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</si>
  <si>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</si>
  <si>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</si>
  <si>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</si>
  <si>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</si>
  <si>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</si>
  <si>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</si>
  <si>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</si>
  <si>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</si>
  <si>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</si>
  <si>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</si>
  <si>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</si>
  <si>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</si>
  <si>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</si>
  <si>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</si>
  <si>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</si>
  <si>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</si>
  <si>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</si>
  <si>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</si>
  <si>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</si>
  <si>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</si>
  <si>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</si>
  <si>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</si>
  <si>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</si>
  <si>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</si>
  <si>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</si>
  <si>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</si>
  <si>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</si>
  <si>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</si>
  <si>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</si>
  <si>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</si>
  <si>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</si>
  <si>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</si>
  <si>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</si>
  <si>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</si>
  <si>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</si>
  <si>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</si>
  <si>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</si>
  <si>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</si>
  <si>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</si>
  <si>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</si>
  <si>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</si>
  <si>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</si>
  <si>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</si>
  <si>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</si>
  <si>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</si>
  <si>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</si>
  <si>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</si>
  <si>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</si>
  <si>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</si>
  <si>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</si>
  <si>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</si>
  <si>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</si>
  <si>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</si>
  <si>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</si>
  <si>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</si>
  <si>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</si>
  <si>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</si>
  <si>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</si>
  <si>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</si>
  <si>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</si>
  <si>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</si>
  <si>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</si>
  <si>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</si>
  <si>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</si>
  <si>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</si>
  <si>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</si>
  <si>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</si>
  <si>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</si>
  <si>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</si>
  <si>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</si>
  <si>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</si>
  <si>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</si>
  <si>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</si>
  <si>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</si>
  <si>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</si>
  <si>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</si>
  <si>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</si>
  <si>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</si>
  <si>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</si>
  <si>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</si>
  <si>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</si>
  <si>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</si>
  <si>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</si>
  <si>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</si>
  <si>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</si>
  <si>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</si>
  <si>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</si>
  <si>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</si>
  <si>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</si>
  <si>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</si>
  <si>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</si>
  <si>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</si>
  <si>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</si>
  <si>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</si>
  <si>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</si>
  <si>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</si>
  <si>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</si>
  <si>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</si>
  <si>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</si>
  <si>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</si>
  <si>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</si>
  <si>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</si>
  <si>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</si>
  <si>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</si>
  <si>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</si>
  <si>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</si>
  <si>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</si>
  <si>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</si>
  <si>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</si>
  <si>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</si>
  <si>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</si>
  <si>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</si>
  <si>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</si>
  <si>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</si>
  <si>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</si>
  <si>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</si>
  <si>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</si>
  <si>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</si>
  <si>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</si>
  <si>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</si>
  <si>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</si>
  <si>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</si>
  <si>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</si>
  <si>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</si>
  <si>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</si>
  <si>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</si>
  <si>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</si>
  <si>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CUST202</t>
  </si>
  <si>
    <t>CUST535</t>
  </si>
  <si>
    <t>CUST960</t>
  </si>
  <si>
    <t>CUST370</t>
  </si>
  <si>
    <t>CUST206</t>
  </si>
  <si>
    <t>CUST171</t>
  </si>
  <si>
    <t>CUST800</t>
  </si>
  <si>
    <t>CUST120</t>
  </si>
  <si>
    <t>CUST714</t>
  </si>
  <si>
    <t>CUST221</t>
  </si>
  <si>
    <t>CUST566</t>
  </si>
  <si>
    <t>CUST314</t>
  </si>
  <si>
    <t>CUST430</t>
  </si>
  <si>
    <t>CUST558</t>
  </si>
  <si>
    <t>CUST187</t>
  </si>
  <si>
    <t>CUST472</t>
  </si>
  <si>
    <t>CUST199</t>
  </si>
  <si>
    <t>CUST971</t>
  </si>
  <si>
    <t>CUST763</t>
  </si>
  <si>
    <t>CUST230</t>
  </si>
  <si>
    <t>CUST761</t>
  </si>
  <si>
    <t>CUST408</t>
  </si>
  <si>
    <t>CUST869</t>
  </si>
  <si>
    <t>CUST443</t>
  </si>
  <si>
    <t>CUST591</t>
  </si>
  <si>
    <t>CUST513</t>
  </si>
  <si>
    <t>CUST905</t>
  </si>
  <si>
    <t>CUST485</t>
  </si>
  <si>
    <t>CUST291</t>
  </si>
  <si>
    <t>CUST376</t>
  </si>
  <si>
    <t>CUST260</t>
  </si>
  <si>
    <t>CUST559</t>
  </si>
  <si>
    <t>CUST413</t>
  </si>
  <si>
    <t>CUST121</t>
  </si>
  <si>
    <t>CUST352</t>
  </si>
  <si>
    <t>CUST847</t>
  </si>
  <si>
    <t>CUST956</t>
  </si>
  <si>
    <t>CUST660</t>
  </si>
  <si>
    <t>CUST574</t>
  </si>
  <si>
    <t>CUST158</t>
  </si>
  <si>
    <t>CUST610</t>
  </si>
  <si>
    <t>CUST781</t>
  </si>
  <si>
    <t>CUST575</t>
  </si>
  <si>
    <t>CUST799</t>
  </si>
  <si>
    <t>CUST882</t>
  </si>
  <si>
    <t>CUST289</t>
  </si>
  <si>
    <t>CUST786</t>
  </si>
  <si>
    <t>CUST662</t>
  </si>
  <si>
    <t>CUST975</t>
  </si>
  <si>
    <t>CUST666</t>
  </si>
  <si>
    <t>CUST343</t>
  </si>
  <si>
    <t>CUST931</t>
  </si>
  <si>
    <t>CUST604</t>
  </si>
  <si>
    <t>CUST584</t>
  </si>
  <si>
    <t>CUST918</t>
  </si>
  <si>
    <t>CUST746</t>
  </si>
  <si>
    <t>CUST940</t>
  </si>
  <si>
    <t>CUST266</t>
  </si>
  <si>
    <t>CUST373</t>
  </si>
  <si>
    <t>CUST487</t>
  </si>
  <si>
    <t>CUST700</t>
  </si>
  <si>
    <t>CUST415</t>
  </si>
  <si>
    <t>CUST113</t>
  </si>
  <si>
    <t>CUST341</t>
  </si>
  <si>
    <t>CUST876</t>
  </si>
  <si>
    <t>CUST445</t>
  </si>
  <si>
    <t>CUST664</t>
  </si>
  <si>
    <t>CUST997</t>
  </si>
  <si>
    <t>CUST439</t>
  </si>
  <si>
    <t>CUST191</t>
  </si>
  <si>
    <t>CUST466</t>
  </si>
  <si>
    <t>CUST554</t>
  </si>
  <si>
    <t>CUST527</t>
  </si>
  <si>
    <t>CUST608</t>
  </si>
  <si>
    <t>CUST875</t>
  </si>
  <si>
    <t>CUST134</t>
  </si>
  <si>
    <t>CUST305</t>
  </si>
  <si>
    <t>CUST180</t>
  </si>
  <si>
    <t>CUST661</t>
  </si>
  <si>
    <t>CUST101</t>
  </si>
  <si>
    <t>CUST489</t>
  </si>
  <si>
    <t>CUST665</t>
  </si>
  <si>
    <t>CUST205</t>
  </si>
  <si>
    <t>CUST871</t>
  </si>
  <si>
    <t>CUST921</t>
  </si>
  <si>
    <t>CUST576</t>
  </si>
  <si>
    <t>CUST802</t>
  </si>
  <si>
    <t>CUST501</t>
  </si>
  <si>
    <t>CUST829</t>
  </si>
  <si>
    <t>CUST655</t>
  </si>
  <si>
    <t>CUST261</t>
  </si>
  <si>
    <t>CUST301</t>
  </si>
  <si>
    <t>CUST369</t>
  </si>
  <si>
    <t>CUST962</t>
  </si>
  <si>
    <t>CUST915</t>
  </si>
  <si>
    <t>CUST555</t>
  </si>
  <si>
    <t>CUST561</t>
  </si>
  <si>
    <t>CUST826</t>
  </si>
  <si>
    <t>CUST351</t>
  </si>
  <si>
    <t>CUST801</t>
  </si>
  <si>
    <t>CUST395</t>
  </si>
  <si>
    <t>CUST824</t>
  </si>
  <si>
    <t>CUST819</t>
  </si>
  <si>
    <t>CUST848</t>
  </si>
  <si>
    <t>CUST437</t>
  </si>
  <si>
    <t>CUST978</t>
  </si>
  <si>
    <t>CUST152</t>
  </si>
  <si>
    <t>CUST891</t>
  </si>
  <si>
    <t>CUST316</t>
  </si>
  <si>
    <t>CUST863</t>
  </si>
  <si>
    <t>CUST287</t>
  </si>
  <si>
    <t>CUST479</t>
  </si>
  <si>
    <t>CUST592</t>
  </si>
  <si>
    <t>CUST140</t>
  </si>
  <si>
    <t>CUST256</t>
  </si>
  <si>
    <t>CUST114</t>
  </si>
  <si>
    <t>CUST912</t>
  </si>
  <si>
    <t>CUST164</t>
  </si>
  <si>
    <t>CUST938</t>
  </si>
  <si>
    <t>CUST620</t>
  </si>
  <si>
    <t>CUST228</t>
  </si>
  <si>
    <t>CUST747</t>
  </si>
  <si>
    <t>CUST571</t>
  </si>
  <si>
    <t>CUST162</t>
  </si>
  <si>
    <t>CUST238</t>
  </si>
  <si>
    <t>CUST598</t>
  </si>
  <si>
    <t>CUST692</t>
  </si>
  <si>
    <t>CUST491</t>
  </si>
  <si>
    <t>CUST774</t>
  </si>
  <si>
    <t>CUST518</t>
  </si>
  <si>
    <t>CUST388</t>
  </si>
  <si>
    <t>CUST478</t>
  </si>
  <si>
    <t>CUST872</t>
  </si>
  <si>
    <t>CUST589</t>
  </si>
  <si>
    <t>CUST330</t>
  </si>
  <si>
    <t>CUST127</t>
  </si>
  <si>
    <t>CUST234</t>
  </si>
  <si>
    <t>CUST300</t>
  </si>
  <si>
    <t>CUST939</t>
  </si>
  <si>
    <t>CUST879</t>
  </si>
  <si>
    <t>CUST132</t>
  </si>
  <si>
    <t>CUST147</t>
  </si>
  <si>
    <t>CUST602</t>
  </si>
  <si>
    <t>CUST506</t>
  </si>
  <si>
    <t>CUST673</t>
  </si>
  <si>
    <t>CUST827</t>
  </si>
  <si>
    <t>CUST904</t>
  </si>
  <si>
    <t>CUST198</t>
  </si>
  <si>
    <t>CUST783</t>
  </si>
  <si>
    <t>CUST825</t>
  </si>
  <si>
    <t>CUST646</t>
  </si>
  <si>
    <t>CUST838</t>
  </si>
  <si>
    <t>CUST712</t>
  </si>
  <si>
    <t>CUST742</t>
  </si>
  <si>
    <t>CUST868</t>
  </si>
  <si>
    <t>CUST104</t>
  </si>
  <si>
    <t>CUST317</t>
  </si>
  <si>
    <t>CUST866</t>
  </si>
  <si>
    <t>CUST497</t>
  </si>
  <si>
    <t>CUST970</t>
  </si>
  <si>
    <t>CUST894</t>
  </si>
  <si>
    <t>CUST492</t>
  </si>
  <si>
    <t>CUST306</t>
  </si>
  <si>
    <t>CUST957</t>
  </si>
  <si>
    <t>CUST653</t>
  </si>
  <si>
    <t>CUST991</t>
  </si>
  <si>
    <t>CUST560</t>
  </si>
  <si>
    <t>CUST790</t>
  </si>
  <si>
    <t>CUST674</t>
  </si>
  <si>
    <t>CUST963</t>
  </si>
  <si>
    <t>CUST842</t>
  </si>
  <si>
    <t>CUST340</t>
  </si>
  <si>
    <t>CUST663</t>
  </si>
  <si>
    <t>CUST195</t>
  </si>
  <si>
    <t>CUST833</t>
  </si>
  <si>
    <t>CUST754</t>
  </si>
  <si>
    <t>CUST270</t>
  </si>
  <si>
    <t>CUST640</t>
  </si>
  <si>
    <t>CUST135</t>
  </si>
  <si>
    <t>CUST624</t>
  </si>
  <si>
    <t>CUST259</t>
  </si>
  <si>
    <t>CUST798</t>
  </si>
  <si>
    <t>CUST342</t>
  </si>
  <si>
    <t>Delhi</t>
  </si>
  <si>
    <t>Chennai</t>
  </si>
  <si>
    <t>Hyderabad</t>
  </si>
  <si>
    <t>Bangalore</t>
  </si>
  <si>
    <t>Mumbai</t>
  </si>
  <si>
    <t>Fashion</t>
  </si>
  <si>
    <t>Beauty</t>
  </si>
  <si>
    <t>Electronics</t>
  </si>
  <si>
    <t>Home</t>
  </si>
  <si>
    <t>Product_A</t>
  </si>
  <si>
    <t>Product_C</t>
  </si>
  <si>
    <t>Product_D</t>
  </si>
  <si>
    <t>Product_B</t>
  </si>
  <si>
    <t>Credit Card</t>
  </si>
  <si>
    <t>Debit Card</t>
  </si>
  <si>
    <t>UPI</t>
  </si>
  <si>
    <t>Cash on Delivery</t>
  </si>
  <si>
    <t>Platform</t>
  </si>
  <si>
    <t>AJIO</t>
  </si>
  <si>
    <t>Snapdeal</t>
  </si>
  <si>
    <t>Flipkart</t>
  </si>
  <si>
    <t>Amazon</t>
  </si>
  <si>
    <t>Jan_Sales</t>
  </si>
  <si>
    <t>Feb_Sales</t>
  </si>
  <si>
    <t>Mar_Sales</t>
  </si>
  <si>
    <t>Apr_Sales</t>
  </si>
  <si>
    <t>May_Sales</t>
  </si>
  <si>
    <t>Jun_Sales</t>
  </si>
  <si>
    <t>Jul_Sales</t>
  </si>
  <si>
    <t>Aug_Sales</t>
  </si>
  <si>
    <t>Sep_Sales</t>
  </si>
  <si>
    <t>Oct_Sales</t>
  </si>
  <si>
    <t>Nov_Sales</t>
  </si>
  <si>
    <t>Dec_Sales</t>
  </si>
  <si>
    <t>Item_Type</t>
  </si>
  <si>
    <t>Quantity</t>
  </si>
  <si>
    <t>Return_Type</t>
  </si>
  <si>
    <t>Exchanges</t>
  </si>
  <si>
    <t>Replacements</t>
  </si>
  <si>
    <t>Refunds</t>
  </si>
  <si>
    <t>Warranties</t>
  </si>
  <si>
    <t>Sum of Quantity</t>
  </si>
  <si>
    <t>Sum of Amount</t>
  </si>
  <si>
    <t>Sum of Profit</t>
  </si>
  <si>
    <t>Row Labels</t>
  </si>
  <si>
    <t>Sum of Jan_Sales</t>
  </si>
  <si>
    <t>Sum of Feb_Sales</t>
  </si>
  <si>
    <t>Sum of Mar_Sales</t>
  </si>
  <si>
    <t>Sum of Apr_Sales</t>
  </si>
  <si>
    <t>Sum of May_Sales</t>
  </si>
  <si>
    <t>Sum of Jun_Sales</t>
  </si>
  <si>
    <t>Sum of Jul_Sales</t>
  </si>
  <si>
    <t>Sum of Aug_Sales</t>
  </si>
  <si>
    <t>Sum of Sep_Sales</t>
  </si>
  <si>
    <t>Sum of Oct_Sales</t>
  </si>
  <si>
    <t>Sum of Nov_Sales</t>
  </si>
  <si>
    <t>Sum of Dec_Sales</t>
  </si>
  <si>
    <t>jan</t>
  </si>
  <si>
    <t>feb</t>
  </si>
  <si>
    <t>mar</t>
  </si>
  <si>
    <t>apr</t>
  </si>
  <si>
    <t>may</t>
  </si>
  <si>
    <t>jun</t>
  </si>
  <si>
    <t>jul</t>
  </si>
  <si>
    <t>aug</t>
  </si>
  <si>
    <t>sep</t>
  </si>
  <si>
    <t>oct</t>
  </si>
  <si>
    <t>nov</t>
  </si>
  <si>
    <t>dec</t>
  </si>
  <si>
    <t>Profit_jan</t>
  </si>
  <si>
    <t>Profit_feb</t>
  </si>
  <si>
    <t>Profit_mar</t>
  </si>
  <si>
    <t>Profit_apl</t>
  </si>
  <si>
    <t>Profit_may</t>
  </si>
  <si>
    <t>Profit_jun</t>
  </si>
  <si>
    <t>Profit_jul</t>
  </si>
  <si>
    <t>p_Aug</t>
  </si>
  <si>
    <t>Sep_p</t>
  </si>
  <si>
    <t>Oct_p</t>
  </si>
  <si>
    <t>Nov_p</t>
  </si>
  <si>
    <t>Dec_p</t>
  </si>
  <si>
    <t>Total_Profit_by_months</t>
  </si>
  <si>
    <t>Profit_pecen_jan</t>
  </si>
  <si>
    <t>Profit_pecen_feb</t>
  </si>
  <si>
    <t>Profit_pecen_mar</t>
  </si>
  <si>
    <t>Profit_pecen_apl</t>
  </si>
  <si>
    <t>Profit_pecen_jun</t>
  </si>
  <si>
    <t>Profit_pecen_jul</t>
  </si>
  <si>
    <t>Profit_pecen_Aug</t>
  </si>
  <si>
    <t>Sep_Profit_pecen</t>
  </si>
  <si>
    <t>Oct_Profit_pecen</t>
  </si>
  <si>
    <t>Nov_Profit_pecen</t>
  </si>
  <si>
    <t>Dec_Profit_pecen</t>
  </si>
  <si>
    <t>Total_%_months</t>
  </si>
  <si>
    <t>Total_sales_months</t>
  </si>
  <si>
    <t>Total_cost</t>
  </si>
  <si>
    <t>Total annual sales from (jan-dec)</t>
  </si>
  <si>
    <t>Total  Profit percentage  of sales from (jan-dec)  %= Profit / (Sales - Profit)</t>
  </si>
  <si>
    <t xml:space="preserve">      Total  Profit from (jan-dec) =(Sales - Cost)</t>
  </si>
  <si>
    <t>total_sales monthly</t>
  </si>
  <si>
    <t>months</t>
  </si>
  <si>
    <t>quntity_monthly</t>
  </si>
  <si>
    <t>Anual _total  Profit</t>
  </si>
  <si>
    <t>Annual_Profit percentage</t>
  </si>
  <si>
    <t>percentage_%</t>
  </si>
  <si>
    <t>Quantity_city</t>
  </si>
  <si>
    <t>Grand Total</t>
  </si>
  <si>
    <t>Sum of Quantity_city</t>
  </si>
  <si>
    <t>vendors_ID</t>
  </si>
  <si>
    <t>Sum of Anual _total  Profit</t>
  </si>
  <si>
    <t>Sum of jan</t>
  </si>
  <si>
    <t>Sum of feb</t>
  </si>
  <si>
    <t>Sum of mar</t>
  </si>
  <si>
    <t>Sum of apr</t>
  </si>
  <si>
    <t>Sum of may</t>
  </si>
  <si>
    <t>Sum of jun</t>
  </si>
  <si>
    <t>Sum of jul</t>
  </si>
  <si>
    <t>Sum of aug</t>
  </si>
  <si>
    <t>Sum of sep</t>
  </si>
  <si>
    <t>Sum of oct</t>
  </si>
  <si>
    <t>Sum of nov</t>
  </si>
  <si>
    <t>Sum of dec</t>
  </si>
  <si>
    <t>Subcategory</t>
  </si>
  <si>
    <t>Profit (₹)</t>
  </si>
  <si>
    <t>₹5,482,193.65</t>
  </si>
  <si>
    <t>₹9,876,542.10</t>
  </si>
  <si>
    <t>₹6,213,408.85</t>
  </si>
  <si>
    <t>₹5,068,602.70</t>
  </si>
  <si>
    <t>Total</t>
  </si>
  <si>
    <t>₹26,640,747.30</t>
  </si>
  <si>
    <t>unit_Quantity</t>
  </si>
  <si>
    <t>country</t>
  </si>
  <si>
    <t>india</t>
  </si>
  <si>
    <t>Tamil Nadu</t>
  </si>
  <si>
    <t>Telangana</t>
  </si>
  <si>
    <t>Karnataka</t>
  </si>
  <si>
    <t>Maharashtra</t>
  </si>
  <si>
    <t>state</t>
  </si>
  <si>
    <t>Sum of unit_Quantity</t>
  </si>
  <si>
    <t>Column Labels</t>
  </si>
  <si>
    <t>Values</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</si>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</sst>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4A]#,##0.00"/>
    <numFmt numFmtId="165" formatCode="0,&quot;K&quot;"/>
  </numFmts>
  <fonts count="12">
    <font>
      <sz val="11"/>
      <color theme="1"/>
      <name val="Calibri"/>
      <family val="2"/>
      <scheme val="minor"/>
    </font>
    <font>
      <b/>
      <sz val="11"/>
      <color theme="1"/>
      <name val="Calibri"/>
      <family val="2"/>
      <scheme val="minor"/>
    </font>
    <font>
      <sz val="11"/>
      <color theme="1"/>
      <name val="Calibri"/>
      <family val="2"/>
      <scheme val="minor"/>
    </font>
    <font>
      <sz val="11"/>
      <color rgb="FF000000"/>
      <name val="Calibri"/>
      <family val="2"/>
      <scheme val="minor"/>
    </font>
    <font>
      <b/>
      <sz val="11"/>
      <color rgb="FF000000"/>
      <name val="Calibri"/>
      <family val="2"/>
      <scheme val="minor"/>
    </font>
    <font>
      <sz val="8"/>
      <name val="Calibri"/>
      <family val="2"/>
      <scheme val="minor"/>
    </font>
    <font>
      <sz val="11"/>
      <name val="Calibri"/>
      <family val="2"/>
      <scheme val="minor"/>
    </font>
    <font>
      <sz val="16"/>
      <color theme="1"/>
      <name val="Calibri"/>
      <family val="2"/>
      <scheme val="minor"/>
    </font>
    <font>
      <sz val="18"/>
      <color theme="1"/>
      <name val="Calibri"/>
      <family val="2"/>
      <scheme val="minor"/>
    </font>
    <font>
      <b/>
      <sz val="16.5"/>
      <color theme="1"/>
      <name val="Calibri"/>
      <family val="2"/>
      <scheme val="minor"/>
    </font>
    <font>
      <b/>
      <sz val="18"/>
      <color theme="1"/>
      <name val="Calibri"/>
      <family val="2"/>
      <scheme val="minor"/>
    </font>
    <font>
      <b/>
      <sz val="11"/>
      <color theme="0"/>
      <name val="Calibri"/>
      <family val="2"/>
      <scheme val="minor"/>
    </font>
  </fonts>
  <fills count="18">
    <fill>
      <patternFill patternType="none"/>
    </fill>
    <fill>
      <patternFill patternType="gray125"/>
    </fill>
    <fill>
      <patternFill patternType="solid">
        <fgColor theme="6" tint="0.39997558519241921"/>
        <bgColor indexed="65"/>
      </patternFill>
    </fill>
    <fill>
      <patternFill patternType="solid">
        <fgColor theme="6" tint="0.79998168889431442"/>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rgb="FF7DF5A5"/>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6" tint="0.39997558519241921"/>
        <bgColor indexed="64"/>
      </patternFill>
    </fill>
    <fill>
      <patternFill patternType="solid">
        <fgColor theme="8" tint="0.59999389629810485"/>
        <bgColor indexed="64"/>
      </patternFill>
    </fill>
    <fill>
      <patternFill patternType="solid">
        <fgColor theme="6"/>
        <bgColor indexed="64"/>
      </patternFill>
    </fill>
    <fill>
      <patternFill patternType="solid">
        <fgColor theme="7" tint="-0.249977111117893"/>
        <bgColor indexed="64"/>
      </patternFill>
    </fill>
    <fill>
      <patternFill patternType="solid">
        <fgColor theme="5" tint="0.59999389629810485"/>
        <bgColor indexed="64"/>
      </patternFill>
    </fill>
    <fill>
      <patternFill patternType="solid">
        <fgColor rgb="FF499DB7"/>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theme="4" tint="0.39997558519241921"/>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thin">
        <color theme="1" tint="0.34998626667073579"/>
      </right>
      <top/>
      <bottom style="thin">
        <color theme="1" tint="0.34998626667073579"/>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thin">
        <color theme="1" tint="0.34998626667073579"/>
      </left>
      <right style="thin">
        <color theme="1" tint="0.34998626667073579"/>
      </right>
      <top/>
      <bottom/>
      <diagonal/>
    </border>
    <border>
      <left style="thin">
        <color theme="0"/>
      </left>
      <right style="thin">
        <color theme="0"/>
      </right>
      <top style="thin">
        <color theme="0"/>
      </top>
      <bottom style="thin">
        <color theme="0"/>
      </bottom>
      <diagonal/>
    </border>
    <border>
      <left style="thin">
        <color theme="1" tint="0.34998626667073579"/>
      </left>
      <right/>
      <top style="thin">
        <color theme="1" tint="0.34998626667073579"/>
      </top>
      <bottom/>
      <diagonal/>
    </border>
    <border>
      <left style="thin">
        <color theme="1" tint="0.34998626667073579"/>
      </left>
      <right style="thin">
        <color theme="1" tint="0.34998626667073579"/>
      </right>
      <top style="thin">
        <color theme="1" tint="0.34998626667073579"/>
      </top>
      <bottom/>
      <diagonal/>
    </border>
    <border>
      <left style="thin">
        <color theme="0"/>
      </left>
      <right/>
      <top style="thin">
        <color theme="0"/>
      </top>
      <bottom/>
      <diagonal/>
    </border>
    <border>
      <left style="thin">
        <color theme="0"/>
      </left>
      <right/>
      <top style="thin">
        <color theme="1" tint="0.34998626667073579"/>
      </top>
      <bottom/>
      <diagonal/>
    </border>
    <border>
      <left style="thin">
        <color theme="0"/>
      </left>
      <right/>
      <top style="thin">
        <color theme="0"/>
      </top>
      <bottom style="thin">
        <color theme="0"/>
      </bottom>
      <diagonal/>
    </border>
    <border>
      <left style="thin">
        <color theme="0"/>
      </left>
      <right/>
      <top style="thin">
        <color theme="1" tint="0.34998626667073579"/>
      </top>
      <bottom style="thin">
        <color theme="1" tint="0.34998626667073579"/>
      </bottom>
      <diagonal/>
    </border>
  </borders>
  <cellStyleXfs count="4">
    <xf numFmtId="0" fontId="0" fillId="0" borderId="0"/>
    <xf numFmtId="0" fontId="2" fillId="2" borderId="0" applyNumberFormat="0" applyBorder="0" applyAlignment="0" applyProtection="0"/>
    <xf numFmtId="0" fontId="2" fillId="3" borderId="1" applyFont="0" applyFill="0" applyAlignment="0">
      <alignment horizontal="center" vertical="top"/>
    </xf>
    <xf numFmtId="9" fontId="2" fillId="0" borderId="0" applyFont="0" applyFill="0" applyBorder="0" applyAlignment="0" applyProtection="0"/>
  </cellStyleXfs>
  <cellXfs count="67">
    <xf numFmtId="0" fontId="0" fillId="0" borderId="0" xfId="0"/>
    <xf numFmtId="0" fontId="1" fillId="0" borderId="1" xfId="0" applyFont="1" applyBorder="1" applyAlignment="1">
      <alignment horizontal="center" vertical="top"/>
    </xf>
    <xf numFmtId="0" fontId="3" fillId="0" borderId="0" xfId="0" applyFont="1"/>
    <xf numFmtId="0" fontId="4" fillId="0" borderId="0" xfId="0" applyFont="1">
      <extLst>
        <ext xmlns:xfpb="http://schemas.microsoft.com/office/spreadsheetml/2022/featurepropertybag" uri="{C7286773-470A-42A8-94C5-96B5CB345126}">
          <xfpb:xfComplement i="0"/>
        </ext>
      </extLst>
    </xf>
    <xf numFmtId="0" fontId="1" fillId="0" borderId="0" xfId="0" applyFont="1"/>
    <xf numFmtId="0" fontId="0" fillId="4" borderId="2" xfId="0" applyFill="1" applyBorder="1" applyAlignment="1">
      <alignment horizontal="center" vertical="top"/>
    </xf>
    <xf numFmtId="0" fontId="0" fillId="4" borderId="2" xfId="0" applyFill="1" applyBorder="1">
      <extLst>
        <ext xmlns:xfpb="http://schemas.microsoft.com/office/spreadsheetml/2022/featurepropertybag" uri="{C7286773-470A-42A8-94C5-96B5CB345126}">
          <xfpb:xfComplement i="0"/>
        </ext>
      </extLst>
    </xf>
    <xf numFmtId="0" fontId="0" fillId="4" borderId="2" xfId="0" applyFill="1" applyBorder="1"/>
    <xf numFmtId="0" fontId="0" fillId="5" borderId="3" xfId="0" applyFill="1" applyBorder="1"/>
    <xf numFmtId="0" fontId="3" fillId="5" borderId="3" xfId="0" applyFont="1" applyFill="1" applyBorder="1"/>
    <xf numFmtId="0" fontId="0" fillId="5" borderId="2" xfId="0" applyFill="1" applyBorder="1"/>
    <xf numFmtId="0" fontId="3" fillId="5" borderId="2" xfId="0" applyFont="1" applyFill="1" applyBorder="1"/>
    <xf numFmtId="0" fontId="2" fillId="6" borderId="2" xfId="1" applyFill="1" applyBorder="1"/>
    <xf numFmtId="0" fontId="0" fillId="7" borderId="0" xfId="0" applyFill="1"/>
    <xf numFmtId="0" fontId="0" fillId="0" borderId="0" xfId="0" pivotButton="1"/>
    <xf numFmtId="1" fontId="0" fillId="0" borderId="0" xfId="0" applyNumberFormat="1"/>
    <xf numFmtId="0" fontId="0" fillId="0" borderId="0" xfId="0" applyAlignment="1">
      <alignment horizontal="left"/>
    </xf>
    <xf numFmtId="0" fontId="0" fillId="0" borderId="0" xfId="0" applyAlignment="1">
      <alignment horizontal="left" indent="1"/>
    </xf>
    <xf numFmtId="0" fontId="0" fillId="0" borderId="1" xfId="0" applyBorder="1" applyAlignment="1">
      <alignment horizontal="left"/>
    </xf>
    <xf numFmtId="0" fontId="0" fillId="9" borderId="1" xfId="0" applyFill="1" applyBorder="1"/>
    <xf numFmtId="0" fontId="0" fillId="7" borderId="1" xfId="0" applyFill="1" applyBorder="1"/>
    <xf numFmtId="0" fontId="2" fillId="7" borderId="0" xfId="1" applyFill="1" applyBorder="1"/>
    <xf numFmtId="0" fontId="0" fillId="10" borderId="1" xfId="0" applyFill="1" applyBorder="1"/>
    <xf numFmtId="0" fontId="0" fillId="11" borderId="1" xfId="0" applyFill="1" applyBorder="1"/>
    <xf numFmtId="0" fontId="0" fillId="12" borderId="1" xfId="0" applyFill="1" applyBorder="1"/>
    <xf numFmtId="0" fontId="0" fillId="12" borderId="0" xfId="0" applyFill="1"/>
    <xf numFmtId="0" fontId="0" fillId="13" borderId="4" xfId="0" applyFill="1" applyBorder="1"/>
    <xf numFmtId="0" fontId="6" fillId="13" borderId="0" xfId="0" applyFont="1" applyFill="1"/>
    <xf numFmtId="0" fontId="0" fillId="13" borderId="0" xfId="0" applyFill="1"/>
    <xf numFmtId="0" fontId="0" fillId="11" borderId="3" xfId="0" applyFill="1" applyBorder="1" applyAlignment="1">
      <alignment horizontal="center" vertical="top"/>
    </xf>
    <xf numFmtId="0" fontId="0" fillId="11" borderId="6" xfId="0" applyFill="1" applyBorder="1"/>
    <xf numFmtId="0" fontId="0" fillId="0" borderId="5" xfId="0" applyBorder="1"/>
    <xf numFmtId="0" fontId="0" fillId="0" borderId="1" xfId="0" applyBorder="1"/>
    <xf numFmtId="0" fontId="8" fillId="0" borderId="5" xfId="0" applyFont="1" applyBorder="1"/>
    <xf numFmtId="164" fontId="0" fillId="13" borderId="1" xfId="0" applyNumberFormat="1" applyFill="1" applyBorder="1"/>
    <xf numFmtId="9" fontId="0" fillId="13" borderId="1" xfId="3" applyFont="1" applyFill="1" applyBorder="1"/>
    <xf numFmtId="0" fontId="0" fillId="16" borderId="1" xfId="0" applyFill="1" applyBorder="1"/>
    <xf numFmtId="164" fontId="0" fillId="0" borderId="0" xfId="0" applyNumberFormat="1"/>
    <xf numFmtId="9" fontId="0" fillId="15" borderId="0" xfId="3" applyFont="1" applyFill="1"/>
    <xf numFmtId="0" fontId="0" fillId="17" borderId="0" xfId="0" applyFill="1"/>
    <xf numFmtId="0" fontId="0" fillId="15" borderId="1" xfId="0" applyFill="1" applyBorder="1"/>
    <xf numFmtId="0" fontId="0" fillId="8" borderId="0" xfId="0" pivotButton="1" applyFill="1"/>
    <xf numFmtId="0" fontId="0" fillId="0" borderId="1" xfId="0" pivotButton="1" applyBorder="1"/>
    <xf numFmtId="0" fontId="0" fillId="6" borderId="0" xfId="0" applyFill="1"/>
    <xf numFmtId="0" fontId="0" fillId="9" borderId="4" xfId="0" applyFill="1" applyBorder="1"/>
    <xf numFmtId="0" fontId="0" fillId="4" borderId="7" xfId="0" applyFill="1" applyBorder="1"/>
    <xf numFmtId="0" fontId="0" fillId="4" borderId="0" xfId="0" applyFill="1"/>
    <xf numFmtId="0" fontId="0" fillId="9" borderId="8" xfId="0" applyFill="1" applyBorder="1"/>
    <xf numFmtId="0" fontId="0" fillId="4" borderId="7" xfId="0" applyFill="1" applyBorder="1" applyAlignment="1">
      <alignment horizontal="center" vertical="top"/>
    </xf>
    <xf numFmtId="165" fontId="0" fillId="9" borderId="1" xfId="0" applyNumberFormat="1" applyFill="1" applyBorder="1"/>
    <xf numFmtId="0" fontId="11" fillId="4" borderId="0" xfId="0" applyFont="1" applyFill="1"/>
    <xf numFmtId="0" fontId="11" fillId="4" borderId="9" xfId="0" applyFont="1" applyFill="1" applyBorder="1" applyAlignment="1">
      <alignment horizontal="center" vertical="top"/>
    </xf>
    <xf numFmtId="0" fontId="11" fillId="4" borderId="10" xfId="0" applyFont="1" applyFill="1" applyBorder="1" applyAlignment="1">
      <alignment horizontal="center" vertical="top"/>
    </xf>
    <xf numFmtId="0" fontId="0" fillId="9" borderId="11" xfId="0" applyFill="1" applyBorder="1"/>
    <xf numFmtId="0" fontId="0" fillId="6" borderId="12" xfId="1" applyFont="1" applyFill="1" applyBorder="1"/>
    <xf numFmtId="0" fontId="0" fillId="6" borderId="10" xfId="1" applyFont="1" applyFill="1" applyBorder="1"/>
    <xf numFmtId="0" fontId="0" fillId="9" borderId="13" xfId="0" applyFill="1" applyBorder="1"/>
    <xf numFmtId="0" fontId="0" fillId="6" borderId="14" xfId="1" applyFont="1" applyFill="1" applyBorder="1"/>
    <xf numFmtId="0" fontId="0" fillId="6" borderId="2" xfId="1" applyFont="1" applyFill="1" applyBorder="1"/>
    <xf numFmtId="4" fontId="0" fillId="0" borderId="0" xfId="0" applyNumberFormat="1"/>
    <xf numFmtId="0" fontId="9" fillId="14" borderId="0" xfId="0" applyFont="1" applyFill="1"/>
    <xf numFmtId="0" fontId="7" fillId="14" borderId="0" xfId="0" applyFont="1" applyFill="1"/>
    <xf numFmtId="0" fontId="7" fillId="14" borderId="5" xfId="0" applyFont="1" applyFill="1" applyBorder="1"/>
    <xf numFmtId="0" fontId="2" fillId="7" borderId="0" xfId="1" applyFill="1" applyBorder="1"/>
    <xf numFmtId="0" fontId="10" fillId="14" borderId="0" xfId="0" applyFont="1" applyFill="1"/>
    <xf numFmtId="0" fontId="0" fillId="14" borderId="0" xfId="0" applyFill="1"/>
    <xf numFmtId="0" fontId="0" fillId="14" borderId="5" xfId="0" applyFill="1" applyBorder="1"/>
  </cellXfs>
  <cellStyles count="4">
    <cellStyle name="60% - Accent3" xfId="1" builtinId="40"/>
    <cellStyle name="Normal" xfId="0" builtinId="0"/>
    <cellStyle name="Percent" xfId="3" builtinId="5"/>
    <cellStyle name="Style 1" xfId="2" xr:uid="{4862A8E7-DA01-411F-9AFC-1FE021DE0FCC}"/>
  </cellStyles>
  <dxfs count="7">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fill>
        <patternFill patternType="solid">
          <bgColor theme="3" tint="0.39997558519241921"/>
        </patternFill>
      </fill>
    </dxf>
  </dxfs>
  <tableStyles count="0" defaultTableStyle="TableStyleMedium9" defaultPivotStyle="PivotStyleLight16"/>
  <colors>
    <mruColors>
      <color rgb="FF10FF34"/>
      <color rgb="FFE40FFD"/>
      <color rgb="FF46CAE4"/>
      <color rgb="FF118DFF"/>
      <color rgb="FFE56C37"/>
      <color rgb="FF14229C"/>
      <color rgb="FF61314B"/>
      <color rgb="FFFFFFFF"/>
      <color rgb="FFFFF710"/>
      <color rgb="FF6C007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1.xml"/><Relationship Id="rId1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dataset.xlsx]Analysis!table_4</c:name>
    <c:fmtId val="9"/>
  </c:pivotSource>
  <c:chart>
    <c:title>
      <c:tx>
        <c:rich>
          <a:bodyPr rot="0" spcFirstLastPara="1" vertOverflow="ellipsis" vert="horz" wrap="square" anchor="ctr" anchorCtr="1"/>
          <a:lstStyle/>
          <a:p>
            <a:pPr>
              <a:defRPr sz="2000" b="1" i="0" u="none" strike="noStrike" kern="1200" spc="0" baseline="0">
                <a:solidFill>
                  <a:srgbClr val="FFFFFF"/>
                </a:solidFill>
                <a:latin typeface="+mn-lt"/>
                <a:ea typeface="+mn-ea"/>
                <a:cs typeface="+mn-cs"/>
              </a:defRPr>
            </a:pPr>
            <a:r>
              <a:rPr lang="en-US" sz="2000" b="1"/>
              <a:t>PAYMENT_TYPE</a:t>
            </a:r>
          </a:p>
        </c:rich>
      </c:tx>
      <c:overlay val="0"/>
      <c:spPr>
        <a:noFill/>
        <a:ln>
          <a:noFill/>
        </a:ln>
        <a:effectLst/>
      </c:spPr>
      <c:txPr>
        <a:bodyPr rot="0" spcFirstLastPara="1" vertOverflow="ellipsis" vert="horz" wrap="square" anchor="ctr" anchorCtr="1"/>
        <a:lstStyle/>
        <a:p>
          <a:pPr>
            <a:defRPr sz="2000" b="1" i="0" u="none" strike="noStrike" kern="1200" spc="0" baseline="0">
              <a:solidFill>
                <a:srgbClr val="FFFF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571849781299991E-2"/>
          <c:y val="0.10129162633380753"/>
          <c:w val="0.7839550035597237"/>
          <c:h val="0.81441807900443397"/>
        </c:manualLayout>
      </c:layout>
      <c:barChart>
        <c:barDir val="col"/>
        <c:grouping val="clustered"/>
        <c:varyColors val="0"/>
        <c:ser>
          <c:idx val="0"/>
          <c:order val="0"/>
          <c:tx>
            <c:strRef>
              <c:f>Analysis!$C$119</c:f>
              <c:strCache>
                <c:ptCount val="1"/>
                <c:pt idx="0">
                  <c:v>Sum of jan</c:v>
                </c:pt>
              </c:strCache>
            </c:strRef>
          </c:tx>
          <c:spPr>
            <a:solidFill>
              <a:schemeClr val="accent1"/>
            </a:solidFill>
            <a:ln>
              <a:noFill/>
            </a:ln>
            <a:effectLst/>
          </c:spPr>
          <c:invertIfNegative val="0"/>
          <c:cat>
            <c:strRef>
              <c:f>Analysis!$B$120:$B$123</c:f>
              <c:strCache>
                <c:ptCount val="4"/>
                <c:pt idx="0">
                  <c:v>Cash on Delivery</c:v>
                </c:pt>
                <c:pt idx="1">
                  <c:v>Credit Card</c:v>
                </c:pt>
                <c:pt idx="2">
                  <c:v>Debit Card</c:v>
                </c:pt>
                <c:pt idx="3">
                  <c:v>UPI</c:v>
                </c:pt>
              </c:strCache>
            </c:strRef>
          </c:cat>
          <c:val>
            <c:numRef>
              <c:f>Analysis!$C$120:$C$123</c:f>
              <c:numCache>
                <c:formatCode>General</c:formatCode>
                <c:ptCount val="4"/>
                <c:pt idx="0">
                  <c:v>1320750</c:v>
                </c:pt>
                <c:pt idx="1">
                  <c:v>1197429</c:v>
                </c:pt>
                <c:pt idx="2">
                  <c:v>935607</c:v>
                </c:pt>
                <c:pt idx="3">
                  <c:v>1306588</c:v>
                </c:pt>
              </c:numCache>
            </c:numRef>
          </c:val>
          <c:extLst>
            <c:ext xmlns:c16="http://schemas.microsoft.com/office/drawing/2014/chart" uri="{C3380CC4-5D6E-409C-BE32-E72D297353CC}">
              <c16:uniqueId val="{00000000-F879-4F3A-8D2D-E3E308501F51}"/>
            </c:ext>
          </c:extLst>
        </c:ser>
        <c:ser>
          <c:idx val="1"/>
          <c:order val="1"/>
          <c:tx>
            <c:strRef>
              <c:f>Analysis!$D$119</c:f>
              <c:strCache>
                <c:ptCount val="1"/>
                <c:pt idx="0">
                  <c:v>Sum of feb</c:v>
                </c:pt>
              </c:strCache>
            </c:strRef>
          </c:tx>
          <c:spPr>
            <a:solidFill>
              <a:schemeClr val="accent2"/>
            </a:solidFill>
            <a:ln>
              <a:noFill/>
            </a:ln>
            <a:effectLst/>
          </c:spPr>
          <c:invertIfNegative val="0"/>
          <c:cat>
            <c:strRef>
              <c:f>Analysis!$B$120:$B$123</c:f>
              <c:strCache>
                <c:ptCount val="4"/>
                <c:pt idx="0">
                  <c:v>Cash on Delivery</c:v>
                </c:pt>
                <c:pt idx="1">
                  <c:v>Credit Card</c:v>
                </c:pt>
                <c:pt idx="2">
                  <c:v>Debit Card</c:v>
                </c:pt>
                <c:pt idx="3">
                  <c:v>UPI</c:v>
                </c:pt>
              </c:strCache>
            </c:strRef>
          </c:cat>
          <c:val>
            <c:numRef>
              <c:f>Analysis!$D$120:$D$123</c:f>
              <c:numCache>
                <c:formatCode>General</c:formatCode>
                <c:ptCount val="4"/>
                <c:pt idx="0">
                  <c:v>828483</c:v>
                </c:pt>
                <c:pt idx="1">
                  <c:v>868223</c:v>
                </c:pt>
                <c:pt idx="2">
                  <c:v>738073</c:v>
                </c:pt>
                <c:pt idx="3">
                  <c:v>1006895</c:v>
                </c:pt>
              </c:numCache>
            </c:numRef>
          </c:val>
          <c:extLst>
            <c:ext xmlns:c16="http://schemas.microsoft.com/office/drawing/2014/chart" uri="{C3380CC4-5D6E-409C-BE32-E72D297353CC}">
              <c16:uniqueId val="{00000001-F879-4F3A-8D2D-E3E308501F51}"/>
            </c:ext>
          </c:extLst>
        </c:ser>
        <c:ser>
          <c:idx val="2"/>
          <c:order val="2"/>
          <c:tx>
            <c:strRef>
              <c:f>Analysis!$E$119</c:f>
              <c:strCache>
                <c:ptCount val="1"/>
                <c:pt idx="0">
                  <c:v>Sum of mar</c:v>
                </c:pt>
              </c:strCache>
            </c:strRef>
          </c:tx>
          <c:spPr>
            <a:solidFill>
              <a:schemeClr val="accent3"/>
            </a:solidFill>
            <a:ln>
              <a:noFill/>
            </a:ln>
            <a:effectLst/>
          </c:spPr>
          <c:invertIfNegative val="0"/>
          <c:cat>
            <c:strRef>
              <c:f>Analysis!$B$120:$B$123</c:f>
              <c:strCache>
                <c:ptCount val="4"/>
                <c:pt idx="0">
                  <c:v>Cash on Delivery</c:v>
                </c:pt>
                <c:pt idx="1">
                  <c:v>Credit Card</c:v>
                </c:pt>
                <c:pt idx="2">
                  <c:v>Debit Card</c:v>
                </c:pt>
                <c:pt idx="3">
                  <c:v>UPI</c:v>
                </c:pt>
              </c:strCache>
            </c:strRef>
          </c:cat>
          <c:val>
            <c:numRef>
              <c:f>Analysis!$E$120:$E$123</c:f>
              <c:numCache>
                <c:formatCode>General</c:formatCode>
                <c:ptCount val="4"/>
                <c:pt idx="0">
                  <c:v>1324537</c:v>
                </c:pt>
                <c:pt idx="1">
                  <c:v>895065</c:v>
                </c:pt>
                <c:pt idx="2">
                  <c:v>817166</c:v>
                </c:pt>
                <c:pt idx="3">
                  <c:v>1341716</c:v>
                </c:pt>
              </c:numCache>
            </c:numRef>
          </c:val>
          <c:extLst>
            <c:ext xmlns:c16="http://schemas.microsoft.com/office/drawing/2014/chart" uri="{C3380CC4-5D6E-409C-BE32-E72D297353CC}">
              <c16:uniqueId val="{00000002-F879-4F3A-8D2D-E3E308501F51}"/>
            </c:ext>
          </c:extLst>
        </c:ser>
        <c:ser>
          <c:idx val="3"/>
          <c:order val="3"/>
          <c:tx>
            <c:strRef>
              <c:f>Analysis!$F$119</c:f>
              <c:strCache>
                <c:ptCount val="1"/>
                <c:pt idx="0">
                  <c:v>Sum of apr</c:v>
                </c:pt>
              </c:strCache>
            </c:strRef>
          </c:tx>
          <c:spPr>
            <a:solidFill>
              <a:schemeClr val="accent4"/>
            </a:solidFill>
            <a:ln>
              <a:noFill/>
            </a:ln>
            <a:effectLst/>
          </c:spPr>
          <c:invertIfNegative val="0"/>
          <c:cat>
            <c:strRef>
              <c:f>Analysis!$B$120:$B$123</c:f>
              <c:strCache>
                <c:ptCount val="4"/>
                <c:pt idx="0">
                  <c:v>Cash on Delivery</c:v>
                </c:pt>
                <c:pt idx="1">
                  <c:v>Credit Card</c:v>
                </c:pt>
                <c:pt idx="2">
                  <c:v>Debit Card</c:v>
                </c:pt>
                <c:pt idx="3">
                  <c:v>UPI</c:v>
                </c:pt>
              </c:strCache>
            </c:strRef>
          </c:cat>
          <c:val>
            <c:numRef>
              <c:f>Analysis!$F$120:$F$123</c:f>
              <c:numCache>
                <c:formatCode>General</c:formatCode>
                <c:ptCount val="4"/>
                <c:pt idx="0">
                  <c:v>1034890</c:v>
                </c:pt>
                <c:pt idx="1">
                  <c:v>919303</c:v>
                </c:pt>
                <c:pt idx="2">
                  <c:v>750122</c:v>
                </c:pt>
                <c:pt idx="3">
                  <c:v>1199960</c:v>
                </c:pt>
              </c:numCache>
            </c:numRef>
          </c:val>
          <c:extLst>
            <c:ext xmlns:c16="http://schemas.microsoft.com/office/drawing/2014/chart" uri="{C3380CC4-5D6E-409C-BE32-E72D297353CC}">
              <c16:uniqueId val="{00000003-F879-4F3A-8D2D-E3E308501F51}"/>
            </c:ext>
          </c:extLst>
        </c:ser>
        <c:ser>
          <c:idx val="4"/>
          <c:order val="4"/>
          <c:tx>
            <c:strRef>
              <c:f>Analysis!$G$119</c:f>
              <c:strCache>
                <c:ptCount val="1"/>
                <c:pt idx="0">
                  <c:v>Sum of may</c:v>
                </c:pt>
              </c:strCache>
            </c:strRef>
          </c:tx>
          <c:spPr>
            <a:solidFill>
              <a:schemeClr val="accent5"/>
            </a:solidFill>
            <a:ln>
              <a:noFill/>
            </a:ln>
            <a:effectLst/>
          </c:spPr>
          <c:invertIfNegative val="0"/>
          <c:cat>
            <c:strRef>
              <c:f>Analysis!$B$120:$B$123</c:f>
              <c:strCache>
                <c:ptCount val="4"/>
                <c:pt idx="0">
                  <c:v>Cash on Delivery</c:v>
                </c:pt>
                <c:pt idx="1">
                  <c:v>Credit Card</c:v>
                </c:pt>
                <c:pt idx="2">
                  <c:v>Debit Card</c:v>
                </c:pt>
                <c:pt idx="3">
                  <c:v>UPI</c:v>
                </c:pt>
              </c:strCache>
            </c:strRef>
          </c:cat>
          <c:val>
            <c:numRef>
              <c:f>Analysis!$G$120:$G$123</c:f>
              <c:numCache>
                <c:formatCode>General</c:formatCode>
                <c:ptCount val="4"/>
                <c:pt idx="0">
                  <c:v>1148161</c:v>
                </c:pt>
                <c:pt idx="1">
                  <c:v>870486</c:v>
                </c:pt>
                <c:pt idx="2">
                  <c:v>923412</c:v>
                </c:pt>
                <c:pt idx="3">
                  <c:v>1403022</c:v>
                </c:pt>
              </c:numCache>
            </c:numRef>
          </c:val>
          <c:extLst>
            <c:ext xmlns:c16="http://schemas.microsoft.com/office/drawing/2014/chart" uri="{C3380CC4-5D6E-409C-BE32-E72D297353CC}">
              <c16:uniqueId val="{00000004-F879-4F3A-8D2D-E3E308501F51}"/>
            </c:ext>
          </c:extLst>
        </c:ser>
        <c:ser>
          <c:idx val="5"/>
          <c:order val="5"/>
          <c:tx>
            <c:strRef>
              <c:f>Analysis!$H$119</c:f>
              <c:strCache>
                <c:ptCount val="1"/>
                <c:pt idx="0">
                  <c:v>Sum of jun</c:v>
                </c:pt>
              </c:strCache>
            </c:strRef>
          </c:tx>
          <c:spPr>
            <a:solidFill>
              <a:schemeClr val="accent6"/>
            </a:solidFill>
            <a:ln>
              <a:noFill/>
            </a:ln>
            <a:effectLst/>
          </c:spPr>
          <c:invertIfNegative val="0"/>
          <c:cat>
            <c:strRef>
              <c:f>Analysis!$B$120:$B$123</c:f>
              <c:strCache>
                <c:ptCount val="4"/>
                <c:pt idx="0">
                  <c:v>Cash on Delivery</c:v>
                </c:pt>
                <c:pt idx="1">
                  <c:v>Credit Card</c:v>
                </c:pt>
                <c:pt idx="2">
                  <c:v>Debit Card</c:v>
                </c:pt>
                <c:pt idx="3">
                  <c:v>UPI</c:v>
                </c:pt>
              </c:strCache>
            </c:strRef>
          </c:cat>
          <c:val>
            <c:numRef>
              <c:f>Analysis!$H$120:$H$123</c:f>
              <c:numCache>
                <c:formatCode>General</c:formatCode>
                <c:ptCount val="4"/>
                <c:pt idx="0">
                  <c:v>1330402</c:v>
                </c:pt>
                <c:pt idx="1">
                  <c:v>1132774</c:v>
                </c:pt>
                <c:pt idx="2">
                  <c:v>896181</c:v>
                </c:pt>
                <c:pt idx="3">
                  <c:v>1477170</c:v>
                </c:pt>
              </c:numCache>
            </c:numRef>
          </c:val>
          <c:extLst>
            <c:ext xmlns:c16="http://schemas.microsoft.com/office/drawing/2014/chart" uri="{C3380CC4-5D6E-409C-BE32-E72D297353CC}">
              <c16:uniqueId val="{00000005-F879-4F3A-8D2D-E3E308501F51}"/>
            </c:ext>
          </c:extLst>
        </c:ser>
        <c:ser>
          <c:idx val="6"/>
          <c:order val="6"/>
          <c:tx>
            <c:strRef>
              <c:f>Analysis!$I$119</c:f>
              <c:strCache>
                <c:ptCount val="1"/>
                <c:pt idx="0">
                  <c:v>Sum of jul</c:v>
                </c:pt>
              </c:strCache>
            </c:strRef>
          </c:tx>
          <c:spPr>
            <a:solidFill>
              <a:schemeClr val="accent1">
                <a:lumMod val="60000"/>
              </a:schemeClr>
            </a:solidFill>
            <a:ln>
              <a:noFill/>
            </a:ln>
            <a:effectLst/>
          </c:spPr>
          <c:invertIfNegative val="0"/>
          <c:cat>
            <c:strRef>
              <c:f>Analysis!$B$120:$B$123</c:f>
              <c:strCache>
                <c:ptCount val="4"/>
                <c:pt idx="0">
                  <c:v>Cash on Delivery</c:v>
                </c:pt>
                <c:pt idx="1">
                  <c:v>Credit Card</c:v>
                </c:pt>
                <c:pt idx="2">
                  <c:v>Debit Card</c:v>
                </c:pt>
                <c:pt idx="3">
                  <c:v>UPI</c:v>
                </c:pt>
              </c:strCache>
            </c:strRef>
          </c:cat>
          <c:val>
            <c:numRef>
              <c:f>Analysis!$I$120:$I$123</c:f>
              <c:numCache>
                <c:formatCode>General</c:formatCode>
                <c:ptCount val="4"/>
                <c:pt idx="0">
                  <c:v>959777</c:v>
                </c:pt>
                <c:pt idx="1">
                  <c:v>596295</c:v>
                </c:pt>
                <c:pt idx="2">
                  <c:v>477679</c:v>
                </c:pt>
                <c:pt idx="3">
                  <c:v>916104</c:v>
                </c:pt>
              </c:numCache>
            </c:numRef>
          </c:val>
          <c:extLst>
            <c:ext xmlns:c16="http://schemas.microsoft.com/office/drawing/2014/chart" uri="{C3380CC4-5D6E-409C-BE32-E72D297353CC}">
              <c16:uniqueId val="{00000006-F879-4F3A-8D2D-E3E308501F51}"/>
            </c:ext>
          </c:extLst>
        </c:ser>
        <c:ser>
          <c:idx val="7"/>
          <c:order val="7"/>
          <c:tx>
            <c:strRef>
              <c:f>Analysis!$J$119</c:f>
              <c:strCache>
                <c:ptCount val="1"/>
                <c:pt idx="0">
                  <c:v>Sum of aug</c:v>
                </c:pt>
              </c:strCache>
            </c:strRef>
          </c:tx>
          <c:spPr>
            <a:solidFill>
              <a:schemeClr val="accent2">
                <a:lumMod val="60000"/>
              </a:schemeClr>
            </a:solidFill>
            <a:ln>
              <a:noFill/>
            </a:ln>
            <a:effectLst/>
          </c:spPr>
          <c:invertIfNegative val="0"/>
          <c:cat>
            <c:strRef>
              <c:f>Analysis!$B$120:$B$123</c:f>
              <c:strCache>
                <c:ptCount val="4"/>
                <c:pt idx="0">
                  <c:v>Cash on Delivery</c:v>
                </c:pt>
                <c:pt idx="1">
                  <c:v>Credit Card</c:v>
                </c:pt>
                <c:pt idx="2">
                  <c:v>Debit Card</c:v>
                </c:pt>
                <c:pt idx="3">
                  <c:v>UPI</c:v>
                </c:pt>
              </c:strCache>
            </c:strRef>
          </c:cat>
          <c:val>
            <c:numRef>
              <c:f>Analysis!$J$120:$J$123</c:f>
              <c:numCache>
                <c:formatCode>General</c:formatCode>
                <c:ptCount val="4"/>
                <c:pt idx="0">
                  <c:v>968115</c:v>
                </c:pt>
                <c:pt idx="1">
                  <c:v>709818</c:v>
                </c:pt>
                <c:pt idx="2">
                  <c:v>821734</c:v>
                </c:pt>
                <c:pt idx="3">
                  <c:v>939475</c:v>
                </c:pt>
              </c:numCache>
            </c:numRef>
          </c:val>
          <c:extLst>
            <c:ext xmlns:c16="http://schemas.microsoft.com/office/drawing/2014/chart" uri="{C3380CC4-5D6E-409C-BE32-E72D297353CC}">
              <c16:uniqueId val="{00000007-F879-4F3A-8D2D-E3E308501F51}"/>
            </c:ext>
          </c:extLst>
        </c:ser>
        <c:ser>
          <c:idx val="8"/>
          <c:order val="8"/>
          <c:tx>
            <c:strRef>
              <c:f>Analysis!$K$119</c:f>
              <c:strCache>
                <c:ptCount val="1"/>
                <c:pt idx="0">
                  <c:v>Sum of sep</c:v>
                </c:pt>
              </c:strCache>
            </c:strRef>
          </c:tx>
          <c:spPr>
            <a:solidFill>
              <a:schemeClr val="accent3">
                <a:lumMod val="60000"/>
              </a:schemeClr>
            </a:solidFill>
            <a:ln>
              <a:noFill/>
            </a:ln>
            <a:effectLst/>
          </c:spPr>
          <c:invertIfNegative val="0"/>
          <c:cat>
            <c:strRef>
              <c:f>Analysis!$B$120:$B$123</c:f>
              <c:strCache>
                <c:ptCount val="4"/>
                <c:pt idx="0">
                  <c:v>Cash on Delivery</c:v>
                </c:pt>
                <c:pt idx="1">
                  <c:v>Credit Card</c:v>
                </c:pt>
                <c:pt idx="2">
                  <c:v>Debit Card</c:v>
                </c:pt>
                <c:pt idx="3">
                  <c:v>UPI</c:v>
                </c:pt>
              </c:strCache>
            </c:strRef>
          </c:cat>
          <c:val>
            <c:numRef>
              <c:f>Analysis!$K$120:$K$123</c:f>
              <c:numCache>
                <c:formatCode>General</c:formatCode>
                <c:ptCount val="4"/>
                <c:pt idx="0">
                  <c:v>1167948</c:v>
                </c:pt>
                <c:pt idx="1">
                  <c:v>1335145</c:v>
                </c:pt>
                <c:pt idx="2">
                  <c:v>928597</c:v>
                </c:pt>
                <c:pt idx="3">
                  <c:v>1429216</c:v>
                </c:pt>
              </c:numCache>
            </c:numRef>
          </c:val>
          <c:extLst>
            <c:ext xmlns:c16="http://schemas.microsoft.com/office/drawing/2014/chart" uri="{C3380CC4-5D6E-409C-BE32-E72D297353CC}">
              <c16:uniqueId val="{00000008-F879-4F3A-8D2D-E3E308501F51}"/>
            </c:ext>
          </c:extLst>
        </c:ser>
        <c:ser>
          <c:idx val="9"/>
          <c:order val="9"/>
          <c:tx>
            <c:strRef>
              <c:f>Analysis!$L$119</c:f>
              <c:strCache>
                <c:ptCount val="1"/>
                <c:pt idx="0">
                  <c:v>Sum of oct</c:v>
                </c:pt>
              </c:strCache>
            </c:strRef>
          </c:tx>
          <c:spPr>
            <a:solidFill>
              <a:schemeClr val="accent4">
                <a:lumMod val="60000"/>
              </a:schemeClr>
            </a:solidFill>
            <a:ln>
              <a:noFill/>
            </a:ln>
            <a:effectLst/>
          </c:spPr>
          <c:invertIfNegative val="0"/>
          <c:cat>
            <c:strRef>
              <c:f>Analysis!$B$120:$B$123</c:f>
              <c:strCache>
                <c:ptCount val="4"/>
                <c:pt idx="0">
                  <c:v>Cash on Delivery</c:v>
                </c:pt>
                <c:pt idx="1">
                  <c:v>Credit Card</c:v>
                </c:pt>
                <c:pt idx="2">
                  <c:v>Debit Card</c:v>
                </c:pt>
                <c:pt idx="3">
                  <c:v>UPI</c:v>
                </c:pt>
              </c:strCache>
            </c:strRef>
          </c:cat>
          <c:val>
            <c:numRef>
              <c:f>Analysis!$L$120:$L$123</c:f>
              <c:numCache>
                <c:formatCode>General</c:formatCode>
                <c:ptCount val="4"/>
                <c:pt idx="0">
                  <c:v>927817</c:v>
                </c:pt>
                <c:pt idx="1">
                  <c:v>603487</c:v>
                </c:pt>
                <c:pt idx="2">
                  <c:v>866723</c:v>
                </c:pt>
                <c:pt idx="3">
                  <c:v>917418</c:v>
                </c:pt>
              </c:numCache>
            </c:numRef>
          </c:val>
          <c:extLst>
            <c:ext xmlns:c16="http://schemas.microsoft.com/office/drawing/2014/chart" uri="{C3380CC4-5D6E-409C-BE32-E72D297353CC}">
              <c16:uniqueId val="{00000009-F879-4F3A-8D2D-E3E308501F51}"/>
            </c:ext>
          </c:extLst>
        </c:ser>
        <c:ser>
          <c:idx val="10"/>
          <c:order val="10"/>
          <c:tx>
            <c:strRef>
              <c:f>Analysis!$M$119</c:f>
              <c:strCache>
                <c:ptCount val="1"/>
                <c:pt idx="0">
                  <c:v>Sum of nov</c:v>
                </c:pt>
              </c:strCache>
            </c:strRef>
          </c:tx>
          <c:spPr>
            <a:solidFill>
              <a:schemeClr val="accent5">
                <a:lumMod val="60000"/>
              </a:schemeClr>
            </a:solidFill>
            <a:ln>
              <a:noFill/>
            </a:ln>
            <a:effectLst/>
          </c:spPr>
          <c:invertIfNegative val="0"/>
          <c:cat>
            <c:strRef>
              <c:f>Analysis!$B$120:$B$123</c:f>
              <c:strCache>
                <c:ptCount val="4"/>
                <c:pt idx="0">
                  <c:v>Cash on Delivery</c:v>
                </c:pt>
                <c:pt idx="1">
                  <c:v>Credit Card</c:v>
                </c:pt>
                <c:pt idx="2">
                  <c:v>Debit Card</c:v>
                </c:pt>
                <c:pt idx="3">
                  <c:v>UPI</c:v>
                </c:pt>
              </c:strCache>
            </c:strRef>
          </c:cat>
          <c:val>
            <c:numRef>
              <c:f>Analysis!$M$120:$M$123</c:f>
              <c:numCache>
                <c:formatCode>General</c:formatCode>
                <c:ptCount val="4"/>
                <c:pt idx="0">
                  <c:v>1322020</c:v>
                </c:pt>
                <c:pt idx="1">
                  <c:v>1062494</c:v>
                </c:pt>
                <c:pt idx="2">
                  <c:v>875000</c:v>
                </c:pt>
                <c:pt idx="3">
                  <c:v>1456093</c:v>
                </c:pt>
              </c:numCache>
            </c:numRef>
          </c:val>
          <c:extLst>
            <c:ext xmlns:c16="http://schemas.microsoft.com/office/drawing/2014/chart" uri="{C3380CC4-5D6E-409C-BE32-E72D297353CC}">
              <c16:uniqueId val="{0000000A-F879-4F3A-8D2D-E3E308501F51}"/>
            </c:ext>
          </c:extLst>
        </c:ser>
        <c:ser>
          <c:idx val="11"/>
          <c:order val="11"/>
          <c:tx>
            <c:strRef>
              <c:f>Analysis!$N$119</c:f>
              <c:strCache>
                <c:ptCount val="1"/>
                <c:pt idx="0">
                  <c:v>Sum of dec</c:v>
                </c:pt>
              </c:strCache>
            </c:strRef>
          </c:tx>
          <c:spPr>
            <a:solidFill>
              <a:schemeClr val="accent6">
                <a:lumMod val="60000"/>
              </a:schemeClr>
            </a:solidFill>
            <a:ln>
              <a:noFill/>
            </a:ln>
            <a:effectLst/>
          </c:spPr>
          <c:invertIfNegative val="0"/>
          <c:cat>
            <c:strRef>
              <c:f>Analysis!$B$120:$B$123</c:f>
              <c:strCache>
                <c:ptCount val="4"/>
                <c:pt idx="0">
                  <c:v>Cash on Delivery</c:v>
                </c:pt>
                <c:pt idx="1">
                  <c:v>Credit Card</c:v>
                </c:pt>
                <c:pt idx="2">
                  <c:v>Debit Card</c:v>
                </c:pt>
                <c:pt idx="3">
                  <c:v>UPI</c:v>
                </c:pt>
              </c:strCache>
            </c:strRef>
          </c:cat>
          <c:val>
            <c:numRef>
              <c:f>Analysis!$N$120:$N$123</c:f>
              <c:numCache>
                <c:formatCode>General</c:formatCode>
                <c:ptCount val="4"/>
                <c:pt idx="0">
                  <c:v>1440421</c:v>
                </c:pt>
                <c:pt idx="1">
                  <c:v>1025122</c:v>
                </c:pt>
                <c:pt idx="2">
                  <c:v>1054866</c:v>
                </c:pt>
                <c:pt idx="3">
                  <c:v>1468350</c:v>
                </c:pt>
              </c:numCache>
            </c:numRef>
          </c:val>
          <c:extLst>
            <c:ext xmlns:c16="http://schemas.microsoft.com/office/drawing/2014/chart" uri="{C3380CC4-5D6E-409C-BE32-E72D297353CC}">
              <c16:uniqueId val="{0000000B-F879-4F3A-8D2D-E3E308501F51}"/>
            </c:ext>
          </c:extLst>
        </c:ser>
        <c:dLbls>
          <c:showLegendKey val="0"/>
          <c:showVal val="0"/>
          <c:showCatName val="0"/>
          <c:showSerName val="0"/>
          <c:showPercent val="0"/>
          <c:showBubbleSize val="0"/>
        </c:dLbls>
        <c:gapWidth val="219"/>
        <c:overlap val="-27"/>
        <c:axId val="1863367071"/>
        <c:axId val="1863365151"/>
      </c:barChart>
      <c:catAx>
        <c:axId val="18633670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1863365151"/>
        <c:crosses val="autoZero"/>
        <c:auto val="1"/>
        <c:lblAlgn val="ctr"/>
        <c:lblOffset val="100"/>
        <c:noMultiLvlLbl val="0"/>
      </c:catAx>
      <c:valAx>
        <c:axId val="186336515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1863367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1314B"/>
    </a:solidFill>
    <a:ln w="9525" cap="flat" cmpd="sng" algn="ctr">
      <a:noFill/>
      <a:round/>
    </a:ln>
    <a:effectLst/>
  </c:spPr>
  <c:txPr>
    <a:bodyPr/>
    <a:lstStyle/>
    <a:p>
      <a:pPr>
        <a:defRPr>
          <a:solidFill>
            <a:srgbClr val="FFFFF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dataset.xlsx]Analysis!table_5</c:name>
    <c:fmtId val="14"/>
  </c:pivotSource>
  <c:chart>
    <c:title>
      <c:tx>
        <c:rich>
          <a:bodyPr rot="0" spcFirstLastPara="1" vertOverflow="ellipsis" vert="horz" wrap="square" anchor="ctr" anchorCtr="1"/>
          <a:lstStyle/>
          <a:p>
            <a:pPr>
              <a:defRPr sz="1800" b="1" i="0" u="none" strike="noStrike" kern="1200" baseline="0">
                <a:solidFill>
                  <a:srgbClr val="FFFFFF"/>
                </a:solidFill>
                <a:latin typeface="+mn-lt"/>
                <a:ea typeface="+mn-ea"/>
                <a:cs typeface="+mn-cs"/>
              </a:defRPr>
            </a:pPr>
            <a:r>
              <a:rPr lang="en-US"/>
              <a:t>PROFIT_BASED_ON_ITEMS</a:t>
            </a:r>
          </a:p>
        </c:rich>
      </c:tx>
      <c:layout>
        <c:manualLayout>
          <c:xMode val="edge"/>
          <c:yMode val="edge"/>
          <c:x val="0.27455200115586104"/>
          <c:y val="3.0279264043227675E-2"/>
        </c:manualLayout>
      </c:layout>
      <c:overlay val="0"/>
      <c:spPr>
        <a:noFill/>
        <a:ln>
          <a:noFill/>
        </a:ln>
        <a:effectLst/>
      </c:spPr>
      <c:txPr>
        <a:bodyPr rot="0" spcFirstLastPara="1" vertOverflow="ellipsis" vert="horz" wrap="square" anchor="ctr" anchorCtr="1"/>
        <a:lstStyle/>
        <a:p>
          <a:pPr>
            <a:defRPr sz="1800" b="1" i="0" u="none" strike="noStrike" kern="1200" baseline="0">
              <a:solidFill>
                <a:srgbClr val="FFFFFF"/>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dbl" algn="ctr">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40FFD"/>
          </a:solidFill>
          <a:ln w="9525" cap="flat" cmpd="dbl" algn="ctr">
            <a:noFill/>
            <a:round/>
          </a:ln>
          <a:effectLst/>
        </c:spPr>
      </c:pivotFmt>
      <c:pivotFmt>
        <c:idx val="4"/>
        <c:spPr>
          <a:solidFill>
            <a:srgbClr val="14229C"/>
          </a:solidFill>
          <a:ln w="9525" cap="flat" cmpd="dbl" algn="ctr">
            <a:noFill/>
            <a:round/>
          </a:ln>
          <a:effectLst/>
        </c:spPr>
      </c:pivotFmt>
      <c:pivotFmt>
        <c:idx val="5"/>
        <c:spPr>
          <a:solidFill>
            <a:srgbClr val="FFFF00"/>
          </a:solidFill>
          <a:ln w="9525" cap="flat" cmpd="dbl" algn="ctr">
            <a:noFill/>
            <a:round/>
          </a:ln>
          <a:effectLst/>
        </c:spPr>
      </c:pivotFmt>
      <c:pivotFmt>
        <c:idx val="6"/>
        <c:spPr>
          <a:solidFill>
            <a:srgbClr val="E56C37"/>
          </a:solidFill>
          <a:ln w="9525" cap="flat" cmpd="dbl" algn="ctr">
            <a:noFill/>
            <a:round/>
          </a:ln>
          <a:effectLst/>
        </c:spPr>
      </c:pivotFmt>
    </c:pivotFmts>
    <c:plotArea>
      <c:layout>
        <c:manualLayout>
          <c:layoutTarget val="inner"/>
          <c:xMode val="edge"/>
          <c:yMode val="edge"/>
          <c:x val="0.14622535111154292"/>
          <c:y val="0.14785715696239007"/>
          <c:w val="0.7936234404046657"/>
          <c:h val="0.78031662553448877"/>
        </c:manualLayout>
      </c:layout>
      <c:barChart>
        <c:barDir val="bar"/>
        <c:grouping val="clustered"/>
        <c:varyColors val="0"/>
        <c:ser>
          <c:idx val="0"/>
          <c:order val="0"/>
          <c:tx>
            <c:strRef>
              <c:f>Analysis!$C$138</c:f>
              <c:strCache>
                <c:ptCount val="1"/>
                <c:pt idx="0">
                  <c:v>Total</c:v>
                </c:pt>
              </c:strCache>
            </c:strRef>
          </c:tx>
          <c:spPr>
            <a:solidFill>
              <a:schemeClr val="accent1">
                <a:alpha val="85000"/>
              </a:schemeClr>
            </a:solidFill>
            <a:ln w="9525" cap="flat" cmpd="dbl" algn="ctr">
              <a:noFill/>
              <a:round/>
            </a:ln>
            <a:effectLst/>
          </c:spPr>
          <c:invertIfNegative val="0"/>
          <c:dPt>
            <c:idx val="0"/>
            <c:invertIfNegative val="0"/>
            <c:bubble3D val="0"/>
            <c:spPr>
              <a:solidFill>
                <a:srgbClr val="E56C37"/>
              </a:solidFill>
              <a:ln w="9525" cap="flat" cmpd="dbl" algn="ctr">
                <a:noFill/>
                <a:round/>
              </a:ln>
              <a:effectLst/>
            </c:spPr>
            <c:extLst>
              <c:ext xmlns:c16="http://schemas.microsoft.com/office/drawing/2014/chart" uri="{C3380CC4-5D6E-409C-BE32-E72D297353CC}">
                <c16:uniqueId val="{00000004-D244-4A49-A586-CAB29A455251}"/>
              </c:ext>
            </c:extLst>
          </c:dPt>
          <c:dPt>
            <c:idx val="1"/>
            <c:invertIfNegative val="0"/>
            <c:bubble3D val="0"/>
            <c:spPr>
              <a:solidFill>
                <a:srgbClr val="FFFF00"/>
              </a:solidFill>
              <a:ln w="9525" cap="flat" cmpd="dbl" algn="ctr">
                <a:noFill/>
                <a:round/>
              </a:ln>
              <a:effectLst/>
            </c:spPr>
            <c:extLst>
              <c:ext xmlns:c16="http://schemas.microsoft.com/office/drawing/2014/chart" uri="{C3380CC4-5D6E-409C-BE32-E72D297353CC}">
                <c16:uniqueId val="{00000003-D244-4A49-A586-CAB29A455251}"/>
              </c:ext>
            </c:extLst>
          </c:dPt>
          <c:dPt>
            <c:idx val="2"/>
            <c:invertIfNegative val="0"/>
            <c:bubble3D val="0"/>
            <c:spPr>
              <a:solidFill>
                <a:srgbClr val="14229C"/>
              </a:solidFill>
              <a:ln w="9525" cap="flat" cmpd="dbl" algn="ctr">
                <a:noFill/>
                <a:round/>
              </a:ln>
              <a:effectLst/>
            </c:spPr>
            <c:extLst>
              <c:ext xmlns:c16="http://schemas.microsoft.com/office/drawing/2014/chart" uri="{C3380CC4-5D6E-409C-BE32-E72D297353CC}">
                <c16:uniqueId val="{00000002-D244-4A49-A586-CAB29A455251}"/>
              </c:ext>
            </c:extLst>
          </c:dPt>
          <c:dPt>
            <c:idx val="3"/>
            <c:invertIfNegative val="0"/>
            <c:bubble3D val="0"/>
            <c:spPr>
              <a:solidFill>
                <a:srgbClr val="E40FFD"/>
              </a:solidFill>
              <a:ln w="9525" cap="flat" cmpd="dbl" algn="ctr">
                <a:noFill/>
                <a:round/>
              </a:ln>
              <a:effectLst/>
            </c:spPr>
            <c:extLst>
              <c:ext xmlns:c16="http://schemas.microsoft.com/office/drawing/2014/chart" uri="{C3380CC4-5D6E-409C-BE32-E72D297353CC}">
                <c16:uniqueId val="{00000001-D244-4A49-A586-CAB29A45525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Analysis!$B$139:$B$142</c:f>
              <c:strCache>
                <c:ptCount val="4"/>
                <c:pt idx="0">
                  <c:v>Beauty</c:v>
                </c:pt>
                <c:pt idx="1">
                  <c:v>Electronics</c:v>
                </c:pt>
                <c:pt idx="2">
                  <c:v>Fashion</c:v>
                </c:pt>
                <c:pt idx="3">
                  <c:v>Home</c:v>
                </c:pt>
              </c:strCache>
            </c:strRef>
          </c:cat>
          <c:val>
            <c:numRef>
              <c:f>Analysis!$C$139:$C$142</c:f>
              <c:numCache>
                <c:formatCode>General</c:formatCode>
                <c:ptCount val="4"/>
                <c:pt idx="0">
                  <c:v>106292608.92</c:v>
                </c:pt>
                <c:pt idx="1">
                  <c:v>152347357.62999994</c:v>
                </c:pt>
                <c:pt idx="2">
                  <c:v>97129158.340000004</c:v>
                </c:pt>
                <c:pt idx="3">
                  <c:v>113534922.27000001</c:v>
                </c:pt>
              </c:numCache>
            </c:numRef>
          </c:val>
          <c:extLst>
            <c:ext xmlns:c16="http://schemas.microsoft.com/office/drawing/2014/chart" uri="{C3380CC4-5D6E-409C-BE32-E72D297353CC}">
              <c16:uniqueId val="{00000000-D244-4A49-A586-CAB29A455251}"/>
            </c:ext>
          </c:extLst>
        </c:ser>
        <c:dLbls>
          <c:dLblPos val="inEnd"/>
          <c:showLegendKey val="0"/>
          <c:showVal val="1"/>
          <c:showCatName val="0"/>
          <c:showSerName val="0"/>
          <c:showPercent val="0"/>
          <c:showBubbleSize val="0"/>
        </c:dLbls>
        <c:gapWidth val="65"/>
        <c:axId val="56837263"/>
        <c:axId val="56841103"/>
      </c:barChart>
      <c:catAx>
        <c:axId val="5683726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rgbClr val="FFFFFF"/>
                </a:solidFill>
                <a:latin typeface="+mn-lt"/>
                <a:ea typeface="+mn-ea"/>
                <a:cs typeface="+mn-cs"/>
              </a:defRPr>
            </a:pPr>
            <a:endParaRPr lang="en-US"/>
          </a:p>
        </c:txPr>
        <c:crossAx val="56841103"/>
        <c:crosses val="autoZero"/>
        <c:auto val="1"/>
        <c:lblAlgn val="ctr"/>
        <c:lblOffset val="100"/>
        <c:noMultiLvlLbl val="0"/>
      </c:catAx>
      <c:valAx>
        <c:axId val="568411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5683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1314B"/>
    </a:solidFill>
    <a:ln w="9525" cap="flat" cmpd="sng" algn="ctr">
      <a:noFill/>
      <a:round/>
    </a:ln>
    <a:effectLst/>
  </c:spPr>
  <c:txPr>
    <a:bodyPr/>
    <a:lstStyle/>
    <a:p>
      <a:pPr>
        <a:defRPr>
          <a:solidFill>
            <a:srgbClr val="FFFFF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dataset.xlsx]Analysis!table_1</c:name>
    <c:fmtId val="22"/>
  </c:pivotSource>
  <c:chart>
    <c:title>
      <c:tx>
        <c:rich>
          <a:bodyPr rot="0" spcFirstLastPara="1" vertOverflow="ellipsis" vert="horz" wrap="square" anchor="ctr" anchorCtr="1"/>
          <a:lstStyle/>
          <a:p>
            <a:pPr>
              <a:defRPr sz="2000" b="1" i="0" u="none" strike="noStrike" kern="1200" cap="all" baseline="0">
                <a:solidFill>
                  <a:schemeClr val="lt1"/>
                </a:solidFill>
                <a:latin typeface="+mn-lt"/>
                <a:ea typeface="+mn-ea"/>
                <a:cs typeface="+mn-cs"/>
              </a:defRPr>
            </a:pPr>
            <a:r>
              <a:rPr lang="en-US" sz="2000" b="1"/>
              <a:t>order_reports</a:t>
            </a:r>
          </a:p>
        </c:rich>
      </c:tx>
      <c:overlay val="0"/>
      <c:spPr>
        <a:noFill/>
        <a:ln>
          <a:noFill/>
        </a:ln>
        <a:effectLst/>
      </c:spPr>
      <c:txPr>
        <a:bodyPr rot="0" spcFirstLastPara="1" vertOverflow="ellipsis" vert="horz" wrap="square" anchor="ctr" anchorCtr="1"/>
        <a:lstStyle/>
        <a:p>
          <a:pPr>
            <a:defRPr sz="2000" b="1"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56C37"/>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4"/>
        <c:spPr>
          <a:solidFill>
            <a:srgbClr val="E56C37"/>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5"/>
        <c:spPr>
          <a:solidFill>
            <a:srgbClr val="E56C37"/>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6"/>
        <c:spPr>
          <a:solidFill>
            <a:srgbClr val="E56C37"/>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7"/>
        <c:spPr>
          <a:solidFill>
            <a:srgbClr val="118DFF"/>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8"/>
        <c:spPr>
          <a:solidFill>
            <a:srgbClr val="118DFF"/>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9"/>
        <c:spPr>
          <a:solidFill>
            <a:srgbClr val="118DFF"/>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10"/>
        <c:spPr>
          <a:solidFill>
            <a:srgbClr val="118DFF"/>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11"/>
        <c:spPr>
          <a:solidFill>
            <a:srgbClr val="E40FFD"/>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12"/>
        <c:spPr>
          <a:solidFill>
            <a:srgbClr val="E40FFD"/>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13"/>
        <c:spPr>
          <a:solidFill>
            <a:srgbClr val="E40FFD"/>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14"/>
        <c:spPr>
          <a:solidFill>
            <a:srgbClr val="E40FFD"/>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15"/>
        <c:spPr>
          <a:solidFill>
            <a:srgbClr val="10FF34"/>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16"/>
        <c:spPr>
          <a:solidFill>
            <a:srgbClr val="10FF34"/>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17"/>
        <c:spPr>
          <a:solidFill>
            <a:srgbClr val="10FF34"/>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
        <c:idx val="18"/>
        <c:spPr>
          <a:solidFill>
            <a:srgbClr val="10FF34"/>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5331910055678091"/>
          <c:w val="0.99152142720129199"/>
          <c:h val="0.55386400326032781"/>
        </c:manualLayout>
      </c:layout>
      <c:bar3DChart>
        <c:barDir val="col"/>
        <c:grouping val="clustered"/>
        <c:varyColors val="0"/>
        <c:ser>
          <c:idx val="0"/>
          <c:order val="0"/>
          <c:tx>
            <c:strRef>
              <c:f>Analysis!$C$8</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Pt>
            <c:idx val="0"/>
            <c:invertIfNegative val="0"/>
            <c:bubble3D val="0"/>
            <c:spPr>
              <a:solidFill>
                <a:srgbClr val="E56C37"/>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extLst>
              <c:ext xmlns:c16="http://schemas.microsoft.com/office/drawing/2014/chart" uri="{C3380CC4-5D6E-409C-BE32-E72D297353CC}">
                <c16:uniqueId val="{00000011-7614-46F9-8D9F-F39200C133D8}"/>
              </c:ext>
            </c:extLst>
          </c:dPt>
          <c:dPt>
            <c:idx val="1"/>
            <c:invertIfNegative val="0"/>
            <c:bubble3D val="0"/>
            <c:spPr>
              <a:solidFill>
                <a:srgbClr val="E56C37"/>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extLst>
              <c:ext xmlns:c16="http://schemas.microsoft.com/office/drawing/2014/chart" uri="{C3380CC4-5D6E-409C-BE32-E72D297353CC}">
                <c16:uniqueId val="{00000012-7614-46F9-8D9F-F39200C133D8}"/>
              </c:ext>
            </c:extLst>
          </c:dPt>
          <c:dPt>
            <c:idx val="2"/>
            <c:invertIfNegative val="0"/>
            <c:bubble3D val="0"/>
            <c:spPr>
              <a:solidFill>
                <a:srgbClr val="E56C37"/>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extLst>
              <c:ext xmlns:c16="http://schemas.microsoft.com/office/drawing/2014/chart" uri="{C3380CC4-5D6E-409C-BE32-E72D297353CC}">
                <c16:uniqueId val="{00000013-7614-46F9-8D9F-F39200C133D8}"/>
              </c:ext>
            </c:extLst>
          </c:dPt>
          <c:dPt>
            <c:idx val="3"/>
            <c:invertIfNegative val="0"/>
            <c:bubble3D val="0"/>
            <c:spPr>
              <a:solidFill>
                <a:srgbClr val="E56C37"/>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extLst>
              <c:ext xmlns:c16="http://schemas.microsoft.com/office/drawing/2014/chart" uri="{C3380CC4-5D6E-409C-BE32-E72D297353CC}">
                <c16:uniqueId val="{00000014-7614-46F9-8D9F-F39200C133D8}"/>
              </c:ext>
            </c:extLst>
          </c:dPt>
          <c:dPt>
            <c:idx val="4"/>
            <c:invertIfNegative val="0"/>
            <c:bubble3D val="0"/>
            <c:spPr>
              <a:solidFill>
                <a:srgbClr val="118DFF"/>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extLst>
              <c:ext xmlns:c16="http://schemas.microsoft.com/office/drawing/2014/chart" uri="{C3380CC4-5D6E-409C-BE32-E72D297353CC}">
                <c16:uniqueId val="{00000015-7614-46F9-8D9F-F39200C133D8}"/>
              </c:ext>
            </c:extLst>
          </c:dPt>
          <c:dPt>
            <c:idx val="5"/>
            <c:invertIfNegative val="0"/>
            <c:bubble3D val="0"/>
            <c:spPr>
              <a:solidFill>
                <a:srgbClr val="118DFF"/>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extLst>
              <c:ext xmlns:c16="http://schemas.microsoft.com/office/drawing/2014/chart" uri="{C3380CC4-5D6E-409C-BE32-E72D297353CC}">
                <c16:uniqueId val="{00000016-7614-46F9-8D9F-F39200C133D8}"/>
              </c:ext>
            </c:extLst>
          </c:dPt>
          <c:dPt>
            <c:idx val="6"/>
            <c:invertIfNegative val="0"/>
            <c:bubble3D val="0"/>
            <c:spPr>
              <a:solidFill>
                <a:srgbClr val="118DFF"/>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extLst>
              <c:ext xmlns:c16="http://schemas.microsoft.com/office/drawing/2014/chart" uri="{C3380CC4-5D6E-409C-BE32-E72D297353CC}">
                <c16:uniqueId val="{00000017-7614-46F9-8D9F-F39200C133D8}"/>
              </c:ext>
            </c:extLst>
          </c:dPt>
          <c:dPt>
            <c:idx val="7"/>
            <c:invertIfNegative val="0"/>
            <c:bubble3D val="0"/>
            <c:spPr>
              <a:solidFill>
                <a:srgbClr val="118DFF"/>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extLst>
              <c:ext xmlns:c16="http://schemas.microsoft.com/office/drawing/2014/chart" uri="{C3380CC4-5D6E-409C-BE32-E72D297353CC}">
                <c16:uniqueId val="{00000018-7614-46F9-8D9F-F39200C133D8}"/>
              </c:ext>
            </c:extLst>
          </c:dPt>
          <c:dPt>
            <c:idx val="8"/>
            <c:invertIfNegative val="0"/>
            <c:bubble3D val="0"/>
            <c:spPr>
              <a:solidFill>
                <a:srgbClr val="E40FFD"/>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extLst>
              <c:ext xmlns:c16="http://schemas.microsoft.com/office/drawing/2014/chart" uri="{C3380CC4-5D6E-409C-BE32-E72D297353CC}">
                <c16:uniqueId val="{00000019-7614-46F9-8D9F-F39200C133D8}"/>
              </c:ext>
            </c:extLst>
          </c:dPt>
          <c:dPt>
            <c:idx val="9"/>
            <c:invertIfNegative val="0"/>
            <c:bubble3D val="0"/>
            <c:spPr>
              <a:solidFill>
                <a:srgbClr val="E40FFD"/>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extLst>
              <c:ext xmlns:c16="http://schemas.microsoft.com/office/drawing/2014/chart" uri="{C3380CC4-5D6E-409C-BE32-E72D297353CC}">
                <c16:uniqueId val="{0000001A-7614-46F9-8D9F-F39200C133D8}"/>
              </c:ext>
            </c:extLst>
          </c:dPt>
          <c:dPt>
            <c:idx val="10"/>
            <c:invertIfNegative val="0"/>
            <c:bubble3D val="0"/>
            <c:spPr>
              <a:solidFill>
                <a:srgbClr val="E40FFD"/>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extLst>
              <c:ext xmlns:c16="http://schemas.microsoft.com/office/drawing/2014/chart" uri="{C3380CC4-5D6E-409C-BE32-E72D297353CC}">
                <c16:uniqueId val="{0000001B-7614-46F9-8D9F-F39200C133D8}"/>
              </c:ext>
            </c:extLst>
          </c:dPt>
          <c:dPt>
            <c:idx val="11"/>
            <c:invertIfNegative val="0"/>
            <c:bubble3D val="0"/>
            <c:spPr>
              <a:solidFill>
                <a:srgbClr val="E40FFD"/>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extLst>
              <c:ext xmlns:c16="http://schemas.microsoft.com/office/drawing/2014/chart" uri="{C3380CC4-5D6E-409C-BE32-E72D297353CC}">
                <c16:uniqueId val="{0000001C-7614-46F9-8D9F-F39200C133D8}"/>
              </c:ext>
            </c:extLst>
          </c:dPt>
          <c:dPt>
            <c:idx val="12"/>
            <c:invertIfNegative val="0"/>
            <c:bubble3D val="0"/>
            <c:spPr>
              <a:solidFill>
                <a:srgbClr val="10FF34"/>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extLst>
              <c:ext xmlns:c16="http://schemas.microsoft.com/office/drawing/2014/chart" uri="{C3380CC4-5D6E-409C-BE32-E72D297353CC}">
                <c16:uniqueId val="{0000001D-7614-46F9-8D9F-F39200C133D8}"/>
              </c:ext>
            </c:extLst>
          </c:dPt>
          <c:dPt>
            <c:idx val="13"/>
            <c:invertIfNegative val="0"/>
            <c:bubble3D val="0"/>
            <c:spPr>
              <a:solidFill>
                <a:srgbClr val="10FF34"/>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extLst>
              <c:ext xmlns:c16="http://schemas.microsoft.com/office/drawing/2014/chart" uri="{C3380CC4-5D6E-409C-BE32-E72D297353CC}">
                <c16:uniqueId val="{0000001E-7614-46F9-8D9F-F39200C133D8}"/>
              </c:ext>
            </c:extLst>
          </c:dPt>
          <c:dPt>
            <c:idx val="14"/>
            <c:invertIfNegative val="0"/>
            <c:bubble3D val="0"/>
            <c:spPr>
              <a:solidFill>
                <a:srgbClr val="10FF34"/>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extLst>
              <c:ext xmlns:c16="http://schemas.microsoft.com/office/drawing/2014/chart" uri="{C3380CC4-5D6E-409C-BE32-E72D297353CC}">
                <c16:uniqueId val="{0000001F-7614-46F9-8D9F-F39200C133D8}"/>
              </c:ext>
            </c:extLst>
          </c:dPt>
          <c:dPt>
            <c:idx val="15"/>
            <c:invertIfNegative val="0"/>
            <c:bubble3D val="0"/>
            <c:spPr>
              <a:solidFill>
                <a:srgbClr val="10FF34"/>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extLst>
              <c:ext xmlns:c16="http://schemas.microsoft.com/office/drawing/2014/chart" uri="{C3380CC4-5D6E-409C-BE32-E72D297353CC}">
                <c16:uniqueId val="{00000020-7614-46F9-8D9F-F39200C133D8}"/>
              </c:ext>
            </c:extLst>
          </c:dPt>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Analysis!$B$9:$B$28</c:f>
              <c:multiLvlStrCache>
                <c:ptCount val="16"/>
                <c:lvl>
                  <c:pt idx="0">
                    <c:v>AJIO</c:v>
                  </c:pt>
                  <c:pt idx="1">
                    <c:v>Amazon</c:v>
                  </c:pt>
                  <c:pt idx="2">
                    <c:v>Flipkart</c:v>
                  </c:pt>
                  <c:pt idx="3">
                    <c:v>Snapdeal</c:v>
                  </c:pt>
                  <c:pt idx="4">
                    <c:v>AJIO</c:v>
                  </c:pt>
                  <c:pt idx="5">
                    <c:v>Amazon</c:v>
                  </c:pt>
                  <c:pt idx="6">
                    <c:v>Flipkart</c:v>
                  </c:pt>
                  <c:pt idx="7">
                    <c:v>Snapdeal</c:v>
                  </c:pt>
                  <c:pt idx="8">
                    <c:v>AJIO</c:v>
                  </c:pt>
                  <c:pt idx="9">
                    <c:v>Amazon</c:v>
                  </c:pt>
                  <c:pt idx="10">
                    <c:v>Flipkart</c:v>
                  </c:pt>
                  <c:pt idx="11">
                    <c:v>Snapdeal</c:v>
                  </c:pt>
                  <c:pt idx="12">
                    <c:v>AJIO</c:v>
                  </c:pt>
                  <c:pt idx="13">
                    <c:v>Amazon</c:v>
                  </c:pt>
                  <c:pt idx="14">
                    <c:v>Flipkart</c:v>
                  </c:pt>
                  <c:pt idx="15">
                    <c:v>Snapdeal</c:v>
                  </c:pt>
                </c:lvl>
                <c:lvl>
                  <c:pt idx="0">
                    <c:v>Exchanges</c:v>
                  </c:pt>
                  <c:pt idx="4">
                    <c:v>Refunds</c:v>
                  </c:pt>
                  <c:pt idx="8">
                    <c:v>Replacements</c:v>
                  </c:pt>
                  <c:pt idx="12">
                    <c:v>Warranties</c:v>
                  </c:pt>
                </c:lvl>
              </c:multiLvlStrCache>
            </c:multiLvlStrRef>
          </c:cat>
          <c:val>
            <c:numRef>
              <c:f>Analysis!$C$9:$C$28</c:f>
              <c:numCache>
                <c:formatCode>General</c:formatCode>
                <c:ptCount val="16"/>
                <c:pt idx="0">
                  <c:v>759</c:v>
                </c:pt>
                <c:pt idx="1">
                  <c:v>657</c:v>
                </c:pt>
                <c:pt idx="2">
                  <c:v>975</c:v>
                </c:pt>
                <c:pt idx="3">
                  <c:v>1073</c:v>
                </c:pt>
                <c:pt idx="4">
                  <c:v>330</c:v>
                </c:pt>
                <c:pt idx="5">
                  <c:v>669</c:v>
                </c:pt>
                <c:pt idx="6">
                  <c:v>358</c:v>
                </c:pt>
                <c:pt idx="7">
                  <c:v>612</c:v>
                </c:pt>
                <c:pt idx="8">
                  <c:v>633</c:v>
                </c:pt>
                <c:pt idx="9">
                  <c:v>405</c:v>
                </c:pt>
                <c:pt idx="10">
                  <c:v>493</c:v>
                </c:pt>
                <c:pt idx="11">
                  <c:v>893</c:v>
                </c:pt>
                <c:pt idx="12">
                  <c:v>798</c:v>
                </c:pt>
                <c:pt idx="13">
                  <c:v>497</c:v>
                </c:pt>
                <c:pt idx="14">
                  <c:v>442</c:v>
                </c:pt>
                <c:pt idx="15">
                  <c:v>760</c:v>
                </c:pt>
              </c:numCache>
            </c:numRef>
          </c:val>
          <c:extLst>
            <c:ext xmlns:c16="http://schemas.microsoft.com/office/drawing/2014/chart" uri="{C3380CC4-5D6E-409C-BE32-E72D297353CC}">
              <c16:uniqueId val="{00000000-7614-46F9-8D9F-F39200C133D8}"/>
            </c:ext>
          </c:extLst>
        </c:ser>
        <c:dLbls>
          <c:showLegendKey val="0"/>
          <c:showVal val="1"/>
          <c:showCatName val="0"/>
          <c:showSerName val="0"/>
          <c:showPercent val="0"/>
          <c:showBubbleSize val="0"/>
        </c:dLbls>
        <c:gapWidth val="84"/>
        <c:gapDepth val="53"/>
        <c:shape val="box"/>
        <c:axId val="1927493151"/>
        <c:axId val="1927488351"/>
        <c:axId val="0"/>
      </c:bar3DChart>
      <c:catAx>
        <c:axId val="1927493151"/>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1927488351"/>
        <c:crosses val="autoZero"/>
        <c:auto val="1"/>
        <c:lblAlgn val="ctr"/>
        <c:lblOffset val="100"/>
        <c:noMultiLvlLbl val="0"/>
      </c:catAx>
      <c:valAx>
        <c:axId val="1927488351"/>
        <c:scaling>
          <c:orientation val="minMax"/>
        </c:scaling>
        <c:delete val="1"/>
        <c:axPos val="l"/>
        <c:numFmt formatCode="General" sourceLinked="1"/>
        <c:majorTickMark val="out"/>
        <c:minorTickMark val="none"/>
        <c:tickLblPos val="nextTo"/>
        <c:crossAx val="1927493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1314B"/>
    </a:solidFill>
    <a:ln w="63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dataset.xlsx]Analysis!table_2</c:name>
    <c:fmtId val="26"/>
  </c:pivotSource>
  <c:chart>
    <c:title>
      <c:tx>
        <c:rich>
          <a:bodyPr rot="0" spcFirstLastPara="1" vertOverflow="ellipsis" vert="horz" wrap="square" anchor="ctr" anchorCtr="1"/>
          <a:lstStyle/>
          <a:p>
            <a:pPr>
              <a:defRPr sz="1800" b="1" i="0" u="none" strike="noStrike" kern="1200" cap="none" baseline="0">
                <a:solidFill>
                  <a:schemeClr val="lt1">
                    <a:lumMod val="85000"/>
                  </a:schemeClr>
                </a:solidFill>
                <a:latin typeface="+mn-lt"/>
                <a:ea typeface="+mn-ea"/>
                <a:cs typeface="+mn-cs"/>
              </a:defRPr>
            </a:pPr>
            <a:r>
              <a:rPr lang="en-US" sz="1800"/>
              <a:t>ONLINE_SHOPING</a:t>
            </a:r>
          </a:p>
        </c:rich>
      </c:tx>
      <c:overlay val="0"/>
      <c:spPr>
        <a:noFill/>
        <a:ln>
          <a:noFill/>
        </a:ln>
        <a:effectLst/>
      </c:spPr>
      <c:txPr>
        <a:bodyPr rot="0" spcFirstLastPara="1" vertOverflow="ellipsis" vert="horz" wrap="square" anchor="ctr" anchorCtr="1"/>
        <a:lstStyle/>
        <a:p>
          <a:pPr>
            <a:defRPr sz="18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Analysis!$C$37</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multiLvlStrRef>
              <c:f>Analysis!$B$38:$B$61</c:f>
              <c:multiLvlStrCache>
                <c:ptCount val="20"/>
                <c:lvl>
                  <c:pt idx="0">
                    <c:v>Bangalore</c:v>
                  </c:pt>
                  <c:pt idx="1">
                    <c:v>Chennai</c:v>
                  </c:pt>
                  <c:pt idx="2">
                    <c:v>Delhi</c:v>
                  </c:pt>
                  <c:pt idx="3">
                    <c:v>Hyderabad</c:v>
                  </c:pt>
                  <c:pt idx="4">
                    <c:v>Mumbai</c:v>
                  </c:pt>
                  <c:pt idx="5">
                    <c:v>Bangalore</c:v>
                  </c:pt>
                  <c:pt idx="6">
                    <c:v>Chennai</c:v>
                  </c:pt>
                  <c:pt idx="7">
                    <c:v>Delhi</c:v>
                  </c:pt>
                  <c:pt idx="8">
                    <c:v>Hyderabad</c:v>
                  </c:pt>
                  <c:pt idx="9">
                    <c:v>Mumbai</c:v>
                  </c:pt>
                  <c:pt idx="10">
                    <c:v>Bangalore</c:v>
                  </c:pt>
                  <c:pt idx="11">
                    <c:v>Chennai</c:v>
                  </c:pt>
                  <c:pt idx="12">
                    <c:v>Delhi</c:v>
                  </c:pt>
                  <c:pt idx="13">
                    <c:v>Hyderabad</c:v>
                  </c:pt>
                  <c:pt idx="14">
                    <c:v>Mumbai</c:v>
                  </c:pt>
                  <c:pt idx="15">
                    <c:v>Bangalore</c:v>
                  </c:pt>
                  <c:pt idx="16">
                    <c:v>Chennai</c:v>
                  </c:pt>
                  <c:pt idx="17">
                    <c:v>Delhi</c:v>
                  </c:pt>
                  <c:pt idx="18">
                    <c:v>Hyderabad</c:v>
                  </c:pt>
                  <c:pt idx="19">
                    <c:v>Mumbai</c:v>
                  </c:pt>
                </c:lvl>
                <c:lvl>
                  <c:pt idx="0">
                    <c:v>AJIO</c:v>
                  </c:pt>
                  <c:pt idx="5">
                    <c:v>Amazon</c:v>
                  </c:pt>
                  <c:pt idx="10">
                    <c:v>Flipkart</c:v>
                  </c:pt>
                  <c:pt idx="15">
                    <c:v>Snapdeal</c:v>
                  </c:pt>
                </c:lvl>
              </c:multiLvlStrCache>
            </c:multiLvlStrRef>
          </c:cat>
          <c:val>
            <c:numRef>
              <c:f>Analysis!$C$38:$C$61</c:f>
              <c:numCache>
                <c:formatCode>General</c:formatCode>
                <c:ptCount val="20"/>
                <c:pt idx="0">
                  <c:v>127260</c:v>
                </c:pt>
                <c:pt idx="1">
                  <c:v>127476</c:v>
                </c:pt>
                <c:pt idx="2">
                  <c:v>63626</c:v>
                </c:pt>
                <c:pt idx="3">
                  <c:v>84857</c:v>
                </c:pt>
                <c:pt idx="4">
                  <c:v>116692</c:v>
                </c:pt>
                <c:pt idx="5">
                  <c:v>127197</c:v>
                </c:pt>
                <c:pt idx="6">
                  <c:v>116547</c:v>
                </c:pt>
                <c:pt idx="7">
                  <c:v>63669</c:v>
                </c:pt>
                <c:pt idx="8">
                  <c:v>74314</c:v>
                </c:pt>
                <c:pt idx="9">
                  <c:v>95656</c:v>
                </c:pt>
                <c:pt idx="10">
                  <c:v>84817</c:v>
                </c:pt>
                <c:pt idx="11">
                  <c:v>106069</c:v>
                </c:pt>
                <c:pt idx="12">
                  <c:v>84898</c:v>
                </c:pt>
                <c:pt idx="13">
                  <c:v>127343</c:v>
                </c:pt>
                <c:pt idx="14">
                  <c:v>95414</c:v>
                </c:pt>
                <c:pt idx="15">
                  <c:v>116677</c:v>
                </c:pt>
                <c:pt idx="16">
                  <c:v>116778</c:v>
                </c:pt>
                <c:pt idx="17">
                  <c:v>137994</c:v>
                </c:pt>
                <c:pt idx="18">
                  <c:v>127450</c:v>
                </c:pt>
                <c:pt idx="19">
                  <c:v>127420</c:v>
                </c:pt>
              </c:numCache>
            </c:numRef>
          </c:val>
          <c:smooth val="0"/>
          <c:extLst>
            <c:ext xmlns:c16="http://schemas.microsoft.com/office/drawing/2014/chart" uri="{C3380CC4-5D6E-409C-BE32-E72D297353CC}">
              <c16:uniqueId val="{00000000-85A6-49BB-824B-41F165C4628D}"/>
            </c:ext>
          </c:extLst>
        </c:ser>
        <c:dLbls>
          <c:showLegendKey val="0"/>
          <c:showVal val="0"/>
          <c:showCatName val="0"/>
          <c:showSerName val="0"/>
          <c:showPercent val="0"/>
          <c:showBubbleSize val="0"/>
        </c:dLbls>
        <c:marker val="1"/>
        <c:smooth val="0"/>
        <c:axId val="1918118047"/>
        <c:axId val="1918119487"/>
      </c:lineChart>
      <c:catAx>
        <c:axId val="191811804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1918119487"/>
        <c:crosses val="autoZero"/>
        <c:auto val="1"/>
        <c:lblAlgn val="ctr"/>
        <c:lblOffset val="100"/>
        <c:noMultiLvlLbl val="0"/>
      </c:catAx>
      <c:valAx>
        <c:axId val="191811948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1918118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1314B"/>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dataset.xlsx]Analysis!table_3</c:name>
    <c:fmtId val="22"/>
  </c:pivotSource>
  <c:chart>
    <c:title>
      <c:overlay val="0"/>
      <c:spPr>
        <a:noFill/>
        <a:ln>
          <a:noFill/>
        </a:ln>
        <a:effectLst/>
      </c:spPr>
      <c:txPr>
        <a:bodyPr rot="0" spcFirstLastPara="1" vertOverflow="ellipsis" vert="horz" wrap="square" anchor="ctr" anchorCtr="1"/>
        <a:lstStyle/>
        <a:p>
          <a:pPr>
            <a:defRPr sz="2400" b="1" i="0" u="none" strike="noStrike" kern="1200" baseline="0">
              <a:solidFill>
                <a:srgbClr val="FFFFFF"/>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254000" sx="102000" sy="102000" algn="ctr" rotWithShape="0">
              <a:prstClr val="black">
                <a:alpha val="20000"/>
              </a:prstClr>
            </a:outerShdw>
          </a:effectLst>
        </c:spPr>
      </c:pivotFmt>
      <c:pivotFmt>
        <c:idx val="30"/>
        <c:spPr>
          <a:solidFill>
            <a:schemeClr val="accent1"/>
          </a:solidFill>
          <a:ln>
            <a:noFill/>
          </a:ln>
          <a:effectLst>
            <a:outerShdw blurRad="254000" sx="102000" sy="102000" algn="ctr" rotWithShape="0">
              <a:prstClr val="black">
                <a:alpha val="20000"/>
              </a:prstClr>
            </a:outerShdw>
          </a:effectLst>
        </c:spPr>
      </c:pivotFmt>
      <c:pivotFmt>
        <c:idx val="31"/>
        <c:spPr>
          <a:solidFill>
            <a:schemeClr val="accent1"/>
          </a:solidFill>
          <a:ln>
            <a:noFill/>
          </a:ln>
          <a:effectLst>
            <a:outerShdw blurRad="254000" sx="102000" sy="102000" algn="ctr" rotWithShape="0">
              <a:prstClr val="black">
                <a:alpha val="20000"/>
              </a:prstClr>
            </a:outerShdw>
          </a:effectLst>
        </c:spPr>
      </c:pivotFmt>
      <c:pivotFmt>
        <c:idx val="32"/>
        <c:spPr>
          <a:solidFill>
            <a:schemeClr val="accent1"/>
          </a:solidFill>
          <a:ln>
            <a:noFill/>
          </a:ln>
          <a:effectLst>
            <a:outerShdw blurRad="254000" sx="102000" sy="102000" algn="ctr" rotWithShape="0">
              <a:prstClr val="black">
                <a:alpha val="20000"/>
              </a:prstClr>
            </a:outerShdw>
          </a:effectLst>
        </c:spPr>
      </c:pivotFmt>
      <c:pivotFmt>
        <c:idx val="33"/>
        <c:spPr>
          <a:solidFill>
            <a:schemeClr val="accent1"/>
          </a:solidFill>
          <a:ln>
            <a:noFill/>
          </a:ln>
          <a:effectLst>
            <a:outerShdw blurRad="254000" sx="102000" sy="102000" algn="ctr" rotWithShape="0">
              <a:prstClr val="black">
                <a:alpha val="20000"/>
              </a:prstClr>
            </a:outerShdw>
          </a:effectLst>
        </c:spPr>
      </c:pivotFmt>
      <c:pivotFmt>
        <c:idx val="34"/>
        <c:spPr>
          <a:solidFill>
            <a:schemeClr val="accent1"/>
          </a:solidFill>
          <a:ln>
            <a:noFill/>
          </a:ln>
          <a:effectLst>
            <a:outerShdw blurRad="254000" sx="102000" sy="102000" algn="ctr" rotWithShape="0">
              <a:prstClr val="black">
                <a:alpha val="20000"/>
              </a:prstClr>
            </a:outerShdw>
          </a:effectLst>
        </c:spPr>
      </c:pivotFmt>
      <c:pivotFmt>
        <c:idx val="35"/>
        <c:spPr>
          <a:solidFill>
            <a:schemeClr val="accent1"/>
          </a:solidFill>
          <a:ln>
            <a:noFill/>
          </a:ln>
          <a:effectLst>
            <a:outerShdw blurRad="254000" sx="102000" sy="102000" algn="ctr" rotWithShape="0">
              <a:prstClr val="black">
                <a:alpha val="20000"/>
              </a:prstClr>
            </a:outerShdw>
          </a:effectLst>
        </c:spPr>
      </c:pivotFmt>
      <c:pivotFmt>
        <c:idx val="36"/>
        <c:spPr>
          <a:solidFill>
            <a:schemeClr val="accent1"/>
          </a:solidFill>
          <a:ln>
            <a:noFill/>
          </a:ln>
          <a:effectLst>
            <a:outerShdw blurRad="254000" sx="102000" sy="102000" algn="ctr" rotWithShape="0">
              <a:prstClr val="black">
                <a:alpha val="20000"/>
              </a:prstClr>
            </a:outerShdw>
          </a:effectLst>
        </c:spPr>
      </c:pivotFmt>
      <c:pivotFmt>
        <c:idx val="37"/>
        <c:spPr>
          <a:solidFill>
            <a:schemeClr val="accent1"/>
          </a:solidFill>
          <a:ln>
            <a:noFill/>
          </a:ln>
          <a:effectLst>
            <a:outerShdw blurRad="254000" sx="102000" sy="102000" algn="ctr" rotWithShape="0">
              <a:prstClr val="black">
                <a:alpha val="20000"/>
              </a:prstClr>
            </a:outerShdw>
          </a:effectLst>
        </c:spPr>
      </c:pivotFmt>
      <c:pivotFmt>
        <c:idx val="38"/>
        <c:spPr>
          <a:solidFill>
            <a:schemeClr val="accent1"/>
          </a:solidFill>
          <a:ln>
            <a:noFill/>
          </a:ln>
          <a:effectLst>
            <a:outerShdw blurRad="254000" sx="102000" sy="102000" algn="ctr" rotWithShape="0">
              <a:prstClr val="black">
                <a:alpha val="20000"/>
              </a:prstClr>
            </a:outerShdw>
          </a:effectLst>
        </c:spPr>
      </c:pivotFmt>
      <c:pivotFmt>
        <c:idx val="39"/>
        <c:spPr>
          <a:solidFill>
            <a:schemeClr val="accent1"/>
          </a:solidFill>
          <a:ln>
            <a:noFill/>
          </a:ln>
          <a:effectLst>
            <a:outerShdw blurRad="254000" sx="102000" sy="102000" algn="ctr" rotWithShape="0">
              <a:prstClr val="black">
                <a:alpha val="20000"/>
              </a:prstClr>
            </a:outerShdw>
          </a:effectLst>
        </c:spPr>
      </c:pivotFmt>
      <c:pivotFmt>
        <c:idx val="40"/>
        <c:spPr>
          <a:solidFill>
            <a:schemeClr val="accent1"/>
          </a:solidFill>
          <a:ln>
            <a:noFill/>
          </a:ln>
          <a:effectLst>
            <a:outerShdw blurRad="254000" sx="102000" sy="102000" algn="ctr" rotWithShape="0">
              <a:prstClr val="black">
                <a:alpha val="20000"/>
              </a:prstClr>
            </a:outerShdw>
          </a:effectLst>
        </c:spPr>
      </c:pivotFmt>
      <c:pivotFmt>
        <c:idx val="41"/>
        <c:spPr>
          <a:solidFill>
            <a:schemeClr val="accent1"/>
          </a:solidFill>
          <a:ln>
            <a:noFill/>
          </a:ln>
          <a:effectLst>
            <a:outerShdw blurRad="254000" sx="102000" sy="102000" algn="ctr" rotWithShape="0">
              <a:prstClr val="black">
                <a:alpha val="20000"/>
              </a:prstClr>
            </a:outerShdw>
          </a:effectLst>
        </c:spPr>
      </c:pivotFmt>
      <c:pivotFmt>
        <c:idx val="42"/>
        <c:spPr>
          <a:solidFill>
            <a:schemeClr val="accent1"/>
          </a:solidFill>
          <a:ln>
            <a:noFill/>
          </a:ln>
          <a:effectLst>
            <a:outerShdw blurRad="254000" sx="102000" sy="102000" algn="ctr" rotWithShape="0">
              <a:prstClr val="black">
                <a:alpha val="20000"/>
              </a:prstClr>
            </a:outerShdw>
          </a:effectLst>
        </c:spPr>
      </c:pivotFmt>
      <c:pivotFmt>
        <c:idx val="43"/>
        <c:spPr>
          <a:solidFill>
            <a:schemeClr val="accent1"/>
          </a:solidFill>
          <a:ln>
            <a:noFill/>
          </a:ln>
          <a:effectLst>
            <a:outerShdw blurRad="254000" sx="102000" sy="102000" algn="ctr" rotWithShape="0">
              <a:prstClr val="black">
                <a:alpha val="20000"/>
              </a:prstClr>
            </a:outerShdw>
          </a:effectLst>
        </c:spPr>
      </c:pivotFmt>
      <c:pivotFmt>
        <c:idx val="44"/>
        <c:spPr>
          <a:solidFill>
            <a:schemeClr val="accent1"/>
          </a:solidFill>
          <a:ln>
            <a:noFill/>
          </a:ln>
          <a:effectLst>
            <a:outerShdw blurRad="254000" sx="102000" sy="102000" algn="ctr" rotWithShape="0">
              <a:prstClr val="black">
                <a:alpha val="20000"/>
              </a:prstClr>
            </a:outerShdw>
          </a:effectLst>
        </c:spPr>
      </c:pivotFmt>
      <c:pivotFmt>
        <c:idx val="45"/>
        <c:spPr>
          <a:solidFill>
            <a:schemeClr val="accent1"/>
          </a:solidFill>
          <a:ln>
            <a:noFill/>
          </a:ln>
          <a:effectLst>
            <a:outerShdw blurRad="254000" sx="102000" sy="102000" algn="ctr" rotWithShape="0">
              <a:prstClr val="black">
                <a:alpha val="20000"/>
              </a:prstClr>
            </a:outerShdw>
          </a:effectLst>
        </c:spPr>
      </c:pivotFmt>
      <c:pivotFmt>
        <c:idx val="46"/>
        <c:spPr>
          <a:solidFill>
            <a:schemeClr val="accent1"/>
          </a:solidFill>
          <a:ln>
            <a:noFill/>
          </a:ln>
          <a:effectLst>
            <a:outerShdw blurRad="254000" sx="102000" sy="102000" algn="ctr" rotWithShape="0">
              <a:prstClr val="black">
                <a:alpha val="20000"/>
              </a:prstClr>
            </a:outerShdw>
          </a:effectLst>
        </c:spPr>
      </c:pivotFmt>
      <c:pivotFmt>
        <c:idx val="47"/>
        <c:spPr>
          <a:solidFill>
            <a:schemeClr val="accent1"/>
          </a:solidFill>
          <a:ln>
            <a:noFill/>
          </a:ln>
          <a:effectLst>
            <a:outerShdw blurRad="254000" sx="102000" sy="102000" algn="ctr" rotWithShape="0">
              <a:prstClr val="black">
                <a:alpha val="20000"/>
              </a:prstClr>
            </a:outerShdw>
          </a:effectLst>
        </c:spPr>
      </c:pivotFmt>
      <c:pivotFmt>
        <c:idx val="48"/>
        <c:spPr>
          <a:solidFill>
            <a:schemeClr val="accent1"/>
          </a:solidFill>
          <a:ln>
            <a:noFill/>
          </a:ln>
          <a:effectLst>
            <a:outerShdw blurRad="254000" sx="102000" sy="102000" algn="ctr" rotWithShape="0">
              <a:prstClr val="black">
                <a:alpha val="20000"/>
              </a:prstClr>
            </a:outerShdw>
          </a:effectLst>
        </c:spPr>
      </c:pivotFmt>
      <c:pivotFmt>
        <c:idx val="49"/>
        <c:spPr>
          <a:solidFill>
            <a:schemeClr val="accent1"/>
          </a:solidFill>
          <a:ln>
            <a:noFill/>
          </a:ln>
          <a:effectLst>
            <a:outerShdw blurRad="254000" sx="102000" sy="102000" algn="ctr" rotWithShape="0">
              <a:prstClr val="black">
                <a:alpha val="20000"/>
              </a:prstClr>
            </a:outerShdw>
          </a:effectLst>
        </c:spPr>
      </c:pivotFmt>
      <c:pivotFmt>
        <c:idx val="50"/>
        <c:spPr>
          <a:solidFill>
            <a:schemeClr val="accent1"/>
          </a:solidFill>
          <a:ln>
            <a:noFill/>
          </a:ln>
          <a:effectLst>
            <a:outerShdw blurRad="254000" sx="102000" sy="102000" algn="ctr" rotWithShape="0">
              <a:prstClr val="black">
                <a:alpha val="20000"/>
              </a:prstClr>
            </a:outerShdw>
          </a:effectLst>
        </c:spPr>
      </c:pivotFmt>
      <c:pivotFmt>
        <c:idx val="51"/>
        <c:spPr>
          <a:solidFill>
            <a:schemeClr val="accent1"/>
          </a:solidFill>
          <a:ln>
            <a:noFill/>
          </a:ln>
          <a:effectLst>
            <a:outerShdw blurRad="254000" sx="102000" sy="102000" algn="ctr" rotWithShape="0">
              <a:prstClr val="black">
                <a:alpha val="20000"/>
              </a:prstClr>
            </a:outerShdw>
          </a:effectLst>
        </c:spPr>
      </c:pivotFmt>
      <c:pivotFmt>
        <c:idx val="52"/>
        <c:spPr>
          <a:solidFill>
            <a:schemeClr val="accent1"/>
          </a:solidFill>
          <a:ln>
            <a:noFill/>
          </a:ln>
          <a:effectLst>
            <a:outerShdw blurRad="254000" sx="102000" sy="102000" algn="ctr" rotWithShape="0">
              <a:prstClr val="black">
                <a:alpha val="20000"/>
              </a:prstClr>
            </a:outerShdw>
          </a:effectLst>
        </c:spPr>
      </c:pivotFmt>
      <c:pivotFmt>
        <c:idx val="53"/>
        <c:spPr>
          <a:solidFill>
            <a:schemeClr val="accent1"/>
          </a:solidFill>
          <a:ln>
            <a:noFill/>
          </a:ln>
          <a:effectLst>
            <a:outerShdw blurRad="254000" sx="102000" sy="102000" algn="ctr" rotWithShape="0">
              <a:prstClr val="black">
                <a:alpha val="20000"/>
              </a:prstClr>
            </a:outerShdw>
          </a:effectLst>
        </c:spPr>
      </c:pivotFmt>
      <c:pivotFmt>
        <c:idx val="54"/>
        <c:spPr>
          <a:solidFill>
            <a:schemeClr val="accent1"/>
          </a:solidFill>
          <a:ln>
            <a:noFill/>
          </a:ln>
          <a:effectLst>
            <a:outerShdw blurRad="254000" sx="102000" sy="102000" algn="ctr" rotWithShape="0">
              <a:prstClr val="black">
                <a:alpha val="20000"/>
              </a:prstClr>
            </a:outerShdw>
          </a:effectLst>
        </c:spPr>
      </c:pivotFmt>
      <c:pivotFmt>
        <c:idx val="55"/>
        <c:spPr>
          <a:solidFill>
            <a:schemeClr val="accent1"/>
          </a:solidFill>
          <a:ln>
            <a:noFill/>
          </a:ln>
          <a:effectLst>
            <a:outerShdw blurRad="254000" sx="102000" sy="102000" algn="ctr" rotWithShape="0">
              <a:prstClr val="black">
                <a:alpha val="20000"/>
              </a:prstClr>
            </a:outerShdw>
          </a:effectLst>
        </c:spPr>
      </c:pivotFmt>
      <c:pivotFmt>
        <c:idx val="56"/>
        <c:spPr>
          <a:solidFill>
            <a:schemeClr val="accent1"/>
          </a:solidFill>
          <a:ln>
            <a:noFill/>
          </a:ln>
          <a:effectLst>
            <a:outerShdw blurRad="254000" sx="102000" sy="102000" algn="ctr" rotWithShape="0">
              <a:prstClr val="black">
                <a:alpha val="20000"/>
              </a:prstClr>
            </a:outerShdw>
          </a:effectLst>
        </c:spPr>
      </c:pivotFmt>
      <c:pivotFmt>
        <c:idx val="57"/>
        <c:spPr>
          <a:solidFill>
            <a:schemeClr val="accent1"/>
          </a:solidFill>
          <a:ln>
            <a:noFill/>
          </a:ln>
          <a:effectLst>
            <a:outerShdw blurRad="254000" sx="102000" sy="102000" algn="ctr" rotWithShape="0">
              <a:prstClr val="black">
                <a:alpha val="20000"/>
              </a:prstClr>
            </a:outerShdw>
          </a:effectLst>
        </c:spPr>
      </c:pivotFmt>
      <c:pivotFmt>
        <c:idx val="58"/>
        <c:spPr>
          <a:solidFill>
            <a:schemeClr val="accent1"/>
          </a:solidFill>
          <a:ln>
            <a:noFill/>
          </a:ln>
          <a:effectLst>
            <a:outerShdw blurRad="254000" sx="102000" sy="102000" algn="ctr" rotWithShape="0">
              <a:prstClr val="black">
                <a:alpha val="20000"/>
              </a:prstClr>
            </a:outerShdw>
          </a:effectLst>
        </c:spPr>
      </c:pivotFmt>
      <c:pivotFmt>
        <c:idx val="59"/>
        <c:spPr>
          <a:solidFill>
            <a:schemeClr val="accent1"/>
          </a:solidFill>
          <a:ln>
            <a:noFill/>
          </a:ln>
          <a:effectLst>
            <a:outerShdw blurRad="254000" sx="102000" sy="102000" algn="ctr" rotWithShape="0">
              <a:prstClr val="black">
                <a:alpha val="20000"/>
              </a:prstClr>
            </a:outerShdw>
          </a:effectLst>
        </c:spPr>
      </c:pivotFmt>
      <c:pivotFmt>
        <c:idx val="60"/>
        <c:spPr>
          <a:solidFill>
            <a:schemeClr val="accent1"/>
          </a:solidFill>
          <a:ln>
            <a:noFill/>
          </a:ln>
          <a:effectLst>
            <a:outerShdw blurRad="254000" sx="102000" sy="102000" algn="ctr" rotWithShape="0">
              <a:prstClr val="black">
                <a:alpha val="20000"/>
              </a:prstClr>
            </a:outerShdw>
          </a:effectLst>
        </c:spPr>
      </c:pivotFmt>
      <c:pivotFmt>
        <c:idx val="61"/>
        <c:spPr>
          <a:solidFill>
            <a:schemeClr val="accent1"/>
          </a:solidFill>
          <a:ln>
            <a:noFill/>
          </a:ln>
          <a:effectLst>
            <a:outerShdw blurRad="254000" sx="102000" sy="102000" algn="ctr" rotWithShape="0">
              <a:prstClr val="black">
                <a:alpha val="20000"/>
              </a:prstClr>
            </a:outerShdw>
          </a:effectLst>
        </c:spPr>
      </c:pivotFmt>
      <c:pivotFmt>
        <c:idx val="62"/>
        <c:spPr>
          <a:solidFill>
            <a:schemeClr val="accent1"/>
          </a:solidFill>
          <a:ln>
            <a:noFill/>
          </a:ln>
          <a:effectLst>
            <a:outerShdw blurRad="254000" sx="102000" sy="102000" algn="ctr" rotWithShape="0">
              <a:prstClr val="black">
                <a:alpha val="20000"/>
              </a:prstClr>
            </a:outerShdw>
          </a:effectLst>
        </c:spPr>
      </c:pivotFmt>
      <c:pivotFmt>
        <c:idx val="63"/>
        <c:spPr>
          <a:solidFill>
            <a:schemeClr val="accent1"/>
          </a:solidFill>
          <a:ln>
            <a:noFill/>
          </a:ln>
          <a:effectLst>
            <a:outerShdw blurRad="254000" sx="102000" sy="102000" algn="ctr" rotWithShape="0">
              <a:prstClr val="black">
                <a:alpha val="20000"/>
              </a:prstClr>
            </a:outerShdw>
          </a:effectLst>
        </c:spPr>
      </c:pivotFmt>
      <c:pivotFmt>
        <c:idx val="64"/>
        <c:spPr>
          <a:solidFill>
            <a:schemeClr val="accent1"/>
          </a:solidFill>
          <a:ln>
            <a:noFill/>
          </a:ln>
          <a:effectLst>
            <a:outerShdw blurRad="254000" sx="102000" sy="102000" algn="ctr" rotWithShape="0">
              <a:prstClr val="black">
                <a:alpha val="20000"/>
              </a:prstClr>
            </a:outerShdw>
          </a:effectLst>
        </c:spPr>
      </c:pivotFmt>
      <c:pivotFmt>
        <c:idx val="65"/>
        <c:spPr>
          <a:solidFill>
            <a:schemeClr val="accent1"/>
          </a:solidFill>
          <a:ln>
            <a:noFill/>
          </a:ln>
          <a:effectLst>
            <a:outerShdw blurRad="254000" sx="102000" sy="102000" algn="ctr" rotWithShape="0">
              <a:prstClr val="black">
                <a:alpha val="20000"/>
              </a:prstClr>
            </a:outerShdw>
          </a:effectLst>
        </c:spPr>
      </c:pivotFmt>
      <c:pivotFmt>
        <c:idx val="66"/>
        <c:spPr>
          <a:solidFill>
            <a:schemeClr val="accent1"/>
          </a:solidFill>
          <a:ln>
            <a:noFill/>
          </a:ln>
          <a:effectLst>
            <a:outerShdw blurRad="254000" sx="102000" sy="102000" algn="ctr" rotWithShape="0">
              <a:prstClr val="black">
                <a:alpha val="20000"/>
              </a:prstClr>
            </a:outerShdw>
          </a:effectLst>
        </c:spPr>
      </c:pivotFmt>
      <c:pivotFmt>
        <c:idx val="67"/>
        <c:spPr>
          <a:solidFill>
            <a:schemeClr val="accent1"/>
          </a:solidFill>
          <a:ln>
            <a:noFill/>
          </a:ln>
          <a:effectLst>
            <a:outerShdw blurRad="254000" sx="102000" sy="102000" algn="ctr" rotWithShape="0">
              <a:prstClr val="black">
                <a:alpha val="20000"/>
              </a:prstClr>
            </a:outerShdw>
          </a:effectLst>
        </c:spPr>
      </c:pivotFmt>
      <c:pivotFmt>
        <c:idx val="68"/>
        <c:spPr>
          <a:solidFill>
            <a:schemeClr val="accent1"/>
          </a:solidFill>
          <a:ln>
            <a:noFill/>
          </a:ln>
          <a:effectLst>
            <a:outerShdw blurRad="254000" sx="102000" sy="102000" algn="ctr" rotWithShape="0">
              <a:prstClr val="black">
                <a:alpha val="20000"/>
              </a:prstClr>
            </a:outerShdw>
          </a:effectLst>
        </c:spPr>
      </c:pivotFmt>
      <c:pivotFmt>
        <c:idx val="69"/>
        <c:spPr>
          <a:solidFill>
            <a:schemeClr val="accent1"/>
          </a:solidFill>
          <a:ln>
            <a:noFill/>
          </a:ln>
          <a:effectLst>
            <a:outerShdw blurRad="254000" sx="102000" sy="102000" algn="ctr" rotWithShape="0">
              <a:prstClr val="black">
                <a:alpha val="20000"/>
              </a:prstClr>
            </a:outerShdw>
          </a:effectLst>
        </c:spPr>
      </c:pivotFmt>
      <c:pivotFmt>
        <c:idx val="70"/>
        <c:spPr>
          <a:solidFill>
            <a:schemeClr val="accent1"/>
          </a:solidFill>
          <a:ln>
            <a:noFill/>
          </a:ln>
          <a:effectLst>
            <a:outerShdw blurRad="254000" sx="102000" sy="102000" algn="ctr" rotWithShape="0">
              <a:prstClr val="black">
                <a:alpha val="20000"/>
              </a:prstClr>
            </a:outerShdw>
          </a:effectLst>
        </c:spPr>
      </c:pivotFmt>
      <c:pivotFmt>
        <c:idx val="71"/>
        <c:spPr>
          <a:solidFill>
            <a:schemeClr val="accent1"/>
          </a:solidFill>
          <a:ln>
            <a:noFill/>
          </a:ln>
          <a:effectLst>
            <a:outerShdw blurRad="254000" sx="102000" sy="102000" algn="ctr" rotWithShape="0">
              <a:prstClr val="black">
                <a:alpha val="20000"/>
              </a:prstClr>
            </a:outerShdw>
          </a:effectLst>
        </c:spPr>
      </c:pivotFmt>
      <c:pivotFmt>
        <c:idx val="72"/>
        <c:spPr>
          <a:solidFill>
            <a:schemeClr val="accent1"/>
          </a:solidFill>
          <a:ln>
            <a:noFill/>
          </a:ln>
          <a:effectLst>
            <a:outerShdw blurRad="254000" sx="102000" sy="102000" algn="ctr" rotWithShape="0">
              <a:prstClr val="black">
                <a:alpha val="20000"/>
              </a:prstClr>
            </a:outerShdw>
          </a:effectLst>
        </c:spPr>
      </c:pivotFmt>
      <c:pivotFmt>
        <c:idx val="73"/>
        <c:spPr>
          <a:solidFill>
            <a:schemeClr val="accent1"/>
          </a:solidFill>
          <a:ln>
            <a:noFill/>
          </a:ln>
          <a:effectLst>
            <a:outerShdw blurRad="254000" sx="102000" sy="102000" algn="ctr" rotWithShape="0">
              <a:prstClr val="black">
                <a:alpha val="20000"/>
              </a:prstClr>
            </a:outerShdw>
          </a:effectLst>
        </c:spPr>
      </c:pivotFmt>
      <c:pivotFmt>
        <c:idx val="74"/>
        <c:spPr>
          <a:solidFill>
            <a:schemeClr val="accent1"/>
          </a:solidFill>
          <a:ln>
            <a:noFill/>
          </a:ln>
          <a:effectLst>
            <a:outerShdw blurRad="254000" sx="102000" sy="102000" algn="ctr" rotWithShape="0">
              <a:prstClr val="black">
                <a:alpha val="20000"/>
              </a:prstClr>
            </a:outerShdw>
          </a:effectLst>
        </c:spPr>
      </c:pivotFmt>
      <c:pivotFmt>
        <c:idx val="75"/>
        <c:spPr>
          <a:solidFill>
            <a:schemeClr val="accent1"/>
          </a:solidFill>
          <a:ln>
            <a:noFill/>
          </a:ln>
          <a:effectLst>
            <a:outerShdw blurRad="254000" sx="102000" sy="102000" algn="ctr" rotWithShape="0">
              <a:prstClr val="black">
                <a:alpha val="20000"/>
              </a:prstClr>
            </a:outerShdw>
          </a:effectLst>
        </c:spPr>
      </c:pivotFmt>
      <c:pivotFmt>
        <c:idx val="76"/>
        <c:spPr>
          <a:solidFill>
            <a:schemeClr val="accent1"/>
          </a:solidFill>
          <a:ln>
            <a:noFill/>
          </a:ln>
          <a:effectLst>
            <a:outerShdw blurRad="254000" sx="102000" sy="102000" algn="ctr" rotWithShape="0">
              <a:prstClr val="black">
                <a:alpha val="20000"/>
              </a:prstClr>
            </a:outerShdw>
          </a:effectLst>
        </c:spPr>
      </c:pivotFmt>
      <c:pivotFmt>
        <c:idx val="7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8"/>
        <c:spPr>
          <a:solidFill>
            <a:schemeClr val="accent1"/>
          </a:solidFill>
          <a:ln>
            <a:noFill/>
          </a:ln>
          <a:effectLst>
            <a:outerShdw blurRad="254000" sx="102000" sy="102000" algn="ctr" rotWithShape="0">
              <a:prstClr val="black">
                <a:alpha val="20000"/>
              </a:prstClr>
            </a:outerShdw>
          </a:effectLst>
        </c:spPr>
      </c:pivotFmt>
      <c:pivotFmt>
        <c:idx val="79"/>
        <c:spPr>
          <a:solidFill>
            <a:schemeClr val="accent1"/>
          </a:solidFill>
          <a:ln>
            <a:noFill/>
          </a:ln>
          <a:effectLst>
            <a:outerShdw blurRad="254000" sx="102000" sy="102000" algn="ctr" rotWithShape="0">
              <a:prstClr val="black">
                <a:alpha val="20000"/>
              </a:prstClr>
            </a:outerShdw>
          </a:effectLst>
        </c:spPr>
      </c:pivotFmt>
      <c:pivotFmt>
        <c:idx val="80"/>
        <c:spPr>
          <a:solidFill>
            <a:schemeClr val="accent1"/>
          </a:solidFill>
          <a:ln>
            <a:noFill/>
          </a:ln>
          <a:effectLst>
            <a:outerShdw blurRad="254000" sx="102000" sy="102000" algn="ctr" rotWithShape="0">
              <a:prstClr val="black">
                <a:alpha val="20000"/>
              </a:prstClr>
            </a:outerShdw>
          </a:effectLst>
        </c:spPr>
      </c:pivotFmt>
      <c:pivotFmt>
        <c:idx val="81"/>
        <c:spPr>
          <a:solidFill>
            <a:schemeClr val="accent1"/>
          </a:solidFill>
          <a:ln>
            <a:noFill/>
          </a:ln>
          <a:effectLst>
            <a:outerShdw blurRad="254000" sx="102000" sy="102000" algn="ctr" rotWithShape="0">
              <a:prstClr val="black">
                <a:alpha val="20000"/>
              </a:prstClr>
            </a:outerShdw>
          </a:effectLst>
        </c:spPr>
      </c:pivotFmt>
      <c:pivotFmt>
        <c:idx val="82"/>
        <c:spPr>
          <a:solidFill>
            <a:schemeClr val="accent1"/>
          </a:solidFill>
          <a:ln>
            <a:noFill/>
          </a:ln>
          <a:effectLst>
            <a:outerShdw blurRad="254000" sx="102000" sy="102000" algn="ctr" rotWithShape="0">
              <a:prstClr val="black">
                <a:alpha val="20000"/>
              </a:prstClr>
            </a:outerShdw>
          </a:effectLst>
        </c:spPr>
      </c:pivotFmt>
      <c:pivotFmt>
        <c:idx val="83"/>
        <c:spPr>
          <a:solidFill>
            <a:schemeClr val="accent1"/>
          </a:solidFill>
          <a:ln>
            <a:noFill/>
          </a:ln>
          <a:effectLst>
            <a:outerShdw blurRad="254000" sx="102000" sy="102000" algn="ctr" rotWithShape="0">
              <a:prstClr val="black">
                <a:alpha val="20000"/>
              </a:prstClr>
            </a:outerShdw>
          </a:effectLst>
        </c:spPr>
      </c:pivotFmt>
      <c:pivotFmt>
        <c:idx val="84"/>
        <c:spPr>
          <a:solidFill>
            <a:schemeClr val="accent1"/>
          </a:solidFill>
          <a:ln>
            <a:noFill/>
          </a:ln>
          <a:effectLst>
            <a:outerShdw blurRad="254000" sx="102000" sy="102000" algn="ctr" rotWithShape="0">
              <a:prstClr val="black">
                <a:alpha val="20000"/>
              </a:prstClr>
            </a:outerShdw>
          </a:effectLst>
        </c:spPr>
      </c:pivotFmt>
      <c:pivotFmt>
        <c:idx val="85"/>
        <c:spPr>
          <a:solidFill>
            <a:schemeClr val="accent1"/>
          </a:solidFill>
          <a:ln>
            <a:noFill/>
          </a:ln>
          <a:effectLst>
            <a:outerShdw blurRad="254000" sx="102000" sy="102000" algn="ctr" rotWithShape="0">
              <a:prstClr val="black">
                <a:alpha val="20000"/>
              </a:prstClr>
            </a:outerShdw>
          </a:effectLst>
        </c:spPr>
      </c:pivotFmt>
      <c:pivotFmt>
        <c:idx val="86"/>
        <c:spPr>
          <a:solidFill>
            <a:schemeClr val="accent1"/>
          </a:solidFill>
          <a:ln>
            <a:noFill/>
          </a:ln>
          <a:effectLst>
            <a:outerShdw blurRad="254000" sx="102000" sy="102000" algn="ctr" rotWithShape="0">
              <a:prstClr val="black">
                <a:alpha val="20000"/>
              </a:prstClr>
            </a:outerShdw>
          </a:effectLst>
        </c:spPr>
      </c:pivotFmt>
      <c:pivotFmt>
        <c:idx val="87"/>
        <c:spPr>
          <a:solidFill>
            <a:schemeClr val="accent1"/>
          </a:solidFill>
          <a:ln>
            <a:noFill/>
          </a:ln>
          <a:effectLst>
            <a:outerShdw blurRad="254000" sx="102000" sy="102000" algn="ctr" rotWithShape="0">
              <a:prstClr val="black">
                <a:alpha val="20000"/>
              </a:prstClr>
            </a:outerShdw>
          </a:effectLst>
        </c:spPr>
      </c:pivotFmt>
      <c:pivotFmt>
        <c:idx val="88"/>
        <c:spPr>
          <a:solidFill>
            <a:schemeClr val="accent1"/>
          </a:solidFill>
          <a:ln>
            <a:noFill/>
          </a:ln>
          <a:effectLst>
            <a:outerShdw blurRad="254000" sx="102000" sy="102000" algn="ctr" rotWithShape="0">
              <a:prstClr val="black">
                <a:alpha val="20000"/>
              </a:prstClr>
            </a:outerShdw>
          </a:effectLst>
        </c:spPr>
      </c:pivotFmt>
      <c:pivotFmt>
        <c:idx val="89"/>
        <c:spPr>
          <a:solidFill>
            <a:schemeClr val="accent1"/>
          </a:solidFill>
          <a:ln>
            <a:noFill/>
          </a:ln>
          <a:effectLst>
            <a:outerShdw blurRad="254000" sx="102000" sy="102000" algn="ctr" rotWithShape="0">
              <a:prstClr val="black">
                <a:alpha val="20000"/>
              </a:prstClr>
            </a:outerShdw>
          </a:effectLst>
        </c:spPr>
      </c:pivotFmt>
      <c:pivotFmt>
        <c:idx val="9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1"/>
        <c:spPr>
          <a:solidFill>
            <a:schemeClr val="accent1"/>
          </a:solidFill>
          <a:ln>
            <a:noFill/>
          </a:ln>
          <a:effectLst>
            <a:outerShdw blurRad="254000" sx="102000" sy="102000" algn="ctr" rotWithShape="0">
              <a:prstClr val="black">
                <a:alpha val="20000"/>
              </a:prstClr>
            </a:outerShdw>
          </a:effectLst>
        </c:spPr>
      </c:pivotFmt>
      <c:pivotFmt>
        <c:idx val="92"/>
        <c:spPr>
          <a:solidFill>
            <a:schemeClr val="accent1"/>
          </a:solidFill>
          <a:ln>
            <a:noFill/>
          </a:ln>
          <a:effectLst>
            <a:outerShdw blurRad="254000" sx="102000" sy="102000" algn="ctr" rotWithShape="0">
              <a:prstClr val="black">
                <a:alpha val="20000"/>
              </a:prstClr>
            </a:outerShdw>
          </a:effectLst>
        </c:spPr>
      </c:pivotFmt>
      <c:pivotFmt>
        <c:idx val="93"/>
        <c:spPr>
          <a:solidFill>
            <a:schemeClr val="accent1"/>
          </a:solidFill>
          <a:ln>
            <a:noFill/>
          </a:ln>
          <a:effectLst>
            <a:outerShdw blurRad="254000" sx="102000" sy="102000" algn="ctr" rotWithShape="0">
              <a:prstClr val="black">
                <a:alpha val="20000"/>
              </a:prstClr>
            </a:outerShdw>
          </a:effectLst>
        </c:spPr>
      </c:pivotFmt>
      <c:pivotFmt>
        <c:idx val="94"/>
        <c:spPr>
          <a:solidFill>
            <a:schemeClr val="accent1"/>
          </a:solidFill>
          <a:ln>
            <a:noFill/>
          </a:ln>
          <a:effectLst>
            <a:outerShdw blurRad="254000" sx="102000" sy="102000" algn="ctr" rotWithShape="0">
              <a:prstClr val="black">
                <a:alpha val="20000"/>
              </a:prstClr>
            </a:outerShdw>
          </a:effectLst>
        </c:spPr>
      </c:pivotFmt>
      <c:pivotFmt>
        <c:idx val="95"/>
        <c:spPr>
          <a:solidFill>
            <a:schemeClr val="accent1"/>
          </a:solidFill>
          <a:ln>
            <a:noFill/>
          </a:ln>
          <a:effectLst>
            <a:outerShdw blurRad="254000" sx="102000" sy="102000" algn="ctr" rotWithShape="0">
              <a:prstClr val="black">
                <a:alpha val="20000"/>
              </a:prstClr>
            </a:outerShdw>
          </a:effectLst>
        </c:spPr>
      </c:pivotFmt>
      <c:pivotFmt>
        <c:idx val="96"/>
        <c:spPr>
          <a:solidFill>
            <a:schemeClr val="accent1"/>
          </a:solidFill>
          <a:ln>
            <a:noFill/>
          </a:ln>
          <a:effectLst>
            <a:outerShdw blurRad="254000" sx="102000" sy="102000" algn="ctr" rotWithShape="0">
              <a:prstClr val="black">
                <a:alpha val="20000"/>
              </a:prstClr>
            </a:outerShdw>
          </a:effectLst>
        </c:spPr>
      </c:pivotFmt>
      <c:pivotFmt>
        <c:idx val="97"/>
        <c:spPr>
          <a:solidFill>
            <a:schemeClr val="accent1"/>
          </a:solidFill>
          <a:ln>
            <a:noFill/>
          </a:ln>
          <a:effectLst>
            <a:outerShdw blurRad="254000" sx="102000" sy="102000" algn="ctr" rotWithShape="0">
              <a:prstClr val="black">
                <a:alpha val="20000"/>
              </a:prstClr>
            </a:outerShdw>
          </a:effectLst>
        </c:spPr>
      </c:pivotFmt>
      <c:pivotFmt>
        <c:idx val="98"/>
        <c:spPr>
          <a:solidFill>
            <a:schemeClr val="accent1"/>
          </a:solidFill>
          <a:ln>
            <a:noFill/>
          </a:ln>
          <a:effectLst>
            <a:outerShdw blurRad="254000" sx="102000" sy="102000" algn="ctr" rotWithShape="0">
              <a:prstClr val="black">
                <a:alpha val="20000"/>
              </a:prstClr>
            </a:outerShdw>
          </a:effectLst>
        </c:spPr>
      </c:pivotFmt>
      <c:pivotFmt>
        <c:idx val="99"/>
        <c:spPr>
          <a:solidFill>
            <a:schemeClr val="accent1"/>
          </a:solidFill>
          <a:ln>
            <a:noFill/>
          </a:ln>
          <a:effectLst>
            <a:outerShdw blurRad="254000" sx="102000" sy="102000" algn="ctr" rotWithShape="0">
              <a:prstClr val="black">
                <a:alpha val="20000"/>
              </a:prstClr>
            </a:outerShdw>
          </a:effectLst>
        </c:spPr>
      </c:pivotFmt>
      <c:pivotFmt>
        <c:idx val="100"/>
        <c:spPr>
          <a:solidFill>
            <a:schemeClr val="accent1"/>
          </a:solidFill>
          <a:ln>
            <a:noFill/>
          </a:ln>
          <a:effectLst>
            <a:outerShdw blurRad="254000" sx="102000" sy="102000" algn="ctr" rotWithShape="0">
              <a:prstClr val="black">
                <a:alpha val="20000"/>
              </a:prstClr>
            </a:outerShdw>
          </a:effectLst>
        </c:spPr>
      </c:pivotFmt>
      <c:pivotFmt>
        <c:idx val="101"/>
        <c:spPr>
          <a:solidFill>
            <a:schemeClr val="accent1"/>
          </a:solidFill>
          <a:ln>
            <a:noFill/>
          </a:ln>
          <a:effectLst>
            <a:outerShdw blurRad="254000" sx="102000" sy="102000" algn="ctr" rotWithShape="0">
              <a:prstClr val="black">
                <a:alpha val="20000"/>
              </a:prstClr>
            </a:outerShdw>
          </a:effectLst>
        </c:spPr>
      </c:pivotFmt>
      <c:pivotFmt>
        <c:idx val="102"/>
        <c:spPr>
          <a:solidFill>
            <a:schemeClr val="accent1"/>
          </a:solidFill>
          <a:ln>
            <a:noFill/>
          </a:ln>
          <a:effectLst>
            <a:outerShdw blurRad="254000" sx="102000" sy="102000" algn="ctr" rotWithShape="0">
              <a:prstClr val="black">
                <a:alpha val="20000"/>
              </a:prstClr>
            </a:outerShdw>
          </a:effectLst>
        </c:spPr>
      </c:pivotFmt>
      <c:pivotFmt>
        <c:idx val="10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4"/>
        <c:spPr>
          <a:solidFill>
            <a:schemeClr val="accent1"/>
          </a:solidFill>
          <a:ln>
            <a:noFill/>
          </a:ln>
          <a:effectLst>
            <a:outerShdw blurRad="254000" sx="102000" sy="102000" algn="ctr" rotWithShape="0">
              <a:prstClr val="black">
                <a:alpha val="20000"/>
              </a:prstClr>
            </a:outerShdw>
          </a:effectLst>
        </c:spPr>
      </c:pivotFmt>
      <c:pivotFmt>
        <c:idx val="105"/>
        <c:spPr>
          <a:solidFill>
            <a:schemeClr val="accent1"/>
          </a:solidFill>
          <a:ln>
            <a:noFill/>
          </a:ln>
          <a:effectLst>
            <a:outerShdw blurRad="254000" sx="102000" sy="102000" algn="ctr" rotWithShape="0">
              <a:prstClr val="black">
                <a:alpha val="20000"/>
              </a:prstClr>
            </a:outerShdw>
          </a:effectLst>
        </c:spPr>
      </c:pivotFmt>
      <c:pivotFmt>
        <c:idx val="106"/>
        <c:spPr>
          <a:solidFill>
            <a:schemeClr val="accent1"/>
          </a:solidFill>
          <a:ln>
            <a:noFill/>
          </a:ln>
          <a:effectLst>
            <a:outerShdw blurRad="254000" sx="102000" sy="102000" algn="ctr" rotWithShape="0">
              <a:prstClr val="black">
                <a:alpha val="20000"/>
              </a:prstClr>
            </a:outerShdw>
          </a:effectLst>
        </c:spPr>
      </c:pivotFmt>
      <c:pivotFmt>
        <c:idx val="107"/>
        <c:spPr>
          <a:solidFill>
            <a:schemeClr val="accent1"/>
          </a:solidFill>
          <a:ln>
            <a:noFill/>
          </a:ln>
          <a:effectLst>
            <a:outerShdw blurRad="254000" sx="102000" sy="102000" algn="ctr" rotWithShape="0">
              <a:prstClr val="black">
                <a:alpha val="20000"/>
              </a:prstClr>
            </a:outerShdw>
          </a:effectLst>
        </c:spPr>
      </c:pivotFmt>
      <c:pivotFmt>
        <c:idx val="108"/>
        <c:spPr>
          <a:solidFill>
            <a:schemeClr val="accent1"/>
          </a:solidFill>
          <a:ln>
            <a:noFill/>
          </a:ln>
          <a:effectLst>
            <a:outerShdw blurRad="254000" sx="102000" sy="102000" algn="ctr" rotWithShape="0">
              <a:prstClr val="black">
                <a:alpha val="20000"/>
              </a:prstClr>
            </a:outerShdw>
          </a:effectLst>
        </c:spPr>
      </c:pivotFmt>
      <c:pivotFmt>
        <c:idx val="109"/>
        <c:spPr>
          <a:solidFill>
            <a:schemeClr val="accent1"/>
          </a:solidFill>
          <a:ln>
            <a:noFill/>
          </a:ln>
          <a:effectLst>
            <a:outerShdw blurRad="254000" sx="102000" sy="102000" algn="ctr" rotWithShape="0">
              <a:prstClr val="black">
                <a:alpha val="20000"/>
              </a:prstClr>
            </a:outerShdw>
          </a:effectLst>
        </c:spPr>
      </c:pivotFmt>
      <c:pivotFmt>
        <c:idx val="110"/>
        <c:spPr>
          <a:solidFill>
            <a:schemeClr val="accent1"/>
          </a:solidFill>
          <a:ln>
            <a:noFill/>
          </a:ln>
          <a:effectLst>
            <a:outerShdw blurRad="254000" sx="102000" sy="102000" algn="ctr" rotWithShape="0">
              <a:prstClr val="black">
                <a:alpha val="20000"/>
              </a:prstClr>
            </a:outerShdw>
          </a:effectLst>
        </c:spPr>
      </c:pivotFmt>
      <c:pivotFmt>
        <c:idx val="111"/>
        <c:spPr>
          <a:solidFill>
            <a:schemeClr val="accent1"/>
          </a:solidFill>
          <a:ln>
            <a:noFill/>
          </a:ln>
          <a:effectLst>
            <a:outerShdw blurRad="254000" sx="102000" sy="102000" algn="ctr" rotWithShape="0">
              <a:prstClr val="black">
                <a:alpha val="20000"/>
              </a:prstClr>
            </a:outerShdw>
          </a:effectLst>
        </c:spPr>
      </c:pivotFmt>
      <c:pivotFmt>
        <c:idx val="112"/>
        <c:spPr>
          <a:solidFill>
            <a:schemeClr val="accent1"/>
          </a:solidFill>
          <a:ln>
            <a:noFill/>
          </a:ln>
          <a:effectLst>
            <a:outerShdw blurRad="254000" sx="102000" sy="102000" algn="ctr" rotWithShape="0">
              <a:prstClr val="black">
                <a:alpha val="20000"/>
              </a:prstClr>
            </a:outerShdw>
          </a:effectLst>
        </c:spPr>
      </c:pivotFmt>
      <c:pivotFmt>
        <c:idx val="113"/>
        <c:spPr>
          <a:solidFill>
            <a:schemeClr val="accent1"/>
          </a:solidFill>
          <a:ln>
            <a:noFill/>
          </a:ln>
          <a:effectLst>
            <a:outerShdw blurRad="254000" sx="102000" sy="102000" algn="ctr" rotWithShape="0">
              <a:prstClr val="black">
                <a:alpha val="20000"/>
              </a:prstClr>
            </a:outerShdw>
          </a:effectLst>
        </c:spPr>
      </c:pivotFmt>
      <c:pivotFmt>
        <c:idx val="114"/>
        <c:spPr>
          <a:solidFill>
            <a:schemeClr val="accent1"/>
          </a:solidFill>
          <a:ln>
            <a:noFill/>
          </a:ln>
          <a:effectLst>
            <a:outerShdw blurRad="254000" sx="102000" sy="102000" algn="ctr" rotWithShape="0">
              <a:prstClr val="black">
                <a:alpha val="20000"/>
              </a:prstClr>
            </a:outerShdw>
          </a:effectLst>
        </c:spPr>
      </c:pivotFmt>
      <c:pivotFmt>
        <c:idx val="115"/>
        <c:spPr>
          <a:solidFill>
            <a:schemeClr val="accent1"/>
          </a:solidFill>
          <a:ln>
            <a:noFill/>
          </a:ln>
          <a:effectLst>
            <a:outerShdw blurRad="254000" sx="102000" sy="102000" algn="ctr" rotWithShape="0">
              <a:prstClr val="black">
                <a:alpha val="20000"/>
              </a:prstClr>
            </a:outerShdw>
          </a:effectLst>
        </c:spPr>
      </c:pivotFmt>
      <c:pivotFmt>
        <c:idx val="1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7"/>
        <c:spPr>
          <a:solidFill>
            <a:schemeClr val="accent1"/>
          </a:solidFill>
          <a:ln>
            <a:noFill/>
          </a:ln>
          <a:effectLst>
            <a:outerShdw blurRad="254000" sx="102000" sy="102000" algn="ctr" rotWithShape="0">
              <a:prstClr val="black">
                <a:alpha val="20000"/>
              </a:prstClr>
            </a:outerShdw>
          </a:effectLst>
        </c:spPr>
      </c:pivotFmt>
      <c:pivotFmt>
        <c:idx val="118"/>
        <c:spPr>
          <a:solidFill>
            <a:schemeClr val="accent1"/>
          </a:solidFill>
          <a:ln>
            <a:noFill/>
          </a:ln>
          <a:effectLst>
            <a:outerShdw blurRad="254000" sx="102000" sy="102000" algn="ctr" rotWithShape="0">
              <a:prstClr val="black">
                <a:alpha val="20000"/>
              </a:prstClr>
            </a:outerShdw>
          </a:effectLst>
        </c:spPr>
      </c:pivotFmt>
      <c:pivotFmt>
        <c:idx val="119"/>
        <c:spPr>
          <a:solidFill>
            <a:schemeClr val="accent1"/>
          </a:solidFill>
          <a:ln>
            <a:noFill/>
          </a:ln>
          <a:effectLst>
            <a:outerShdw blurRad="254000" sx="102000" sy="102000" algn="ctr" rotWithShape="0">
              <a:prstClr val="black">
                <a:alpha val="20000"/>
              </a:prstClr>
            </a:outerShdw>
          </a:effectLst>
        </c:spPr>
      </c:pivotFmt>
      <c:pivotFmt>
        <c:idx val="120"/>
        <c:spPr>
          <a:solidFill>
            <a:schemeClr val="accent1"/>
          </a:solidFill>
          <a:ln>
            <a:noFill/>
          </a:ln>
          <a:effectLst>
            <a:outerShdw blurRad="254000" sx="102000" sy="102000" algn="ctr" rotWithShape="0">
              <a:prstClr val="black">
                <a:alpha val="20000"/>
              </a:prstClr>
            </a:outerShdw>
          </a:effectLst>
        </c:spPr>
      </c:pivotFmt>
      <c:pivotFmt>
        <c:idx val="121"/>
        <c:spPr>
          <a:solidFill>
            <a:schemeClr val="accent1"/>
          </a:solidFill>
          <a:ln>
            <a:noFill/>
          </a:ln>
          <a:effectLst>
            <a:outerShdw blurRad="254000" sx="102000" sy="102000" algn="ctr" rotWithShape="0">
              <a:prstClr val="black">
                <a:alpha val="20000"/>
              </a:prstClr>
            </a:outerShdw>
          </a:effectLst>
        </c:spPr>
      </c:pivotFmt>
      <c:pivotFmt>
        <c:idx val="122"/>
        <c:spPr>
          <a:solidFill>
            <a:schemeClr val="accent1"/>
          </a:solidFill>
          <a:ln>
            <a:noFill/>
          </a:ln>
          <a:effectLst>
            <a:outerShdw blurRad="254000" sx="102000" sy="102000" algn="ctr" rotWithShape="0">
              <a:prstClr val="black">
                <a:alpha val="20000"/>
              </a:prstClr>
            </a:outerShdw>
          </a:effectLst>
        </c:spPr>
      </c:pivotFmt>
      <c:pivotFmt>
        <c:idx val="123"/>
        <c:spPr>
          <a:solidFill>
            <a:schemeClr val="accent1"/>
          </a:solidFill>
          <a:ln>
            <a:noFill/>
          </a:ln>
          <a:effectLst>
            <a:outerShdw blurRad="254000" sx="102000" sy="102000" algn="ctr" rotWithShape="0">
              <a:prstClr val="black">
                <a:alpha val="20000"/>
              </a:prstClr>
            </a:outerShdw>
          </a:effectLst>
        </c:spPr>
      </c:pivotFmt>
      <c:pivotFmt>
        <c:idx val="124"/>
        <c:spPr>
          <a:solidFill>
            <a:schemeClr val="accent1"/>
          </a:solidFill>
          <a:ln>
            <a:noFill/>
          </a:ln>
          <a:effectLst>
            <a:outerShdw blurRad="254000" sx="102000" sy="102000" algn="ctr" rotWithShape="0">
              <a:prstClr val="black">
                <a:alpha val="20000"/>
              </a:prstClr>
            </a:outerShdw>
          </a:effectLst>
        </c:spPr>
      </c:pivotFmt>
      <c:pivotFmt>
        <c:idx val="125"/>
        <c:spPr>
          <a:solidFill>
            <a:schemeClr val="accent1"/>
          </a:solidFill>
          <a:ln>
            <a:noFill/>
          </a:ln>
          <a:effectLst>
            <a:outerShdw blurRad="254000" sx="102000" sy="102000" algn="ctr" rotWithShape="0">
              <a:prstClr val="black">
                <a:alpha val="20000"/>
              </a:prstClr>
            </a:outerShdw>
          </a:effectLst>
        </c:spPr>
      </c:pivotFmt>
      <c:pivotFmt>
        <c:idx val="126"/>
        <c:spPr>
          <a:solidFill>
            <a:schemeClr val="accent1"/>
          </a:solidFill>
          <a:ln>
            <a:noFill/>
          </a:ln>
          <a:effectLst>
            <a:outerShdw blurRad="254000" sx="102000" sy="102000" algn="ctr" rotWithShape="0">
              <a:prstClr val="black">
                <a:alpha val="20000"/>
              </a:prstClr>
            </a:outerShdw>
          </a:effectLst>
        </c:spPr>
      </c:pivotFmt>
      <c:pivotFmt>
        <c:idx val="127"/>
        <c:spPr>
          <a:solidFill>
            <a:schemeClr val="accent1"/>
          </a:solidFill>
          <a:ln>
            <a:noFill/>
          </a:ln>
          <a:effectLst>
            <a:outerShdw blurRad="254000" sx="102000" sy="102000" algn="ctr" rotWithShape="0">
              <a:prstClr val="black">
                <a:alpha val="20000"/>
              </a:prstClr>
            </a:outerShdw>
          </a:effectLst>
        </c:spPr>
      </c:pivotFmt>
      <c:pivotFmt>
        <c:idx val="128"/>
        <c:spPr>
          <a:solidFill>
            <a:schemeClr val="accent1"/>
          </a:solidFill>
          <a:ln>
            <a:noFill/>
          </a:ln>
          <a:effectLst>
            <a:outerShdw blurRad="254000" sx="102000" sy="102000" algn="ctr" rotWithShape="0">
              <a:prstClr val="black">
                <a:alpha val="20000"/>
              </a:prstClr>
            </a:outerShdw>
          </a:effectLst>
        </c:spPr>
      </c:pivotFmt>
      <c:pivotFmt>
        <c:idx val="12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0"/>
        <c:spPr>
          <a:solidFill>
            <a:schemeClr val="accent1"/>
          </a:solidFill>
          <a:ln>
            <a:noFill/>
          </a:ln>
          <a:effectLst>
            <a:outerShdw blurRad="254000" sx="102000" sy="102000" algn="ctr" rotWithShape="0">
              <a:prstClr val="black">
                <a:alpha val="20000"/>
              </a:prstClr>
            </a:outerShdw>
          </a:effectLst>
        </c:spPr>
      </c:pivotFmt>
      <c:pivotFmt>
        <c:idx val="131"/>
        <c:spPr>
          <a:solidFill>
            <a:schemeClr val="accent1"/>
          </a:solidFill>
          <a:ln>
            <a:noFill/>
          </a:ln>
          <a:effectLst>
            <a:outerShdw blurRad="254000" sx="102000" sy="102000" algn="ctr" rotWithShape="0">
              <a:prstClr val="black">
                <a:alpha val="20000"/>
              </a:prstClr>
            </a:outerShdw>
          </a:effectLst>
        </c:spPr>
      </c:pivotFmt>
      <c:pivotFmt>
        <c:idx val="132"/>
        <c:spPr>
          <a:solidFill>
            <a:schemeClr val="accent1"/>
          </a:solidFill>
          <a:ln>
            <a:noFill/>
          </a:ln>
          <a:effectLst>
            <a:outerShdw blurRad="254000" sx="102000" sy="102000" algn="ctr" rotWithShape="0">
              <a:prstClr val="black">
                <a:alpha val="20000"/>
              </a:prstClr>
            </a:outerShdw>
          </a:effectLst>
        </c:spPr>
      </c:pivotFmt>
      <c:pivotFmt>
        <c:idx val="133"/>
        <c:spPr>
          <a:solidFill>
            <a:schemeClr val="accent1"/>
          </a:solidFill>
          <a:ln>
            <a:noFill/>
          </a:ln>
          <a:effectLst>
            <a:outerShdw blurRad="254000" sx="102000" sy="102000" algn="ctr" rotWithShape="0">
              <a:prstClr val="black">
                <a:alpha val="20000"/>
              </a:prstClr>
            </a:outerShdw>
          </a:effectLst>
        </c:spPr>
      </c:pivotFmt>
      <c:pivotFmt>
        <c:idx val="134"/>
        <c:spPr>
          <a:solidFill>
            <a:schemeClr val="accent1"/>
          </a:solidFill>
          <a:ln>
            <a:noFill/>
          </a:ln>
          <a:effectLst>
            <a:outerShdw blurRad="254000" sx="102000" sy="102000" algn="ctr" rotWithShape="0">
              <a:prstClr val="black">
                <a:alpha val="20000"/>
              </a:prstClr>
            </a:outerShdw>
          </a:effectLst>
        </c:spPr>
      </c:pivotFmt>
      <c:pivotFmt>
        <c:idx val="135"/>
        <c:spPr>
          <a:solidFill>
            <a:schemeClr val="accent1"/>
          </a:solidFill>
          <a:ln>
            <a:noFill/>
          </a:ln>
          <a:effectLst>
            <a:outerShdw blurRad="254000" sx="102000" sy="102000" algn="ctr" rotWithShape="0">
              <a:prstClr val="black">
                <a:alpha val="20000"/>
              </a:prstClr>
            </a:outerShdw>
          </a:effectLst>
        </c:spPr>
      </c:pivotFmt>
      <c:pivotFmt>
        <c:idx val="136"/>
        <c:spPr>
          <a:solidFill>
            <a:schemeClr val="accent1"/>
          </a:solidFill>
          <a:ln>
            <a:noFill/>
          </a:ln>
          <a:effectLst>
            <a:outerShdw blurRad="254000" sx="102000" sy="102000" algn="ctr" rotWithShape="0">
              <a:prstClr val="black">
                <a:alpha val="20000"/>
              </a:prstClr>
            </a:outerShdw>
          </a:effectLst>
        </c:spPr>
      </c:pivotFmt>
      <c:pivotFmt>
        <c:idx val="137"/>
        <c:spPr>
          <a:solidFill>
            <a:schemeClr val="accent1"/>
          </a:solidFill>
          <a:ln>
            <a:noFill/>
          </a:ln>
          <a:effectLst>
            <a:outerShdw blurRad="254000" sx="102000" sy="102000" algn="ctr" rotWithShape="0">
              <a:prstClr val="black">
                <a:alpha val="20000"/>
              </a:prstClr>
            </a:outerShdw>
          </a:effectLst>
        </c:spPr>
      </c:pivotFmt>
      <c:pivotFmt>
        <c:idx val="138"/>
        <c:spPr>
          <a:solidFill>
            <a:schemeClr val="accent1"/>
          </a:solidFill>
          <a:ln>
            <a:noFill/>
          </a:ln>
          <a:effectLst>
            <a:outerShdw blurRad="254000" sx="102000" sy="102000" algn="ctr" rotWithShape="0">
              <a:prstClr val="black">
                <a:alpha val="20000"/>
              </a:prstClr>
            </a:outerShdw>
          </a:effectLst>
        </c:spPr>
      </c:pivotFmt>
      <c:pivotFmt>
        <c:idx val="139"/>
        <c:spPr>
          <a:solidFill>
            <a:schemeClr val="accent1"/>
          </a:solidFill>
          <a:ln>
            <a:noFill/>
          </a:ln>
          <a:effectLst>
            <a:outerShdw blurRad="254000" sx="102000" sy="102000" algn="ctr" rotWithShape="0">
              <a:prstClr val="black">
                <a:alpha val="20000"/>
              </a:prstClr>
            </a:outerShdw>
          </a:effectLst>
        </c:spPr>
      </c:pivotFmt>
      <c:pivotFmt>
        <c:idx val="140"/>
        <c:spPr>
          <a:solidFill>
            <a:schemeClr val="accent1"/>
          </a:solidFill>
          <a:ln>
            <a:noFill/>
          </a:ln>
          <a:effectLst>
            <a:outerShdw blurRad="254000" sx="102000" sy="102000" algn="ctr" rotWithShape="0">
              <a:prstClr val="black">
                <a:alpha val="20000"/>
              </a:prstClr>
            </a:outerShdw>
          </a:effectLst>
        </c:spPr>
      </c:pivotFmt>
      <c:pivotFmt>
        <c:idx val="141"/>
        <c:spPr>
          <a:solidFill>
            <a:schemeClr val="accent1"/>
          </a:solidFill>
          <a:ln>
            <a:noFill/>
          </a:ln>
          <a:effectLst>
            <a:outerShdw blurRad="254000" sx="102000" sy="102000" algn="ctr" rotWithShape="0">
              <a:prstClr val="black">
                <a:alpha val="20000"/>
              </a:prstClr>
            </a:outerShdw>
          </a:effectLst>
        </c:spPr>
      </c:pivotFmt>
      <c:pivotFmt>
        <c:idx val="14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3"/>
        <c:spPr>
          <a:solidFill>
            <a:schemeClr val="accent1"/>
          </a:solidFill>
          <a:ln>
            <a:noFill/>
          </a:ln>
          <a:effectLst>
            <a:outerShdw blurRad="254000" sx="102000" sy="102000" algn="ctr" rotWithShape="0">
              <a:prstClr val="black">
                <a:alpha val="20000"/>
              </a:prstClr>
            </a:outerShdw>
          </a:effectLst>
        </c:spPr>
      </c:pivotFmt>
      <c:pivotFmt>
        <c:idx val="144"/>
        <c:spPr>
          <a:solidFill>
            <a:schemeClr val="accent1"/>
          </a:solidFill>
          <a:ln>
            <a:noFill/>
          </a:ln>
          <a:effectLst>
            <a:outerShdw blurRad="254000" sx="102000" sy="102000" algn="ctr" rotWithShape="0">
              <a:prstClr val="black">
                <a:alpha val="20000"/>
              </a:prstClr>
            </a:outerShdw>
          </a:effectLst>
        </c:spPr>
      </c:pivotFmt>
      <c:pivotFmt>
        <c:idx val="145"/>
        <c:spPr>
          <a:solidFill>
            <a:schemeClr val="accent1"/>
          </a:solidFill>
          <a:ln>
            <a:noFill/>
          </a:ln>
          <a:effectLst>
            <a:outerShdw blurRad="254000" sx="102000" sy="102000" algn="ctr" rotWithShape="0">
              <a:prstClr val="black">
                <a:alpha val="20000"/>
              </a:prstClr>
            </a:outerShdw>
          </a:effectLst>
        </c:spPr>
      </c:pivotFmt>
      <c:pivotFmt>
        <c:idx val="146"/>
        <c:spPr>
          <a:solidFill>
            <a:schemeClr val="accent1"/>
          </a:solidFill>
          <a:ln>
            <a:noFill/>
          </a:ln>
          <a:effectLst>
            <a:outerShdw blurRad="254000" sx="102000" sy="102000" algn="ctr" rotWithShape="0">
              <a:prstClr val="black">
                <a:alpha val="20000"/>
              </a:prstClr>
            </a:outerShdw>
          </a:effectLst>
        </c:spPr>
      </c:pivotFmt>
      <c:pivotFmt>
        <c:idx val="147"/>
        <c:spPr>
          <a:solidFill>
            <a:schemeClr val="accent1"/>
          </a:solidFill>
          <a:ln>
            <a:noFill/>
          </a:ln>
          <a:effectLst>
            <a:outerShdw blurRad="254000" sx="102000" sy="102000" algn="ctr" rotWithShape="0">
              <a:prstClr val="black">
                <a:alpha val="20000"/>
              </a:prstClr>
            </a:outerShdw>
          </a:effectLst>
        </c:spPr>
      </c:pivotFmt>
      <c:pivotFmt>
        <c:idx val="148"/>
        <c:spPr>
          <a:solidFill>
            <a:schemeClr val="accent1"/>
          </a:solidFill>
          <a:ln>
            <a:noFill/>
          </a:ln>
          <a:effectLst>
            <a:outerShdw blurRad="254000" sx="102000" sy="102000" algn="ctr" rotWithShape="0">
              <a:prstClr val="black">
                <a:alpha val="20000"/>
              </a:prstClr>
            </a:outerShdw>
          </a:effectLst>
        </c:spPr>
      </c:pivotFmt>
      <c:pivotFmt>
        <c:idx val="149"/>
        <c:spPr>
          <a:solidFill>
            <a:schemeClr val="accent1"/>
          </a:solidFill>
          <a:ln>
            <a:noFill/>
          </a:ln>
          <a:effectLst>
            <a:outerShdw blurRad="254000" sx="102000" sy="102000" algn="ctr" rotWithShape="0">
              <a:prstClr val="black">
                <a:alpha val="20000"/>
              </a:prstClr>
            </a:outerShdw>
          </a:effectLst>
        </c:spPr>
      </c:pivotFmt>
      <c:pivotFmt>
        <c:idx val="150"/>
        <c:spPr>
          <a:solidFill>
            <a:schemeClr val="accent1"/>
          </a:solidFill>
          <a:ln>
            <a:noFill/>
          </a:ln>
          <a:effectLst>
            <a:outerShdw blurRad="254000" sx="102000" sy="102000" algn="ctr" rotWithShape="0">
              <a:prstClr val="black">
                <a:alpha val="20000"/>
              </a:prstClr>
            </a:outerShdw>
          </a:effectLst>
        </c:spPr>
      </c:pivotFmt>
      <c:pivotFmt>
        <c:idx val="151"/>
        <c:spPr>
          <a:solidFill>
            <a:schemeClr val="accent1"/>
          </a:solidFill>
          <a:ln>
            <a:noFill/>
          </a:ln>
          <a:effectLst>
            <a:outerShdw blurRad="254000" sx="102000" sy="102000" algn="ctr" rotWithShape="0">
              <a:prstClr val="black">
                <a:alpha val="20000"/>
              </a:prstClr>
            </a:outerShdw>
          </a:effectLst>
        </c:spPr>
      </c:pivotFmt>
      <c:pivotFmt>
        <c:idx val="152"/>
        <c:spPr>
          <a:solidFill>
            <a:schemeClr val="accent1"/>
          </a:solidFill>
          <a:ln>
            <a:noFill/>
          </a:ln>
          <a:effectLst>
            <a:outerShdw blurRad="254000" sx="102000" sy="102000" algn="ctr" rotWithShape="0">
              <a:prstClr val="black">
                <a:alpha val="20000"/>
              </a:prstClr>
            </a:outerShdw>
          </a:effectLst>
        </c:spPr>
      </c:pivotFmt>
      <c:pivotFmt>
        <c:idx val="153"/>
        <c:spPr>
          <a:solidFill>
            <a:schemeClr val="accent1"/>
          </a:solidFill>
          <a:ln>
            <a:noFill/>
          </a:ln>
          <a:effectLst>
            <a:outerShdw blurRad="254000" sx="102000" sy="102000" algn="ctr" rotWithShape="0">
              <a:prstClr val="black">
                <a:alpha val="20000"/>
              </a:prstClr>
            </a:outerShdw>
          </a:effectLst>
        </c:spPr>
      </c:pivotFmt>
      <c:pivotFmt>
        <c:idx val="154"/>
        <c:spPr>
          <a:solidFill>
            <a:schemeClr val="accent1"/>
          </a:solidFill>
          <a:ln>
            <a:noFill/>
          </a:ln>
          <a:effectLst>
            <a:outerShdw blurRad="254000" sx="102000" sy="102000" algn="ctr" rotWithShape="0">
              <a:prstClr val="black">
                <a:alpha val="20000"/>
              </a:prstClr>
            </a:outerShdw>
          </a:effectLst>
        </c:spPr>
      </c:pivotFmt>
      <c:pivotFmt>
        <c:idx val="15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6"/>
        <c:spPr>
          <a:solidFill>
            <a:schemeClr val="accent1"/>
          </a:solidFill>
          <a:ln>
            <a:noFill/>
          </a:ln>
          <a:effectLst>
            <a:outerShdw blurRad="254000" sx="102000" sy="102000" algn="ctr" rotWithShape="0">
              <a:prstClr val="black">
                <a:alpha val="20000"/>
              </a:prstClr>
            </a:outerShdw>
          </a:effectLst>
        </c:spPr>
      </c:pivotFmt>
      <c:pivotFmt>
        <c:idx val="157"/>
        <c:spPr>
          <a:solidFill>
            <a:schemeClr val="accent1"/>
          </a:solidFill>
          <a:ln>
            <a:noFill/>
          </a:ln>
          <a:effectLst>
            <a:outerShdw blurRad="254000" sx="102000" sy="102000" algn="ctr" rotWithShape="0">
              <a:prstClr val="black">
                <a:alpha val="20000"/>
              </a:prstClr>
            </a:outerShdw>
          </a:effectLst>
        </c:spPr>
      </c:pivotFmt>
      <c:pivotFmt>
        <c:idx val="158"/>
        <c:spPr>
          <a:solidFill>
            <a:schemeClr val="accent1"/>
          </a:solidFill>
          <a:ln>
            <a:noFill/>
          </a:ln>
          <a:effectLst>
            <a:outerShdw blurRad="254000" sx="102000" sy="102000" algn="ctr" rotWithShape="0">
              <a:prstClr val="black">
                <a:alpha val="20000"/>
              </a:prstClr>
            </a:outerShdw>
          </a:effectLst>
        </c:spPr>
      </c:pivotFmt>
      <c:pivotFmt>
        <c:idx val="159"/>
        <c:spPr>
          <a:solidFill>
            <a:schemeClr val="accent1"/>
          </a:solidFill>
          <a:ln>
            <a:noFill/>
          </a:ln>
          <a:effectLst>
            <a:outerShdw blurRad="254000" sx="102000" sy="102000" algn="ctr" rotWithShape="0">
              <a:prstClr val="black">
                <a:alpha val="20000"/>
              </a:prstClr>
            </a:outerShdw>
          </a:effectLst>
        </c:spPr>
      </c:pivotFmt>
      <c:pivotFmt>
        <c:idx val="160"/>
        <c:spPr>
          <a:solidFill>
            <a:schemeClr val="accent1"/>
          </a:solidFill>
          <a:ln>
            <a:noFill/>
          </a:ln>
          <a:effectLst>
            <a:outerShdw blurRad="254000" sx="102000" sy="102000" algn="ctr" rotWithShape="0">
              <a:prstClr val="black">
                <a:alpha val="20000"/>
              </a:prstClr>
            </a:outerShdw>
          </a:effectLst>
        </c:spPr>
      </c:pivotFmt>
      <c:pivotFmt>
        <c:idx val="161"/>
        <c:spPr>
          <a:solidFill>
            <a:schemeClr val="accent1"/>
          </a:solidFill>
          <a:ln>
            <a:noFill/>
          </a:ln>
          <a:effectLst>
            <a:outerShdw blurRad="254000" sx="102000" sy="102000" algn="ctr" rotWithShape="0">
              <a:prstClr val="black">
                <a:alpha val="20000"/>
              </a:prstClr>
            </a:outerShdw>
          </a:effectLst>
        </c:spPr>
      </c:pivotFmt>
      <c:pivotFmt>
        <c:idx val="162"/>
        <c:spPr>
          <a:solidFill>
            <a:schemeClr val="accent1"/>
          </a:solidFill>
          <a:ln>
            <a:noFill/>
          </a:ln>
          <a:effectLst>
            <a:outerShdw blurRad="254000" sx="102000" sy="102000" algn="ctr" rotWithShape="0">
              <a:prstClr val="black">
                <a:alpha val="20000"/>
              </a:prstClr>
            </a:outerShdw>
          </a:effectLst>
        </c:spPr>
      </c:pivotFmt>
      <c:pivotFmt>
        <c:idx val="163"/>
        <c:spPr>
          <a:solidFill>
            <a:schemeClr val="accent1"/>
          </a:solidFill>
          <a:ln>
            <a:noFill/>
          </a:ln>
          <a:effectLst>
            <a:outerShdw blurRad="254000" sx="102000" sy="102000" algn="ctr" rotWithShape="0">
              <a:prstClr val="black">
                <a:alpha val="20000"/>
              </a:prstClr>
            </a:outerShdw>
          </a:effectLst>
        </c:spPr>
      </c:pivotFmt>
      <c:pivotFmt>
        <c:idx val="164"/>
        <c:spPr>
          <a:solidFill>
            <a:schemeClr val="accent1"/>
          </a:solidFill>
          <a:ln>
            <a:noFill/>
          </a:ln>
          <a:effectLst>
            <a:outerShdw blurRad="254000" sx="102000" sy="102000" algn="ctr" rotWithShape="0">
              <a:prstClr val="black">
                <a:alpha val="20000"/>
              </a:prstClr>
            </a:outerShdw>
          </a:effectLst>
        </c:spPr>
      </c:pivotFmt>
      <c:pivotFmt>
        <c:idx val="165"/>
        <c:spPr>
          <a:solidFill>
            <a:schemeClr val="accent1"/>
          </a:solidFill>
          <a:ln>
            <a:noFill/>
          </a:ln>
          <a:effectLst>
            <a:outerShdw blurRad="254000" sx="102000" sy="102000" algn="ctr" rotWithShape="0">
              <a:prstClr val="black">
                <a:alpha val="20000"/>
              </a:prstClr>
            </a:outerShdw>
          </a:effectLst>
        </c:spPr>
      </c:pivotFmt>
      <c:pivotFmt>
        <c:idx val="166"/>
        <c:spPr>
          <a:solidFill>
            <a:schemeClr val="accent1"/>
          </a:solidFill>
          <a:ln>
            <a:noFill/>
          </a:ln>
          <a:effectLst>
            <a:outerShdw blurRad="254000" sx="102000" sy="102000" algn="ctr" rotWithShape="0">
              <a:prstClr val="black">
                <a:alpha val="20000"/>
              </a:prstClr>
            </a:outerShdw>
          </a:effectLst>
        </c:spPr>
      </c:pivotFmt>
      <c:pivotFmt>
        <c:idx val="167"/>
        <c:spPr>
          <a:solidFill>
            <a:schemeClr val="accent1"/>
          </a:solidFill>
          <a:ln>
            <a:noFill/>
          </a:ln>
          <a:effectLst>
            <a:outerShdw blurRad="254000" sx="102000" sy="102000" algn="ctr" rotWithShape="0">
              <a:prstClr val="black">
                <a:alpha val="20000"/>
              </a:prstClr>
            </a:outerShdw>
          </a:effectLst>
        </c:spPr>
      </c:pivotFmt>
      <c:pivotFmt>
        <c:idx val="16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9"/>
        <c:spPr>
          <a:solidFill>
            <a:schemeClr val="accent1"/>
          </a:solidFill>
          <a:ln>
            <a:noFill/>
          </a:ln>
          <a:effectLst>
            <a:outerShdw blurRad="254000" sx="102000" sy="102000" algn="ctr" rotWithShape="0">
              <a:prstClr val="black">
                <a:alpha val="20000"/>
              </a:prstClr>
            </a:outerShdw>
          </a:effectLst>
        </c:spPr>
      </c:pivotFmt>
      <c:pivotFmt>
        <c:idx val="170"/>
        <c:spPr>
          <a:solidFill>
            <a:schemeClr val="accent1"/>
          </a:solidFill>
          <a:ln>
            <a:noFill/>
          </a:ln>
          <a:effectLst>
            <a:outerShdw blurRad="254000" sx="102000" sy="102000" algn="ctr" rotWithShape="0">
              <a:prstClr val="black">
                <a:alpha val="20000"/>
              </a:prstClr>
            </a:outerShdw>
          </a:effectLst>
        </c:spPr>
      </c:pivotFmt>
      <c:pivotFmt>
        <c:idx val="171"/>
        <c:spPr>
          <a:solidFill>
            <a:schemeClr val="accent1"/>
          </a:solidFill>
          <a:ln>
            <a:noFill/>
          </a:ln>
          <a:effectLst>
            <a:outerShdw blurRad="254000" sx="102000" sy="102000" algn="ctr" rotWithShape="0">
              <a:prstClr val="black">
                <a:alpha val="20000"/>
              </a:prstClr>
            </a:outerShdw>
          </a:effectLst>
        </c:spPr>
      </c:pivotFmt>
      <c:pivotFmt>
        <c:idx val="172"/>
        <c:spPr>
          <a:solidFill>
            <a:schemeClr val="accent1"/>
          </a:solidFill>
          <a:ln>
            <a:noFill/>
          </a:ln>
          <a:effectLst>
            <a:outerShdw blurRad="254000" sx="102000" sy="102000" algn="ctr" rotWithShape="0">
              <a:prstClr val="black">
                <a:alpha val="20000"/>
              </a:prstClr>
            </a:outerShdw>
          </a:effectLst>
        </c:spPr>
      </c:pivotFmt>
      <c:pivotFmt>
        <c:idx val="173"/>
        <c:spPr>
          <a:solidFill>
            <a:schemeClr val="accent1"/>
          </a:solidFill>
          <a:ln>
            <a:noFill/>
          </a:ln>
          <a:effectLst>
            <a:outerShdw blurRad="254000" sx="102000" sy="102000" algn="ctr" rotWithShape="0">
              <a:prstClr val="black">
                <a:alpha val="20000"/>
              </a:prstClr>
            </a:outerShdw>
          </a:effectLst>
        </c:spPr>
      </c:pivotFmt>
      <c:pivotFmt>
        <c:idx val="174"/>
        <c:spPr>
          <a:solidFill>
            <a:schemeClr val="accent1"/>
          </a:solidFill>
          <a:ln>
            <a:noFill/>
          </a:ln>
          <a:effectLst>
            <a:outerShdw blurRad="254000" sx="102000" sy="102000" algn="ctr" rotWithShape="0">
              <a:prstClr val="black">
                <a:alpha val="20000"/>
              </a:prstClr>
            </a:outerShdw>
          </a:effectLst>
        </c:spPr>
      </c:pivotFmt>
      <c:pivotFmt>
        <c:idx val="175"/>
        <c:spPr>
          <a:solidFill>
            <a:schemeClr val="accent1"/>
          </a:solidFill>
          <a:ln>
            <a:noFill/>
          </a:ln>
          <a:effectLst>
            <a:outerShdw blurRad="254000" sx="102000" sy="102000" algn="ctr" rotWithShape="0">
              <a:prstClr val="black">
                <a:alpha val="20000"/>
              </a:prstClr>
            </a:outerShdw>
          </a:effectLst>
        </c:spPr>
      </c:pivotFmt>
      <c:pivotFmt>
        <c:idx val="176"/>
        <c:spPr>
          <a:solidFill>
            <a:schemeClr val="accent1"/>
          </a:solidFill>
          <a:ln>
            <a:noFill/>
          </a:ln>
          <a:effectLst>
            <a:outerShdw blurRad="254000" sx="102000" sy="102000" algn="ctr" rotWithShape="0">
              <a:prstClr val="black">
                <a:alpha val="20000"/>
              </a:prstClr>
            </a:outerShdw>
          </a:effectLst>
        </c:spPr>
      </c:pivotFmt>
      <c:pivotFmt>
        <c:idx val="177"/>
        <c:spPr>
          <a:solidFill>
            <a:schemeClr val="accent1"/>
          </a:solidFill>
          <a:ln>
            <a:noFill/>
          </a:ln>
          <a:effectLst>
            <a:outerShdw blurRad="254000" sx="102000" sy="102000" algn="ctr" rotWithShape="0">
              <a:prstClr val="black">
                <a:alpha val="20000"/>
              </a:prstClr>
            </a:outerShdw>
          </a:effectLst>
        </c:spPr>
      </c:pivotFmt>
      <c:pivotFmt>
        <c:idx val="178"/>
        <c:spPr>
          <a:solidFill>
            <a:schemeClr val="accent1"/>
          </a:solidFill>
          <a:ln>
            <a:noFill/>
          </a:ln>
          <a:effectLst>
            <a:outerShdw blurRad="254000" sx="102000" sy="102000" algn="ctr" rotWithShape="0">
              <a:prstClr val="black">
                <a:alpha val="20000"/>
              </a:prstClr>
            </a:outerShdw>
          </a:effectLst>
        </c:spPr>
      </c:pivotFmt>
      <c:pivotFmt>
        <c:idx val="179"/>
        <c:spPr>
          <a:solidFill>
            <a:schemeClr val="accent1"/>
          </a:solidFill>
          <a:ln>
            <a:noFill/>
          </a:ln>
          <a:effectLst>
            <a:outerShdw blurRad="254000" sx="102000" sy="102000" algn="ctr" rotWithShape="0">
              <a:prstClr val="black">
                <a:alpha val="20000"/>
              </a:prstClr>
            </a:outerShdw>
          </a:effectLst>
        </c:spPr>
      </c:pivotFmt>
      <c:pivotFmt>
        <c:idx val="180"/>
        <c:spPr>
          <a:solidFill>
            <a:schemeClr val="accent1"/>
          </a:solidFill>
          <a:ln>
            <a:noFill/>
          </a:ln>
          <a:effectLst>
            <a:outerShdw blurRad="254000" sx="102000" sy="102000" algn="ctr" rotWithShape="0">
              <a:prstClr val="black">
                <a:alpha val="20000"/>
              </a:prstClr>
            </a:outerShdw>
          </a:effectLst>
        </c:spPr>
      </c:pivotFmt>
      <c:pivotFmt>
        <c:idx val="18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82"/>
        <c:spPr>
          <a:solidFill>
            <a:schemeClr val="accent1"/>
          </a:solidFill>
          <a:ln>
            <a:noFill/>
          </a:ln>
          <a:effectLst>
            <a:outerShdw blurRad="254000" sx="102000" sy="102000" algn="ctr" rotWithShape="0">
              <a:prstClr val="black">
                <a:alpha val="20000"/>
              </a:prstClr>
            </a:outerShdw>
          </a:effectLst>
        </c:spPr>
      </c:pivotFmt>
      <c:pivotFmt>
        <c:idx val="183"/>
        <c:spPr>
          <a:solidFill>
            <a:schemeClr val="accent1"/>
          </a:solidFill>
          <a:ln>
            <a:noFill/>
          </a:ln>
          <a:effectLst>
            <a:outerShdw blurRad="254000" sx="102000" sy="102000" algn="ctr" rotWithShape="0">
              <a:prstClr val="black">
                <a:alpha val="20000"/>
              </a:prstClr>
            </a:outerShdw>
          </a:effectLst>
        </c:spPr>
      </c:pivotFmt>
      <c:pivotFmt>
        <c:idx val="184"/>
        <c:spPr>
          <a:solidFill>
            <a:schemeClr val="accent1"/>
          </a:solidFill>
          <a:ln>
            <a:noFill/>
          </a:ln>
          <a:effectLst>
            <a:outerShdw blurRad="254000" sx="102000" sy="102000" algn="ctr" rotWithShape="0">
              <a:prstClr val="black">
                <a:alpha val="20000"/>
              </a:prstClr>
            </a:outerShdw>
          </a:effectLst>
        </c:spPr>
      </c:pivotFmt>
      <c:pivotFmt>
        <c:idx val="185"/>
        <c:spPr>
          <a:solidFill>
            <a:schemeClr val="accent1"/>
          </a:solidFill>
          <a:ln>
            <a:noFill/>
          </a:ln>
          <a:effectLst>
            <a:outerShdw blurRad="254000" sx="102000" sy="102000" algn="ctr" rotWithShape="0">
              <a:prstClr val="black">
                <a:alpha val="20000"/>
              </a:prstClr>
            </a:outerShdw>
          </a:effectLst>
        </c:spPr>
      </c:pivotFmt>
      <c:pivotFmt>
        <c:idx val="186"/>
        <c:spPr>
          <a:solidFill>
            <a:schemeClr val="accent1"/>
          </a:solidFill>
          <a:ln>
            <a:noFill/>
          </a:ln>
          <a:effectLst>
            <a:outerShdw blurRad="254000" sx="102000" sy="102000" algn="ctr" rotWithShape="0">
              <a:prstClr val="black">
                <a:alpha val="20000"/>
              </a:prstClr>
            </a:outerShdw>
          </a:effectLst>
        </c:spPr>
      </c:pivotFmt>
      <c:pivotFmt>
        <c:idx val="187"/>
        <c:spPr>
          <a:solidFill>
            <a:schemeClr val="accent1"/>
          </a:solidFill>
          <a:ln>
            <a:noFill/>
          </a:ln>
          <a:effectLst>
            <a:outerShdw blurRad="254000" sx="102000" sy="102000" algn="ctr" rotWithShape="0">
              <a:prstClr val="black">
                <a:alpha val="20000"/>
              </a:prstClr>
            </a:outerShdw>
          </a:effectLst>
        </c:spPr>
      </c:pivotFmt>
      <c:pivotFmt>
        <c:idx val="188"/>
        <c:spPr>
          <a:solidFill>
            <a:schemeClr val="accent1"/>
          </a:solidFill>
          <a:ln>
            <a:noFill/>
          </a:ln>
          <a:effectLst>
            <a:outerShdw blurRad="254000" sx="102000" sy="102000" algn="ctr" rotWithShape="0">
              <a:prstClr val="black">
                <a:alpha val="20000"/>
              </a:prstClr>
            </a:outerShdw>
          </a:effectLst>
        </c:spPr>
      </c:pivotFmt>
      <c:pivotFmt>
        <c:idx val="189"/>
        <c:spPr>
          <a:solidFill>
            <a:schemeClr val="accent1"/>
          </a:solidFill>
          <a:ln>
            <a:noFill/>
          </a:ln>
          <a:effectLst>
            <a:outerShdw blurRad="254000" sx="102000" sy="102000" algn="ctr" rotWithShape="0">
              <a:prstClr val="black">
                <a:alpha val="20000"/>
              </a:prstClr>
            </a:outerShdw>
          </a:effectLst>
        </c:spPr>
      </c:pivotFmt>
      <c:pivotFmt>
        <c:idx val="190"/>
        <c:spPr>
          <a:solidFill>
            <a:schemeClr val="accent1"/>
          </a:solidFill>
          <a:ln>
            <a:noFill/>
          </a:ln>
          <a:effectLst>
            <a:outerShdw blurRad="254000" sx="102000" sy="102000" algn="ctr" rotWithShape="0">
              <a:prstClr val="black">
                <a:alpha val="20000"/>
              </a:prstClr>
            </a:outerShdw>
          </a:effectLst>
        </c:spPr>
      </c:pivotFmt>
      <c:pivotFmt>
        <c:idx val="191"/>
        <c:spPr>
          <a:solidFill>
            <a:schemeClr val="accent1"/>
          </a:solidFill>
          <a:ln>
            <a:noFill/>
          </a:ln>
          <a:effectLst>
            <a:outerShdw blurRad="254000" sx="102000" sy="102000" algn="ctr" rotWithShape="0">
              <a:prstClr val="black">
                <a:alpha val="20000"/>
              </a:prstClr>
            </a:outerShdw>
          </a:effectLst>
        </c:spPr>
      </c:pivotFmt>
      <c:pivotFmt>
        <c:idx val="192"/>
        <c:spPr>
          <a:solidFill>
            <a:schemeClr val="accent1"/>
          </a:solidFill>
          <a:ln>
            <a:noFill/>
          </a:ln>
          <a:effectLst>
            <a:outerShdw blurRad="254000" sx="102000" sy="102000" algn="ctr" rotWithShape="0">
              <a:prstClr val="black">
                <a:alpha val="20000"/>
              </a:prstClr>
            </a:outerShdw>
          </a:effectLst>
        </c:spPr>
      </c:pivotFmt>
      <c:pivotFmt>
        <c:idx val="193"/>
        <c:spPr>
          <a:solidFill>
            <a:schemeClr val="accent1"/>
          </a:solidFill>
          <a:ln>
            <a:noFill/>
          </a:ln>
          <a:effectLst>
            <a:outerShdw blurRad="254000" sx="102000" sy="102000" algn="ctr" rotWithShape="0">
              <a:prstClr val="black">
                <a:alpha val="20000"/>
              </a:prstClr>
            </a:outerShdw>
          </a:effectLst>
        </c:spPr>
      </c:pivotFmt>
      <c:pivotFmt>
        <c:idx val="19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95"/>
        <c:spPr>
          <a:solidFill>
            <a:schemeClr val="accent1"/>
          </a:solidFill>
          <a:ln>
            <a:noFill/>
          </a:ln>
          <a:effectLst>
            <a:outerShdw blurRad="254000" sx="102000" sy="102000" algn="ctr" rotWithShape="0">
              <a:prstClr val="black">
                <a:alpha val="20000"/>
              </a:prstClr>
            </a:outerShdw>
          </a:effectLst>
        </c:spPr>
      </c:pivotFmt>
      <c:pivotFmt>
        <c:idx val="196"/>
        <c:spPr>
          <a:solidFill>
            <a:schemeClr val="accent1"/>
          </a:solidFill>
          <a:ln>
            <a:noFill/>
          </a:ln>
          <a:effectLst>
            <a:outerShdw blurRad="254000" sx="102000" sy="102000" algn="ctr" rotWithShape="0">
              <a:prstClr val="black">
                <a:alpha val="20000"/>
              </a:prstClr>
            </a:outerShdw>
          </a:effectLst>
        </c:spPr>
      </c:pivotFmt>
      <c:pivotFmt>
        <c:idx val="197"/>
        <c:spPr>
          <a:solidFill>
            <a:schemeClr val="accent1"/>
          </a:solidFill>
          <a:ln>
            <a:noFill/>
          </a:ln>
          <a:effectLst>
            <a:outerShdw blurRad="254000" sx="102000" sy="102000" algn="ctr" rotWithShape="0">
              <a:prstClr val="black">
                <a:alpha val="20000"/>
              </a:prstClr>
            </a:outerShdw>
          </a:effectLst>
        </c:spPr>
      </c:pivotFmt>
      <c:pivotFmt>
        <c:idx val="198"/>
        <c:spPr>
          <a:solidFill>
            <a:schemeClr val="accent1"/>
          </a:solidFill>
          <a:ln>
            <a:noFill/>
          </a:ln>
          <a:effectLst>
            <a:outerShdw blurRad="254000" sx="102000" sy="102000" algn="ctr" rotWithShape="0">
              <a:prstClr val="black">
                <a:alpha val="20000"/>
              </a:prstClr>
            </a:outerShdw>
          </a:effectLst>
        </c:spPr>
      </c:pivotFmt>
      <c:pivotFmt>
        <c:idx val="199"/>
        <c:spPr>
          <a:solidFill>
            <a:schemeClr val="accent1"/>
          </a:solidFill>
          <a:ln>
            <a:noFill/>
          </a:ln>
          <a:effectLst>
            <a:outerShdw blurRad="254000" sx="102000" sy="102000" algn="ctr" rotWithShape="0">
              <a:prstClr val="black">
                <a:alpha val="20000"/>
              </a:prstClr>
            </a:outerShdw>
          </a:effectLst>
        </c:spPr>
      </c:pivotFmt>
      <c:pivotFmt>
        <c:idx val="200"/>
        <c:spPr>
          <a:solidFill>
            <a:schemeClr val="accent1"/>
          </a:solidFill>
          <a:ln>
            <a:noFill/>
          </a:ln>
          <a:effectLst>
            <a:outerShdw blurRad="254000" sx="102000" sy="102000" algn="ctr" rotWithShape="0">
              <a:prstClr val="black">
                <a:alpha val="20000"/>
              </a:prstClr>
            </a:outerShdw>
          </a:effectLst>
        </c:spPr>
      </c:pivotFmt>
      <c:pivotFmt>
        <c:idx val="201"/>
        <c:spPr>
          <a:solidFill>
            <a:schemeClr val="accent1"/>
          </a:solidFill>
          <a:ln>
            <a:noFill/>
          </a:ln>
          <a:effectLst>
            <a:outerShdw blurRad="254000" sx="102000" sy="102000" algn="ctr" rotWithShape="0">
              <a:prstClr val="black">
                <a:alpha val="20000"/>
              </a:prstClr>
            </a:outerShdw>
          </a:effectLst>
        </c:spPr>
      </c:pivotFmt>
      <c:pivotFmt>
        <c:idx val="202"/>
        <c:spPr>
          <a:solidFill>
            <a:schemeClr val="accent1"/>
          </a:solidFill>
          <a:ln>
            <a:noFill/>
          </a:ln>
          <a:effectLst>
            <a:outerShdw blurRad="254000" sx="102000" sy="102000" algn="ctr" rotWithShape="0">
              <a:prstClr val="black">
                <a:alpha val="20000"/>
              </a:prstClr>
            </a:outerShdw>
          </a:effectLst>
        </c:spPr>
      </c:pivotFmt>
      <c:pivotFmt>
        <c:idx val="203"/>
        <c:spPr>
          <a:solidFill>
            <a:schemeClr val="accent1"/>
          </a:solidFill>
          <a:ln>
            <a:noFill/>
          </a:ln>
          <a:effectLst>
            <a:outerShdw blurRad="254000" sx="102000" sy="102000" algn="ctr" rotWithShape="0">
              <a:prstClr val="black">
                <a:alpha val="20000"/>
              </a:prstClr>
            </a:outerShdw>
          </a:effectLst>
        </c:spPr>
      </c:pivotFmt>
      <c:pivotFmt>
        <c:idx val="204"/>
        <c:spPr>
          <a:solidFill>
            <a:schemeClr val="accent1"/>
          </a:solidFill>
          <a:ln>
            <a:noFill/>
          </a:ln>
          <a:effectLst>
            <a:outerShdw blurRad="254000" sx="102000" sy="102000" algn="ctr" rotWithShape="0">
              <a:prstClr val="black">
                <a:alpha val="20000"/>
              </a:prstClr>
            </a:outerShdw>
          </a:effectLst>
        </c:spPr>
      </c:pivotFmt>
      <c:pivotFmt>
        <c:idx val="205"/>
        <c:spPr>
          <a:solidFill>
            <a:schemeClr val="accent1"/>
          </a:solidFill>
          <a:ln>
            <a:noFill/>
          </a:ln>
          <a:effectLst>
            <a:outerShdw blurRad="254000" sx="102000" sy="102000" algn="ctr" rotWithShape="0">
              <a:prstClr val="black">
                <a:alpha val="20000"/>
              </a:prstClr>
            </a:outerShdw>
          </a:effectLst>
        </c:spPr>
      </c:pivotFmt>
      <c:pivotFmt>
        <c:idx val="20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7.9160907514177134E-2"/>
          <c:y val="0.12121165993298479"/>
          <c:w val="0.67352357281541908"/>
          <c:h val="0.85267639264500206"/>
        </c:manualLayout>
      </c:layout>
      <c:pieChart>
        <c:varyColors val="1"/>
        <c:ser>
          <c:idx val="0"/>
          <c:order val="0"/>
          <c:tx>
            <c:strRef>
              <c:f>Analysis!$C$66:$C$67</c:f>
              <c:strCache>
                <c:ptCount val="1"/>
                <c:pt idx="0">
                  <c:v>Bangalore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0E5-4251-B6E3-17FF9AEBAB0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0E5-4251-B6E3-17FF9AEBAB0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0E5-4251-B6E3-17FF9AEBAB05}"/>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0E5-4251-B6E3-17FF9AEBAB05}"/>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0E5-4251-B6E3-17FF9AEBAB05}"/>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20E5-4251-B6E3-17FF9AEBAB05}"/>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20E5-4251-B6E3-17FF9AEBAB05}"/>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20E5-4251-B6E3-17FF9AEBAB05}"/>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20E5-4251-B6E3-17FF9AEBAB05}"/>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20E5-4251-B6E3-17FF9AEBAB05}"/>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20E5-4251-B6E3-17FF9AEBAB05}"/>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20E5-4251-B6E3-17FF9AEBAB0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Analysis!$B$68:$B$79</c:f>
              <c:strCache>
                <c:ptCount val="12"/>
                <c:pt idx="0">
                  <c:v>Sum of jan</c:v>
                </c:pt>
                <c:pt idx="1">
                  <c:v>Sum of feb</c:v>
                </c:pt>
                <c:pt idx="2">
                  <c:v>Sum of mar</c:v>
                </c:pt>
                <c:pt idx="3">
                  <c:v>Sum of apr</c:v>
                </c:pt>
                <c:pt idx="4">
                  <c:v>Sum of may</c:v>
                </c:pt>
                <c:pt idx="5">
                  <c:v>Sum of jun</c:v>
                </c:pt>
                <c:pt idx="6">
                  <c:v>Sum of jul</c:v>
                </c:pt>
                <c:pt idx="7">
                  <c:v>Sum of aug</c:v>
                </c:pt>
                <c:pt idx="8">
                  <c:v>Sum of sep</c:v>
                </c:pt>
                <c:pt idx="9">
                  <c:v>Sum of oct</c:v>
                </c:pt>
                <c:pt idx="10">
                  <c:v>Sum of nov</c:v>
                </c:pt>
                <c:pt idx="11">
                  <c:v>Sum of dec</c:v>
                </c:pt>
              </c:strCache>
            </c:strRef>
          </c:cat>
          <c:val>
            <c:numRef>
              <c:f>Analysis!$C$68:$C$79</c:f>
              <c:numCache>
                <c:formatCode>General</c:formatCode>
                <c:ptCount val="12"/>
                <c:pt idx="0">
                  <c:v>1065672</c:v>
                </c:pt>
                <c:pt idx="1">
                  <c:v>628569</c:v>
                </c:pt>
                <c:pt idx="2">
                  <c:v>763561</c:v>
                </c:pt>
                <c:pt idx="3">
                  <c:v>809974</c:v>
                </c:pt>
                <c:pt idx="4">
                  <c:v>1071168</c:v>
                </c:pt>
                <c:pt idx="5">
                  <c:v>887911</c:v>
                </c:pt>
                <c:pt idx="6">
                  <c:v>744655</c:v>
                </c:pt>
                <c:pt idx="7">
                  <c:v>805864</c:v>
                </c:pt>
                <c:pt idx="8">
                  <c:v>1088658</c:v>
                </c:pt>
                <c:pt idx="9">
                  <c:v>924284</c:v>
                </c:pt>
                <c:pt idx="10">
                  <c:v>975296</c:v>
                </c:pt>
                <c:pt idx="11">
                  <c:v>1106012</c:v>
                </c:pt>
              </c:numCache>
            </c:numRef>
          </c:val>
          <c:extLst>
            <c:ext xmlns:c16="http://schemas.microsoft.com/office/drawing/2014/chart" uri="{C3380CC4-5D6E-409C-BE32-E72D297353CC}">
              <c16:uniqueId val="{00000018-20E5-4251-B6E3-17FF9AEBAB05}"/>
            </c:ext>
          </c:extLst>
        </c:ser>
        <c:ser>
          <c:idx val="1"/>
          <c:order val="1"/>
          <c:tx>
            <c:strRef>
              <c:f>Analysis!$D$66:$D$67</c:f>
              <c:strCache>
                <c:ptCount val="1"/>
                <c:pt idx="0">
                  <c:v>Chennai</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2244-4F14-9F43-573A49712E3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2244-4F14-9F43-573A49712E3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2244-4F14-9F43-573A49712E3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2244-4F14-9F43-573A49712E3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2244-4F14-9F43-573A49712E3F}"/>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2244-4F14-9F43-573A49712E3F}"/>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2244-4F14-9F43-573A49712E3F}"/>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2244-4F14-9F43-573A49712E3F}"/>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9-2244-4F14-9F43-573A49712E3F}"/>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B-2244-4F14-9F43-573A49712E3F}"/>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D-2244-4F14-9F43-573A49712E3F}"/>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F-2244-4F14-9F43-573A49712E3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Analysis!$B$68:$B$79</c:f>
              <c:strCache>
                <c:ptCount val="12"/>
                <c:pt idx="0">
                  <c:v>Sum of jan</c:v>
                </c:pt>
                <c:pt idx="1">
                  <c:v>Sum of feb</c:v>
                </c:pt>
                <c:pt idx="2">
                  <c:v>Sum of mar</c:v>
                </c:pt>
                <c:pt idx="3">
                  <c:v>Sum of apr</c:v>
                </c:pt>
                <c:pt idx="4">
                  <c:v>Sum of may</c:v>
                </c:pt>
                <c:pt idx="5">
                  <c:v>Sum of jun</c:v>
                </c:pt>
                <c:pt idx="6">
                  <c:v>Sum of jul</c:v>
                </c:pt>
                <c:pt idx="7">
                  <c:v>Sum of aug</c:v>
                </c:pt>
                <c:pt idx="8">
                  <c:v>Sum of sep</c:v>
                </c:pt>
                <c:pt idx="9">
                  <c:v>Sum of oct</c:v>
                </c:pt>
                <c:pt idx="10">
                  <c:v>Sum of nov</c:v>
                </c:pt>
                <c:pt idx="11">
                  <c:v>Sum of dec</c:v>
                </c:pt>
              </c:strCache>
            </c:strRef>
          </c:cat>
          <c:val>
            <c:numRef>
              <c:f>Analysis!$D$68:$D$79</c:f>
              <c:numCache>
                <c:formatCode>General</c:formatCode>
                <c:ptCount val="12"/>
                <c:pt idx="0">
                  <c:v>1113323</c:v>
                </c:pt>
                <c:pt idx="1">
                  <c:v>716660</c:v>
                </c:pt>
                <c:pt idx="2">
                  <c:v>991789</c:v>
                </c:pt>
                <c:pt idx="3">
                  <c:v>755974</c:v>
                </c:pt>
                <c:pt idx="4">
                  <c:v>836424</c:v>
                </c:pt>
                <c:pt idx="5">
                  <c:v>1032897</c:v>
                </c:pt>
                <c:pt idx="6">
                  <c:v>523384</c:v>
                </c:pt>
                <c:pt idx="7">
                  <c:v>681695</c:v>
                </c:pt>
                <c:pt idx="8">
                  <c:v>1139676</c:v>
                </c:pt>
                <c:pt idx="9">
                  <c:v>647852</c:v>
                </c:pt>
                <c:pt idx="10">
                  <c:v>956116</c:v>
                </c:pt>
                <c:pt idx="11">
                  <c:v>1038629</c:v>
                </c:pt>
              </c:numCache>
            </c:numRef>
          </c:val>
          <c:extLst>
            <c:ext xmlns:c16="http://schemas.microsoft.com/office/drawing/2014/chart" uri="{C3380CC4-5D6E-409C-BE32-E72D297353CC}">
              <c16:uniqueId val="{000000D2-20E5-4251-B6E3-17FF9AEBAB05}"/>
            </c:ext>
          </c:extLst>
        </c:ser>
        <c:ser>
          <c:idx val="2"/>
          <c:order val="2"/>
          <c:tx>
            <c:strRef>
              <c:f>Analysis!$E$66:$E$67</c:f>
              <c:strCache>
                <c:ptCount val="1"/>
                <c:pt idx="0">
                  <c:v>Delhi</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1-2244-4F14-9F43-573A49712E3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3-2244-4F14-9F43-573A49712E3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5-2244-4F14-9F43-573A49712E3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7-2244-4F14-9F43-573A49712E3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9-2244-4F14-9F43-573A49712E3F}"/>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B-2244-4F14-9F43-573A49712E3F}"/>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D-2244-4F14-9F43-573A49712E3F}"/>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3F-2244-4F14-9F43-573A49712E3F}"/>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1-2244-4F14-9F43-573A49712E3F}"/>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3-2244-4F14-9F43-573A49712E3F}"/>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5-2244-4F14-9F43-573A49712E3F}"/>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7-2244-4F14-9F43-573A49712E3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Analysis!$B$68:$B$79</c:f>
              <c:strCache>
                <c:ptCount val="12"/>
                <c:pt idx="0">
                  <c:v>Sum of jan</c:v>
                </c:pt>
                <c:pt idx="1">
                  <c:v>Sum of feb</c:v>
                </c:pt>
                <c:pt idx="2">
                  <c:v>Sum of mar</c:v>
                </c:pt>
                <c:pt idx="3">
                  <c:v>Sum of apr</c:v>
                </c:pt>
                <c:pt idx="4">
                  <c:v>Sum of may</c:v>
                </c:pt>
                <c:pt idx="5">
                  <c:v>Sum of jun</c:v>
                </c:pt>
                <c:pt idx="6">
                  <c:v>Sum of jul</c:v>
                </c:pt>
                <c:pt idx="7">
                  <c:v>Sum of aug</c:v>
                </c:pt>
                <c:pt idx="8">
                  <c:v>Sum of sep</c:v>
                </c:pt>
                <c:pt idx="9">
                  <c:v>Sum of oct</c:v>
                </c:pt>
                <c:pt idx="10">
                  <c:v>Sum of nov</c:v>
                </c:pt>
                <c:pt idx="11">
                  <c:v>Sum of dec</c:v>
                </c:pt>
              </c:strCache>
            </c:strRef>
          </c:cat>
          <c:val>
            <c:numRef>
              <c:f>Analysis!$E$68:$E$79</c:f>
              <c:numCache>
                <c:formatCode>General</c:formatCode>
                <c:ptCount val="12"/>
                <c:pt idx="0">
                  <c:v>771872</c:v>
                </c:pt>
                <c:pt idx="1">
                  <c:v>529134</c:v>
                </c:pt>
                <c:pt idx="2">
                  <c:v>686485</c:v>
                </c:pt>
                <c:pt idx="3">
                  <c:v>667015</c:v>
                </c:pt>
                <c:pt idx="4">
                  <c:v>717217</c:v>
                </c:pt>
                <c:pt idx="5">
                  <c:v>819809</c:v>
                </c:pt>
                <c:pt idx="6">
                  <c:v>403728</c:v>
                </c:pt>
                <c:pt idx="7">
                  <c:v>425026</c:v>
                </c:pt>
                <c:pt idx="8">
                  <c:v>631995</c:v>
                </c:pt>
                <c:pt idx="9">
                  <c:v>474882</c:v>
                </c:pt>
                <c:pt idx="10">
                  <c:v>792814</c:v>
                </c:pt>
                <c:pt idx="11">
                  <c:v>854111</c:v>
                </c:pt>
              </c:numCache>
            </c:numRef>
          </c:val>
          <c:extLst>
            <c:ext xmlns:c16="http://schemas.microsoft.com/office/drawing/2014/chart" uri="{C3380CC4-5D6E-409C-BE32-E72D297353CC}">
              <c16:uniqueId val="{000000D3-20E5-4251-B6E3-17FF9AEBAB05}"/>
            </c:ext>
          </c:extLst>
        </c:ser>
        <c:ser>
          <c:idx val="3"/>
          <c:order val="3"/>
          <c:tx>
            <c:strRef>
              <c:f>Analysis!$F$66:$F$67</c:f>
              <c:strCache>
                <c:ptCount val="1"/>
                <c:pt idx="0">
                  <c:v>Hyderabad</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9-2244-4F14-9F43-573A49712E3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B-2244-4F14-9F43-573A49712E3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D-2244-4F14-9F43-573A49712E3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4F-2244-4F14-9F43-573A49712E3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1-2244-4F14-9F43-573A49712E3F}"/>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3-2244-4F14-9F43-573A49712E3F}"/>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5-2244-4F14-9F43-573A49712E3F}"/>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7-2244-4F14-9F43-573A49712E3F}"/>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9-2244-4F14-9F43-573A49712E3F}"/>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B-2244-4F14-9F43-573A49712E3F}"/>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D-2244-4F14-9F43-573A49712E3F}"/>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5F-2244-4F14-9F43-573A49712E3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Analysis!$B$68:$B$79</c:f>
              <c:strCache>
                <c:ptCount val="12"/>
                <c:pt idx="0">
                  <c:v>Sum of jan</c:v>
                </c:pt>
                <c:pt idx="1">
                  <c:v>Sum of feb</c:v>
                </c:pt>
                <c:pt idx="2">
                  <c:v>Sum of mar</c:v>
                </c:pt>
                <c:pt idx="3">
                  <c:v>Sum of apr</c:v>
                </c:pt>
                <c:pt idx="4">
                  <c:v>Sum of may</c:v>
                </c:pt>
                <c:pt idx="5">
                  <c:v>Sum of jun</c:v>
                </c:pt>
                <c:pt idx="6">
                  <c:v>Sum of jul</c:v>
                </c:pt>
                <c:pt idx="7">
                  <c:v>Sum of aug</c:v>
                </c:pt>
                <c:pt idx="8">
                  <c:v>Sum of sep</c:v>
                </c:pt>
                <c:pt idx="9">
                  <c:v>Sum of oct</c:v>
                </c:pt>
                <c:pt idx="10">
                  <c:v>Sum of nov</c:v>
                </c:pt>
                <c:pt idx="11">
                  <c:v>Sum of dec</c:v>
                </c:pt>
              </c:strCache>
            </c:strRef>
          </c:cat>
          <c:val>
            <c:numRef>
              <c:f>Analysis!$F$68:$F$79</c:f>
              <c:numCache>
                <c:formatCode>General</c:formatCode>
                <c:ptCount val="12"/>
                <c:pt idx="0">
                  <c:v>876206</c:v>
                </c:pt>
                <c:pt idx="1">
                  <c:v>664133</c:v>
                </c:pt>
                <c:pt idx="2">
                  <c:v>984390</c:v>
                </c:pt>
                <c:pt idx="3">
                  <c:v>749500</c:v>
                </c:pt>
                <c:pt idx="4">
                  <c:v>802077</c:v>
                </c:pt>
                <c:pt idx="5">
                  <c:v>989555</c:v>
                </c:pt>
                <c:pt idx="6">
                  <c:v>713329</c:v>
                </c:pt>
                <c:pt idx="7">
                  <c:v>588769</c:v>
                </c:pt>
                <c:pt idx="8">
                  <c:v>1049271</c:v>
                </c:pt>
                <c:pt idx="9">
                  <c:v>710198</c:v>
                </c:pt>
                <c:pt idx="10">
                  <c:v>964940</c:v>
                </c:pt>
                <c:pt idx="11">
                  <c:v>816121</c:v>
                </c:pt>
              </c:numCache>
            </c:numRef>
          </c:val>
          <c:extLst>
            <c:ext xmlns:c16="http://schemas.microsoft.com/office/drawing/2014/chart" uri="{C3380CC4-5D6E-409C-BE32-E72D297353CC}">
              <c16:uniqueId val="{000000D4-20E5-4251-B6E3-17FF9AEBAB05}"/>
            </c:ext>
          </c:extLst>
        </c:ser>
        <c:ser>
          <c:idx val="4"/>
          <c:order val="4"/>
          <c:tx>
            <c:strRef>
              <c:f>Analysis!$G$66:$G$67</c:f>
              <c:strCache>
                <c:ptCount val="1"/>
                <c:pt idx="0">
                  <c:v>Mumbai</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1-2244-4F14-9F43-573A49712E3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3-2244-4F14-9F43-573A49712E3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5-2244-4F14-9F43-573A49712E3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7-2244-4F14-9F43-573A49712E3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9-2244-4F14-9F43-573A49712E3F}"/>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B-2244-4F14-9F43-573A49712E3F}"/>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D-2244-4F14-9F43-573A49712E3F}"/>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6F-2244-4F14-9F43-573A49712E3F}"/>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1-2244-4F14-9F43-573A49712E3F}"/>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3-2244-4F14-9F43-573A49712E3F}"/>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5-2244-4F14-9F43-573A49712E3F}"/>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77-2244-4F14-9F43-573A49712E3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Analysis!$B$68:$B$79</c:f>
              <c:strCache>
                <c:ptCount val="12"/>
                <c:pt idx="0">
                  <c:v>Sum of jan</c:v>
                </c:pt>
                <c:pt idx="1">
                  <c:v>Sum of feb</c:v>
                </c:pt>
                <c:pt idx="2">
                  <c:v>Sum of mar</c:v>
                </c:pt>
                <c:pt idx="3">
                  <c:v>Sum of apr</c:v>
                </c:pt>
                <c:pt idx="4">
                  <c:v>Sum of may</c:v>
                </c:pt>
                <c:pt idx="5">
                  <c:v>Sum of jun</c:v>
                </c:pt>
                <c:pt idx="6">
                  <c:v>Sum of jul</c:v>
                </c:pt>
                <c:pt idx="7">
                  <c:v>Sum of aug</c:v>
                </c:pt>
                <c:pt idx="8">
                  <c:v>Sum of sep</c:v>
                </c:pt>
                <c:pt idx="9">
                  <c:v>Sum of oct</c:v>
                </c:pt>
                <c:pt idx="10">
                  <c:v>Sum of nov</c:v>
                </c:pt>
                <c:pt idx="11">
                  <c:v>Sum of dec</c:v>
                </c:pt>
              </c:strCache>
            </c:strRef>
          </c:cat>
          <c:val>
            <c:numRef>
              <c:f>Analysis!$G$68:$G$79</c:f>
              <c:numCache>
                <c:formatCode>General</c:formatCode>
                <c:ptCount val="12"/>
                <c:pt idx="0">
                  <c:v>933301</c:v>
                </c:pt>
                <c:pt idx="1">
                  <c:v>903178</c:v>
                </c:pt>
                <c:pt idx="2">
                  <c:v>952259</c:v>
                </c:pt>
                <c:pt idx="3">
                  <c:v>921812</c:v>
                </c:pt>
                <c:pt idx="4">
                  <c:v>918195</c:v>
                </c:pt>
                <c:pt idx="5">
                  <c:v>1106355</c:v>
                </c:pt>
                <c:pt idx="6">
                  <c:v>564759</c:v>
                </c:pt>
                <c:pt idx="7">
                  <c:v>937788</c:v>
                </c:pt>
                <c:pt idx="8">
                  <c:v>951306</c:v>
                </c:pt>
                <c:pt idx="9">
                  <c:v>558229</c:v>
                </c:pt>
                <c:pt idx="10">
                  <c:v>1026441</c:v>
                </c:pt>
                <c:pt idx="11">
                  <c:v>1173886</c:v>
                </c:pt>
              </c:numCache>
            </c:numRef>
          </c:val>
          <c:extLst>
            <c:ext xmlns:c16="http://schemas.microsoft.com/office/drawing/2014/chart" uri="{C3380CC4-5D6E-409C-BE32-E72D297353CC}">
              <c16:uniqueId val="{000000D5-20E5-4251-B6E3-17FF9AEBAB0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6055725113771555"/>
          <c:y val="8.7329593196936076E-2"/>
          <c:w val="0.2189427055285913"/>
          <c:h val="0.86394137526732573"/>
        </c:manualLayout>
      </c:layout>
      <c:overlay val="0"/>
      <c:spPr>
        <a:noFill/>
        <a:ln>
          <a:noFill/>
        </a:ln>
        <a:effectLst/>
      </c:spPr>
      <c:txPr>
        <a:bodyPr rot="0" spcFirstLastPara="1" vertOverflow="ellipsis" vert="horz" wrap="square" anchor="ctr" anchorCtr="1"/>
        <a:lstStyle/>
        <a:p>
          <a:pPr>
            <a:defRPr sz="1250" b="0" i="0" u="none" strike="noStrike" kern="1200" baseline="0">
              <a:solidFill>
                <a:srgbClr val="FFFFF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61314B"/>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Profit by States</cx:v>
        </cx:txData>
      </cx:tx>
      <cx:txPr>
        <a:bodyPr spcFirstLastPara="1" vertOverflow="ellipsis" horzOverflow="overflow" wrap="square" lIns="0" tIns="0" rIns="0" bIns="0" anchor="ctr" anchorCtr="1"/>
        <a:lstStyle/>
        <a:p>
          <a:pPr algn="ctr" rtl="0">
            <a:defRPr sz="2000" b="1"/>
          </a:pPr>
          <a:r>
            <a:rPr lang="en-US" sz="2000" b="1" i="0" u="none" strike="noStrike" baseline="0">
              <a:solidFill>
                <a:sysClr val="window" lastClr="FFFFFF">
                  <a:lumMod val="95000"/>
                </a:sysClr>
              </a:solidFill>
              <a:latin typeface="Calibri"/>
            </a:rPr>
            <a:t>Profit by States</a:t>
          </a:r>
        </a:p>
      </cx:txPr>
    </cx:title>
    <cx:plotArea>
      <cx:plotAreaRegion>
        <cx:plotSurface>
          <cx:spPr>
            <a:solidFill>
              <a:srgbClr val="61314B"/>
            </a:solidFill>
            <a:ln>
              <a:noFill/>
            </a:ln>
          </cx:spPr>
        </cx:plotSurface>
        <cx:series layoutId="regionMap" uniqueId="{2744B960-C16C-407C-8635-2C33B32A11B5}">
          <cx:dataPt idx="0">
            <cx:spPr>
              <a:solidFill>
                <a:srgbClr val="FFC000"/>
              </a:solidFill>
            </cx:spPr>
          </cx:dataPt>
          <cx:dataPt idx="1">
            <cx:spPr>
              <a:solidFill>
                <a:srgbClr val="118DFF"/>
              </a:solidFill>
            </cx:spPr>
          </cx:dataPt>
          <cx:dataPt idx="2">
            <cx:spPr>
              <a:solidFill>
                <a:srgbClr val="10FF34"/>
              </a:solidFill>
            </cx:spPr>
          </cx:dataPt>
          <cx:dataPt idx="3">
            <cx:spPr>
              <a:solidFill>
                <a:srgbClr val="C00000"/>
              </a:solidFill>
            </cx:spPr>
          </cx:dataPt>
          <cx:dataPt idx="4">
            <cx:spPr>
              <a:solidFill>
                <a:srgbClr val="E40FFD"/>
              </a:solidFill>
            </cx:spPr>
          </cx:dataPt>
          <cx:dataId val="0"/>
          <cx:layoutPr>
            <cx:geography cultureLanguage="en-US" cultureRegion="IN" attribution="Powered by Bing">
              <cx:geoCache provider="{E9337A44-BEBE-4D9F-B70C-5C5E7DAFC167}">
                <cx:binary>1H1rc902su1fSfnzpUO8ganJVF3uzU1JfsSvxHG+sGRbJsE3AYKvX39620lGwkjWDM65Vfe4UpWy
tjbY7O7V3WgstP/+af3bp+bm2vywtk1n//Zp/elJOU3D33780X4qb9pr+7TVn0xv+y/T0099+2P/
5Yv+dPPjZ3O96K74EceI/vipvDbTzfrkH3+H1Yqb/nn/6XrSfffa3ZjtzY11zWS/89m9H/1w/bnV
3VHbyehPE/rpybNr011P1/X1kx9uuklP27ttuPnpyZ1fe/LDj/5i//LgHxqQbXKf4buIPhUopphS
HH/9g5780PRd8cfHgj9FXCjECFFf/5A/H/3yuoWv/1sSfZXn+vNnc2MtvNPX/9/56p0XgE/+75Mf
PvWum86aK0CJPz257D5reGtt+8O3Dw79WfrLl19f98e7Ov/H370fgAK8n9wyi6+txz76F6u8uAbb
X9tyMv+TdlFPKcOxJEw9ZJdYKoLpN7Modtcu/6ZM91vmzpc927y4+F9lm+NNU+o/VfPfRwuWTzkF
KMSc32sV8RQhRoVk6JtZ+J+P/oaWR6W53x5/fM2zxPH5/ypLvLtudfPDy+vP7k+d/PfNgdDTGHEU
x1LejVryKY1FjGMm/nzYNwP8e0Lcb4Xb3/VM8Q7C0P+igPXuprnuiuvufzJciacyjjlTyLOEehrH
SlLF/ghU8PG31PWHQf4dUR6wxz+/6psj+//aHPd7yu2Efuc3/sOEjvFTwjADWIh7Q5R6SjjhVFB2
b4j6I9E+LM39xvjja3cE/3+ctR/O6H/VO0coltKvhdKtpP79T7++HtRv3le/V29909XlZyimYoSx
oFAj/VWDnde54/GH8hpqmeLalH8i4e43b67t9NMTqLukjLGiQikZU34OcMvNH58IJKFY4+fagAhI
/F1vpvKnJyR+CpVarABrEnKUpPTJD7Z3f3zEpUBKciIV4hA0/ypUX/XNVvTdX1r54+8/dK591etu
svBa8PDh26+dZRUQW6VSsTiXJjyGyhHB55+u30AxfP7t/+NKLtq4rbaML2b8pR178dsoUPFC4ryc
kkqZ9cMUxR/zGpkbaUj3++LsduBzWbqU2qVPxdybVLBI/WbQ3F/N7VAckdTNZ9YU7v3tmu+O+J/6
YTO6KP8otf/66z/e9S3897UI/OcPz5X6P//24s8S/7u/ld3058Bl/V86O+Nfa/2z3Dxb/6/a03Op
b5uCB/ztux/eccY7kLvjUui7fngH6F9d8Pz737xPiacUIUEYI5RD+c/Vn97H5VOkoLqRMRgfvJCA
6f90P/E0FgJSAI+5IuCb/3Q//lSAn4BLCkAH4krh/8T9YJ1b3hdhBMFLMHYueW97nc3XvK+14hcl
Oir2s52vbuHwHrd+aN3zz295s8J65rZZRTqxsimTfd+29yXm67e9x7etx3+wPGj59vKViOptWTuR
lmY05s3C97h4V6x7/+X74kNtea9a8N31VbvX0tU5TxVmdn89oFbFSUkqhpKYxi1OKBmn/PT9hz2k
Kw/5FmxfLUXH09USSRIZk8Ik/cbl799fH+q0e18mvvsyQo3xUKmNpw4N9AVCC23fLnEV8+ebnLo1
i8TOTdJu4/Dm+w984IUkePpt6wwyHmZxfuDcKLFe9aXL3YFaV+r0+w84L/TPmPmX154D+e0HSL0v
8eQIS5faiuWKbyTHh6G2uHzO6rLCL5CrXX0Y7dhtIokbisZT3JWzufj+89FZdfcJcFb1LfceRGtr
ZjeWuqKYx4PEMhMEfRlqMi51MhbL3CZuE9HzfilQnTrc97JLokLiFnYgfyW6V9+edTtvPKTjs+fe
kqAptnZu2AIqkJgdiOm/CLboR97vocW9qNADUhe5TSzdNit+i/utT/LZVT+HiX5+6m3RZaW5JYal
NdH6JoYe0fMu0rU7hC3vxYY+WtgwloylzSTmX9Ey0mTNdxEWeaQXGUyzVMOAR5ZOfbTvabxGszny
oe9FoPheNMBrgeTWVBANeuqqw8b5SpNxBCgdw/TjhQNcbVHX2yHKun4T/JXV0IX5tZ2m6JHY+YDz
CA/9VsYuXlYms71HbboVNDLJqmtrHlHQ2QnvwZ7wwK/6mjYOb3nWR3JvT4tBw5w2y4b0cdQlVYGP
8SBOaJ/LZYhENk0OTxcd77s43TvUrOmgp2UNg5rwcDz285iTtZXZgOv9XW228udOcPXu+7Z+SFce
kJd6lWiBsiPD0arTxhpBnhd068f3NZP1+oiqHrL4+ee3AF3KYqilGGRmGrpdRu0e/6wKZJrk+y/x
0PLk7vJ9rrcYlMMzJ0a8JnG10g9874c0bHkP0W4WvZDQnMrmBiwwNUWbUheJIVB6D89Ok25rtkpm
1M412GCTa5TYeNN74AM8PNcqYqNaQfsKtWN3OSDWLampxL68ClLQuXC9bV6BN2JRtPJM2VL/KqS1
r1ZdjNsj8p89/R48cw/PrZoXVrlCZG1jx/yNaNvR/UrGXcVXU1Qq8Rq2WoRfhr2Lh2qxGWhEQosr
Gwid9MW0k1UlZd0ucRieuYfnVW8jn7ARWW2LgV7aFs8yqRw1j+Xms1ruU5cH6a2oirhdwJ/GfBvM
sSqIEK/aaJ/5VTHlbZ2uBd6635pWkt9dVyzdI5p7qObhHsqbtchFvy8QdxvZDFdlZHMBlX2toKyT
01LRKemmap8PuuRDe6rXvRBHThfSv53jibtABXvRYMt5JGQd5VkrInckehGZFA15xBnRGZb3qRff
dXY2T6se8agyEu+mT3eUz1PK8n1vLgboHGw/F7btvwwRXdoLusuOvVwJwd0LLKSsfpM1ZuwRUR4I
e9wLHLKr2NAvmmaDyC058F3dDOu6jGFBm3thozGEo22tRGaiYcmKCdEmKYgsPgcBjXlBwyHDZVUV
NCuGVX5gkEpf2jhqw2I282LGSIquiiKhMtbATubgkGz3xGmz2Ue87AGUnXvet2Oe1ePG8GpkNm1L
ji8lNSb+uA4IEFfiMu6TTruhTfDOh+LT0O4Wh5mFefGDLF0DTmR4xmXeumQYsW2TzdEoMF0wL37s
dK9Hx41I3chQyre5OO68j45hZveCBM9V3FXjumfWFVO2d6JKuBmqR2LQA5BgHvbh1KKMVkgNWYV1
e8ATqo751uNAp/KgD7ueXiLd7xmGfWMSl+h9V9DHqtaHRPfQjPjQ0bUp9qwQ2/TCbV0MtcBYoirQ
bzw4l5WbBmK2PYvyVl3iea2POZE0CzIr9dBMhpkNUw2rTzmmh4UIm9gW6TDZqYdm2eFdzgLMGk24
PNTEzQmvBQ2Lo9SDchVHJl5yu2cj0s3Jqq44zIzup+9r5gybe/IF9fDa5azcdxQt2RKxG9h21vOJ
TvXQZdMieOAbeJAls5i7qs6XjABw36ipr1JE+zpsO37ucN8OdVMHpdCy8yXrKeOXUjF3rLYuMNyc
+/i3V0dT2+Ryr1xW2IY+000rXgxrEyi6h1hI1HldIzJlY1/l6GAYtgdRrnV5/L5xHwAt9UDL8sLW
0Q5tnqHT61U9FdNzl+dNIKg8yEJ/NJqRq6aTccVi35Ills3PzEhehvkN8VBbIz2PxYxXKAndfqgH
9mFTW/eI4z+gG+KBllVRTaXM53RsSpQQ63AyKuUCRfdAS4aK4rySM2g++mAw1HedWvMwsxIPs/Ww
myiy/A/RKR5xwmYeKrqPViZzJ0s0p2qBpjE+r27DFXM2x629dh3PQ95YWH2tVHlwsnYJ57gKVLuH
1pIy2QMFAFan+GbUtDkVugjsbBEPrTUwxaQuYHG1uzZrhDKw8+JrWG1wPkS5rZh1IiJvtnpO2ZQv
yYpmnKAhn8JSFPGw2pYD7noSu7Sb9y5ZSn3jqh2FaR17OLW7mYa+XFza1iVNOGUfotniwMU9nMY5
M2QroykVY9wd7aqvrdtt4OIeTEer1goqYZdWXJUJr3STOINF4OoeTgWpokJHCkRXDr2wcDzyKhdF
E3ZEhT2cro7iDo6KXbYj4Ckmeyc5O0ZTJG2Yz2APqnhcVeuGYs422nYmicjAsmHB06eg5IQ9rCKd
Y9OvLWTW3DZXqrLoaOtqS8NWx3fh5Ew+kGJjLpsU+R1V+LWl5HXY0j5S7Va12xZNmS6jlxAeP2xY
BPYKsYdTpXUrUCemrFpKeXQle9fXeR9mUOThtKttZJR0Lov0pA9NJZ4LPMZhzv6VH3ArsMOx8DLY
VUZp16yf9YbeY9Y+C1I48lAq9VJEkK+3DJa1U7JjW/Jks6QIC71AhLgTeueCubKmZsqAHRP/RieI
A4nVOwqrNJAHVDc2OG7y3mVtb/Zjv4qPpR7yQLV7IM2lHsWsjcvYZrZD2w4gev3Yyet5kXs2B2cy
wO2cpDpO9RC1UwZkE/VC2gK9aKJ8eB9mVg+ieMKTAZYzuGOZlwlpl9+E1IEm9TC6015VeVm7zLCZ
JEiuH5pRvgqT28MoXei6aAJrR5V9R932glH7Imjp2ENov+R5MZFiSuM8ig5RlT/XexzYH4i9TIrQ
MIg9wlHKY/Vzu4kP0mxNWGiJPYhGJdTppgedNGX3ui/6U96WYZE89tBJh2UjKzTw036fL8yCn1EW
lkFjD5jDxibeD7C3423xXPZr1pk87Jg19mCpm2ktnQOhh/aXfXaHSvwa5iEeJBtVmWGvwYi0rD+a
Vb2WOw+LU7GHRzfO9botfMo2W6F3+zbhrHLEHsME9xBJunztKq2mzEZAJcBdfaFy9VvY2h4i60Zb
BjcaopRpqG6jmF9TRcISG1BW7wZBcOxxbGJIyaXma8IsjY5KiTkIOFR5oJR2FhNlc5SO/K3pjxK6
2CE6ocpDZFmUIx3LbcqcBDLHQuyQoJG/C1vcw+QC513b1uU2ReVwsTRwtj+SagryFKAJ31W4cS6u
owYWlw17RdzwSdPNBGrFw6WibItHqWxqWvKKwdqrm0PX9qCJFi0IWRG0jTGJnztZVFcjXXmgVjx0
lpbODdSz4Chs58keV780vAwqsKjysLkqR5daAfJXsk3VIaY5748YKiAdFFqo8gA6LC3N4axmygo6
XEfL/B4OH34JckWfrDUTEhtOQC/OFew4ulonRGIRVEdAQ8jzxXIW0I9eQfB1feX6+Gqdx0CESg+h
VStiKkpiM1mTFw0QDlMpBA7TuPQQ6goDnEs3T1k8NK9p1BwqUwYVKVT6+GRRtxWktRnGDB+WFpkD
otWXMHN6AN3gRMHKdrLAZuAfCrteacHehi3t4XM1U15LHJlsQ82SNL0YT11bhdEwqE+s6tnSqRm4
QhkcIe3Hbu9fCmIf4xic3/5fC3EqPYC6Adu6RIvJeuDaNIl1JnoWzfH2JkwzHjyXiEBUpA4sOm+f
LVRwq5Ufg5b22VQTJJ5y4L3Nal68WYfhMm7bMD/0iVRzLmteNdRk+zyW6bwU+Bg13acwuT1w6p3m
1qy1zVQ5HGq6vWzlY2XnGSf3GNOnTC0R9IPnQZisbGfmEiN49WLkw5osFXbbIUx+D6Ss7tau7pnJ
Gk1+b0r6Phrqd2FLexBdgfHYcJEbwP9sL2ZrUIJmGnZUR4WH0gKXTBuCQXCK3rdz1CU0Gn4Nk9zP
oes41CYubcawpku6E7fRpJNNWR/DHuDhlJZFIZ1swCXX6LVu8Ts9hu3FqfAw2mg2woYZls439XqK
9c854UHHUNQnSDVyy9tx3kxG8hZnkcTTa1QsOojpC9dW7qZQLOaYzRo8MY/3LdnMmBEayE6j3INp
u+bRtNrSZN08xEk8i9O4FGHdYbj1cFfyyVDnqAKVQ3h8Nm/4WcPWMAxxD55qKRpXjYXJRF50idi3
Z8rosHMz6jOdFHhJvOLaZKifXxE0PjfxFCi3h06j4XSCL9GYWS7fa2ReN/UYtImj3ANnvtK2LobK
ZBw0kyggoSfj1sqweOizkSZSjVHVqxHObcrxYHD92kXqlyDU+1SkOIZ9VsfiMSs0aatkgUZF6uKI
hynGpyJVlQJWWrUBbtTWHqTj/E2j4z3Moj4Vaa4Yz4FrN2a7MviALH0JmTTs9Jz6NCQXdbJnaw/u
0isa1xBrt9qWiVRzHdTDgRP+uxgFLnCsirUD3RflIg4dNM+yPKdj2DkC9elGW+2cNG0+ZDKy9XiY
l6H94pRYAjeNjN6VH7U4pouKhsyUmz22Ba8S0BA7BXmmTzgSYl1lPMdD5hqODzEHEjtcBgyMj8xD
7NQAA8+SbsgsFcWUoB3X1/W2dkUSJr2XTVdtuFlW0E1fVn2ip/aXtUFhOY/56RT3SxsJB3rv5HCx
2dielqYvL4Ik9/lGM5nJNjTLkFU529/HfV5cwISAoQ5TjE84IhAnGd7ArKrLR3sSThKasLznY+AD
vLQKh3F13w0zaJ7Y5dIY+Us5NmG9eepTjkTdYuAYmyETdHqrC/t6qae3YXr30mqRbwtpmmLMRKd+
7/oFJSWlj3Frz5C8p273iUYjtMxl5NohI6aSv8OF3PXC1e0c6DJeZp3iaN12wvoMkKoSDtSXJNoi
kYYpxoOq2SI4o29gdTZvLmFouKq7x1hMX0vQ+xTj4XTUK9DrJO6zmddFnsBpcQXBRui1PhStKuqL
dtiWt661zSWxJOLZVJYjewdX3MT4Cvp/1rxVouUXNZxL9hdV3VGeiEZDM75YRxkvyU6r0fyyjDhy
h3gbu/q6L8toPHAoLPERMei1p2Jwqzs2CLpkBw6n1OulGyNZZVisJb3M+2rZDiiGbsJvETB7txMi
lRVHIlZYc2n0tJ+KUZUWbtvh3Z1ajNf9aOcWLiqvgtL81UR5VH20iI1jJnes5sys8L7HYdpZWsUz
k4dOYFQf+CYKd1GgvlDPuezgXlg87vgtlmpJZszN5aCt2bO4V3I7LW0z0+NsaMHSWSwUWthNOdND
0QxtD/WsUttBGk1E0vbaoGdLl1fqsiFootkO2l4OjNTz5b5H7UvTzTE90nie96TKTb6/bVAF17DD
PMgLmO1KHa8d6TPOyh66PlGCC6LC4o3P9CI036CQbIas5O1NTuu3udBhcvs8rxlOYtYGg9zM5ZlV
zVXOUFhzkHhRks3ATEHQQcqwUmuSR6pOVIP6QJ14lY2JC8JrOLTLClxVyVqPX3hlwoo+4sXJCq63
zp2I+8xtbngJt8H0RU+mNiyUEa+mKbmOXYe5zQpT0+cU6ldg/rvpQ5AjEi9QmraY53mY+6yWhfvV
yHGHZn4np0C1e5Fy7PQE10RUnyloKicMV8/LvQi7aUZ9klcMEIZBDUOfbf2Qt8c+XqpsHWMduMvx
aV6o02iPCHgkL1q2pth2bk9ExOrxGKR8n+o1teOSR+XUZ3BQ9WUZ6BWLbNiNDorl3VJ4cIuZx030
WRkr4JFNVqzNgagKfwmT3YPrzMadzA4PWTOqXSaiHwmcsUuMw7gYFHuIXYauQfFaQIEA0+ESJ5Yq
1VoHFgg+32sQS17tBaRwOKMxB2CU8cMQLXEWphwPs0sMV6WZ7nq4Vds0V5zMbEr4aHgYv5/6bC9b
dQUQmXoIw50TV2VH4t9hT7uFtYKxB1qxtuPeWqhXoZW1XuY0d5mIJxHo9F59g0njlD5np0q3xcEu
Y5G4qW3DAo5P+UIGrW6FfXIWbR25KYFtfrO3rg1jflKf9MUw6aqyqoeMcTFHl7Xq0CHOl4U9cnb4
wL066hO/4G5rnvNGdtneIGLeDbWe+0MuOjwcF9tH7+DC2csoUk11hCquVodCwWb0VEaM9WHW9/lh
cCmYx66C+nPZxlIeoraCARRt2Q1N2DbaJ4jxmOywZzlHpnxC+bNWF3DvbBu3KQ7rTvkUsT12Bq7X
4i4jBOk6WZdqoUlV0zmwwEIevLndW9NheMDmMNCWd/ce2PufgkKHzxJrpnablNu7bDCdPawF+bJP
LFRwD9nFuCNra9FmUNueGlxfYWzDWgBfr1DeYiy2URQXC0wQySY620MdUThqWPY3YUrxyuWpbEyB
lrnLcmdk6kpcJC3TganS54ktAgZkdmDRTJs1+thWC/lkIkg3QbL7RDFb0a6nHWozqLVeinl/1ozF
I7Nczv52z1bR54kVK5wzctN3mV1xeYUaIxMY9rmEJTGfKrbUXMu5Jm1GatkXSSXleFUK15VhMPUJ
Y1StPeFd3GaCddVhVPKipmgLywM+ZcwMXVHkSneZouXy3JqWHsRUza+/b9NzZX+f4r2qWS31Ni8I
8nuz0xFK/tgWKm1i1Pcph11dF1Zj+RwyufEc5o0VfRY7Mg1JyabqDK1Y9WG5OPZycRtpO85Kg28y
/NZN8ZsC5YFu70EWJllMMjYgO3TX2FEbaOXvDnVB5oXJuXer2w6cMaqBFZgiYfI38xYNb7uShd1m
gqlad1dvdIdcjG1zjsHy9dASlk2aySClE59LNkB3Ic7broHDcOhK9KN8HdFCByrGq5rdNnWb23QD
DAEY4XSAy4fjh71R/Ry4vrfXhYE0eT5Mpsl2Iz5C7+hFK8r33wfV/dGMnKeb3eZH0zmG02q4IQiX
Vvu8Skbr5puFjGGjN4jyMKth+9aV+Vntg8yh4WjlZcuZC3J3AvPX7gjf48qtuwHh86KEthPCQwIj
VcIyFPEpZYrvYmMW+m9omdB27DTwEQ5V11VzUPMFpl7cFV/OSz5AZdtkqOTbURZx/KqH+3xvgizr
s8o2rqHDtYzRsUDF2l9VMYpfYjww94j0Xzst/xqPiU8sg4nCeOXcgetwx9qfR4Q6d6HreTQn2Ig5
fIJZetweR9as/fNog13B80FUY/sBI0JPjuP9UtBoY4nacwfTFbaorn9uO7biQzuOmz7sRZnvH/t8
0+7UDZBzD45V6yfSUvpsHqrpatPlfCK5W2AJmIFRJnGr6f6uRHC/5XV9nlPxrtNysEfYsNEdPjXL
oYyB+fmyGspoP8JvW/2C4LyfgwpJ4hPigNc44vOF5LTIUfVyVrV6jjUuwhIs8SlxfVSzHrqjdYbX
+Ibj8bVCxaswd/FiDOw1tzbiS52RHXi2DaaXuLePDdI4B8L7XMWLMs5FbbHbtc7GAWZ1XBq7N8tR
bcB6OC6wQyguueJNGdRdg3l9d2GFRsU4nVmdRUPEU1ovzWkfmuKXMD15Mafccgd7RFJnc0/LY5Tv
76cKP6ans7Lv05NXGqC40K42rs544/RbYFXTn2VZrNdrhaJHOpsPPcILOnGuRIGHsU7tSmp+LKfR
jDqZDTTbL/UCN9oe2VQ/YHKfNQf0hMLNvClSmMlf1yfHVgTssKhJdbtLfABGd1hXifgkuqKE3klu
GlBahyMguvH3EIgCE5jwOm4RDByBRkBXZwiO4yaynCaCHgnQD1jCJ9EJAlzOHe7gHutiFNOlaiw7
9VLBuT8v5iYOYhd8Hax7O8EzWJtrLSIY0wGDBOGue/GbGkXY1VYiPGDbTY1ab6bKhGDTCTjXMslL
FLZZIT6RbtbQiiQOlZmmkp6GeWuPUumgfRwRHpBjPqCmEU1+RLO+inOS0J4H6tyD8UbixvYTLL3v
NM3VeGo1DtofEp9Dt8HUNW1VnR9rjZ/BqOFnIw/r4hGfQwe0wvMgXJ0fh2oZryprpyxi5G1Q2PQp
dDkT5byRCJwdFTYdBkOTTTX0FLa6h9JY1SZncaQzoe3wDFiv78diCxsOS3wOXcFFEc3Y6azZcHNy
auou4rEJo6ISn0YXbSucp7RGZ7qqxuNQyueRMDYN04sHz7WKR2dJr45TS/V6wnj5ZTB1HdZUhAHs
dzNt2atpbGinjt08vqybPqtMH5bEfSrdVq5r0RZQSDWT00nnuviwN+yRyHt+/XvSrM+km4Gdv8MN
PwCRnfsEWGOHgcNE4TCdewl2hyE9dp4GDbeW2u3QFUM/JrnpVBghDQZS31W6aje4c1EzBRet+h0n
ssnNs36tddg9SOKz6Rzv8k6MRB3bZYcz29fAAnhEM19btffo3efSUb4jGE5VlBnaIjI/i3XL4IJR
AYND38GkpD7TTO0kEePcspRDd205jFPNZhjHOfDtNDoVj+k+oAJft4LhOcsl0SKoA098Ft4ajQjm
bkzn7ZKZiktNYunS0ta2Owb5hU/D67SeuESlOK6m5BCgtsp1h5JxRML2Hj4Pz0y12+d8cKnryyFt
JV2Og6JBnWbi0/CgZGNkIK1L0Xnu18JGuKlNRRC/Gv6dh7suPYiZ2nyCxWcHs5sbS8ekb3AYx48w
LxvT0sFteNe5FFdoOJAaVQl0JD6GWdVDe1/Dv3cQk3xKZ1y2iYwiuMC10jgsr/kkvAK4pjGNyJT2
wKxJ+toULxtBpl+DZPc5eHQZBoL4OKWRglMPWu9FqjcWphh/5pc2C+rhIHZKYUYlftW1a/2Rx7sI
K4N8At7OymWc3GzTruPNASZXw0QYmodNPSH0XLHfOlZp1ER2IplNtVjNieUTzBeP6rAzduKT8MiC
yd7Uk03J0pbAuJrewfXq9ZEY+0Bq84d9uWWEkVlis+km0J7UcW0Oog6sVaiHU1Y7HpERtL63MK5l
mbYvsSnD7hISf9JXtA/tmDfEpQXcnjmqpSwPEI/DDu8J9XC6wzWIXM9QWIkBf7QteduWOOx6Nfwb
JXfdpWyhpdwP1KU6NnGyDjhP8xxodN9H6QPbRJ/91aB6xHVP5InnDZtfla7V7WnjuDEnagbIgt9/
zAOO4zPB8pnkFFXwEgzL6DhjVhy61YUxwYg/72soczFNHFYvik4fJdDADqrfPoeJ7sG1riAcAJ/R
pMM6bAfdjtXRtnlY4vOZYGqg8dQyZtK5dvOpLSVOYIDxHpb5fCbY1sJ2YzeLSadyb07I1r/sqGKB
JvXgupct3Xvo9aSDLMWhbdbqAJTUMNo/nOrf9fpObGISMh/SqI3ModqHLiHDFja5CW5A3109p7Qx
qOJDqqexPOysbQ4SxuSH1WI+B8yhDVrOppCnqur2d3s8rL9WcffY3PoHoOSzwHKyLMgBWTllBsF9
lHPBMWD0WI/wodW9vS78CzfQrt6UOtHovzj7siZJcTTbv9LWz0MPILSNTbfZBdzDPfaMzIhcXrBc
ohBiE0ggxK+/x2v63qmK6eoeS6t6yVhwAqRP33IWtM7X6PvYDR9+aiO9RX+1SZpU8M/gR+h8VV2+
7kAnOrXZTz93+Tf7NOlGMu7xLI/U9AMAuHpj6pYl3SB+bq++lfsyVizI4o08SpvArym97uKfzMTe
gr8gxDW5kOLSfYbj74KHGH4OkEjeIr9gBtFUik/yuF+kj1qfZEWmhP+5hOCtqZWOO+X2MGYlVLhO
w2weY/ZzaoLkLewrpgAVkb7PSgb4gx6i22xo3v3UUvkfkC/ICCk4bGVlypY+ucpMB9618v3y/HPX
fzNsHkwy6W4Z+TEbkw0S6pnNri9UvX+lJ3jZjP+g0n2L52qi1mTCV+zYm8ieXLWu/b3lcV0fwFPl
1bnud6/u3F79L4rrX0vVf/Shl1b8b9JWHtJqWPXUoWzd/LAVSdd0qTm0LXZdd1TV1nb5NPawq8kH
MuFs33SYB34eO8NUf0Rhrds+7/Z2DWdVhaj6SogH7G6IAWltc6LD7n2OJMdMty1LhLlbbeUTdt6i
jE9tPu9dHTV5TGRD6nx23CARGhleXU7lNNZfzaz6Jcmzljf9mewt5J7LgIKe12WYVj8XbSB6ew8J
Ob82OW1h8QOZ79BsdsgTuUQsy2WANHx7SkzLIH3fo2fp+hy8gm7BDVo+Ds8m7VHIaK7FL73p8eV5
mbK1ZID7knzBE2qLdfVpc7WHZYPrUhsTO3wd0bTlS77NMMPzORWsVp+HJmvl975eYPQDIuc+zn0O
tS8dPl1Aeiez92HLB4hG2cL7xiZtyUGcrA47RjbpIUqrzRaVwEqTxcp8oH2ZrjuNbxKxMnls6LL3
4IVNYzjBJWAoODMru9Px0ogybognheJsQhYmelGKHgK4+TbVbBqA39SjqksnUe/zAh2SrR5xZ9Mw
81ykjIM3sjZXVcaRNiKWsH65xtsaVZPPApldLpOo68ulH9Ivk+tZ6cO+8e9LswdyNPNI2/t9TgV7
UVPK+T1xFSG3e6XEUpfdDo5KdpR+SaCIsDO+dHdgaAi8L9M0BjdXx7usl2MMVWNkY3087u0pMLL5
b5Pom7EuxhXN4DMHA0l+SDa+wUOvGzI4idUiushAdks3+Agslh2gLSjo8GVdDgHvchzPKUUjLT2z
dhAqb1krj6xVQzGyzfczuikhsusls1ztTbzY9uBnxKh7NtaL/rBtaT0ILIcxXY6aULsVY62yFCqx
KnQl6holPgtHhvFGbjsKP0XjZZtzbxya+bkUlKfIoJwjhBQS1tL6XdKKmR0hsNJuN0PqE3S1Ywdt
tR1jZrfW4G7FwTIHJCeDyFrcLd/SLgJnZl55Zt5z2ieiVJWl+htqH9Fh0/TZuJZW09Het0tcsw+A
Z039UQcOmpAc45Fe7zRK29tE+Xb/0QzduIAxM0djdj9h06rDYFRIz6ZP9PRRRT3sGBHe2prRnPeZ
NPexc23yLdNVJUJe1bKvr7xfV3odz002ftKeBVpA8z4GG732JJGQdqas+145X7d13k6t+EYJm8xH
sMt3VWC6hLMLPI8x3AHVZwV+eYyy76Oe1/3cpyaED+0eJ0lhFHbSd51hmZ/qNt3vnYzrY5xOQj+I
eeHsEIvGqKepVdv+6EHwSCNMoqEbIMqLEjE7W++G4ZcWkxt1o9lEwtU46q66mlKZzDfLJHla6Ixk
6WfB4DH9I/FtdQ8KeXSNMdL+HdSWPtee1mUNgaCo3Jpd+Gt4SKz7CeJB5FMnm0yWpgPT8R0Pqhvu
k7pqkrMfmyUcoknp7STDHLMrzrY2/hizqq2e1CRrU5jgImgi6lhakGh6BiO/dbd0vrPx7uIzMcx0
zzDuqMaHhUqujrFqR166Ta+InZ6KWR2Bn07mu0mu7HsHTYChqNAy9A9qi2eEEjVu/sDo6Oa6jDGt
Wm9aDYHjY1UvBvSaiK/1ByWszM69MYblropm9k0pqU1RD7Z1OhdDUsUwOsrIdrZdb13pfBpHpbND
muRDt3vzmTiJOyhpXCeQM9xwF01U2znXW2SHw3CR5MkhaLe395MHMe1Azey/pHHwDPZqNXxLC1hB
sDukS/VrhS3MC92ptC9Y7+n4MUzwZ4TAUd9D8iwn7b43Z+/Akv0Q4E83V7maHN8Q73fjxzHXDse0
z9HxXu13v6yEvsCCY8aB0EKtRj51uMrlRRq3zAeYOGLSeRh82tMc3M+BXnUyke1hXWvShbxOnNhv
/GZrdC022FjJU1wF5Ihgsil1tnBZi/J9bproPaPtnJYqY0tU2nhNZMnDvuuXOd6JPq1u9/Jq6ceo
KiefVuGWwCznMU6sbt6jc5SGNm+6zskjVONrdy1bVDD3AS0xcczaBuedqyo6Aeedqe22r2PdFuM+
J67IzMwj8BZmWzUe7LndJk8ubnuQMYbMucdmi3l6GjEy1vcjlO6aKV9DBgMd6Irnk59lck6ItO6B
2ikavqbNJrpb1hGLNTaovlM/SCd2rIQekm32MNaiWY/4yzZ9oH2b2WfWrqq6tnWjyRkkWtbdLXMK
g68DwlHHSvgykep1h1QyNM2t0vRkx6augW0GAwtrREBH6VppF8zJ6J4AM5wCQxwfrIHrYb66MKTv
8ZniZU2U2750EI0HJ12masyKCfKLdREhPlXFVpntvU6ZIychDbgudBgAVu3XWURFMIuDpdw8+g0E
kpUnBQYKQj3idil92Hyom1M0pBkmR03VRsuHvt/H4RrQXbUjKxr27TtODTu00EiN4+TdZVJD4oKo
ie93eyyz3iIS76E6C41XD6FZBnezW4+APD3A/cLO59gp6U6bY5JeTu5NQROgxmO0NncSuzyGXl29
L3UxNT6Ed0RunczhmibYkWc94lveEq/nh9glYvq6z9ZkOu/cutFzyEi83WdY/eqTthssaPBHkrF6
aNEO80+ixUO83lM9b+VAFupOOP8jU+Phpv168Dvnvkby5MYdL3Ou1+Pq26h/5klw/eOKZ7ZeTxqw
0Ae9NqopMq1G+2kzPKWf+5QH0edQCIsHgydFuvrHAM3U+BGq9Zn8OkJ5pf0ydVObor6CICIpep1q
fuq5swH5m4oFG/MpWgKOwm7D8YFsD5KxLKIrLy1EGsYAjB6PvkFVPmRFjENdn/dlaj/wBev70Ma+
Y0Wz7ei59nzIPtIUuIiCBFHpArVoxuGIOPLlKu04ZWtOtrif7o2aFCjHCeQ7j0bqbrwjvfFRlzMw
sL7qcXLbkSZNtj4kQzxDfxdzVvkhE4NXx7WDU87jlCrySVi4vJQ2q9AKEE3k2H0YTMWP8ax9+oD5
Exmeupbb/SbRwzQiYGbYG4DFA6gmrlqIqM53Vd9JsxWwMa4fA5AvUbGxpl+f7O4nEKLBe019ARnD
qi1ge9yYh9aix5Srvu6mAwng1XZHUNSSg6jIMJRzXKV4E43qkrtsMRcnV2YvyY8AtFLVhRQrTct+
meJkydt9Cx+16KCalO89WIsfDMht5KW2bLydhwUZV6FqHRWJhipcKBDd15x7RtzHdIHswalm3uC8
51uMNJ2AwGtcHkgWuXODW4jfLePgeJFSNpVtUMtw1W7Y6p9pPPv1mPK2S+BMMkPyLMkaIkrSAR6c
W5LsR4nDyLt8ppW29wugU3Ioetbz7ra1VXgQ4WKAus87ubFCtPFBwMFmwzGKlKOc9wxh33drVJ9b
NlD3YemqZH0a5iUpMCOZ0i+hq/xaVF5lJ6RrcM1swaIZ0WnP502rk3IGwhoZeNU4bEmx706afIQZ
EivdHKenGvnAR99zclNDSqnPmdSTLVSSshqarSbNxzHT7Fr4OvzIwP7Rdym2Tn+1a7vLuylK58fY
Q+IVJRBxtzUT6Y7cKcnmxzUygO26jRcMNPI7zHNA1oZ5KYEaOWjId2EW6fPoo/rQppq1ed9v7mZt
O/lQeyjoly2WcUG3xRepqppTlmXydmF1uK6TrfsS6lW/l6SbiyZm7zo6989Uy0HmdWwsYCdL17ZT
vsWN9Davke2GY4BVXTixNa1fWLKZa6eDkCWWMyv6fdm34zBreh0AX8yefST4+7rzQC2UqRt4dKp6
vvour7ByBWjyQcU/GlcF90wpYyFfm34TgHImqw9lc9EDOHdh2yGbIuYkGDjrTpNNUcc0ZNRlzdYk
ul6TDGxs0Ep9fD2rpJL3NtqsO67g+ccvO+tSVsiQre5myQytvyBz7acDdWmUnkxjmuxWb2sHs9d6
WLvcJ2YWL2TpTPwwkYWYA2QawgBJAsvUeYxW2X2OFLyEdUFDQ5sythrm3gttkIpKt/CmmDvkKD6v
SERIlwcalub7JiiZbtdtXPdvMKXySIeUExSru8PeoibXIAzpA1R0qvRqFl2j320Jav/DOGSkPzqO
uFOioqn5ebrA7w4T71PyAFKNpjfAz5KkTORG5TkBbWr7pQEYu39YrBMmLoKsV3VtJ0tilkNQRGA8
uuu0C+9QGvMUVTAgm/uNtZ1FXFAD98md6bEl37coVv3nlrbynI0YkRHbe/45saSNvvQYsKJM3kYK
x0U0oVWB1YFkKa+WFdHdzstWrn09i48MnH73Ijxi+ydrJ5nqkvIpwnlVDTRa3zO/663OI3jIk9y5
au4LWZEuvbe72MIvGej+3Y+5AZvtIDRsC59CpzYJwQE6zo/weKbtdhhWqLteySZKx0eGXYaIGJN5
EghPauNoFqoBtOaTJrHyJ9KqNu7LbJ+RAuQdY6yGDPyI+gMZn56KsJpLLgIbF+ffaTfPtb+Sbd3O
L52NxvU46sjJs7VyoXhju/RzOaXdtn5pJQUXialW2i/Ot9N6NHXcR4Vsl+SmmeqKFRMG4e42aJ3V
eCW8ARnQostezGadkJRODHIyL8sOlVwQpKfqdqzT6cpXm3iaSBocsgO67+YhdF2Xz/AGzUEKqxcC
fzGhx2Pwgoaihp3qct6JRYGm5MJz6/wYmdwtztt3PPFc/bLC2kQc9jaOVcn85VzNawuPiVOFNPu2
gTQXVh1JenJdafiz3pg6jB+lwEMoiXNZ0uVxA8jDi+12HSFLDXF0te1Y11fIAxJ+7XAE6K/ek+YK
JUAiP4+QOOeqoLKOmyezUqUgCZ30rFlyLDJKCoGoGlDNRSDO7Vwlzb3QPt6LGRv+uU1of+iqhg3Y
atVyPcboYNyhX0Hooxg21l77dZbf0In5hNTDpQyWKgwQ8BEeMenTkNbVF+hZ6KasewTFRs/tnXMx
MrMdAiP+3HGhCrMHGI6A1hGfGj6T7m5yxHZ3c7XYm8WYUX+FQbR7jabW2nJbIrzGbOMv7ZJdhjut
wNm+Zf6FIZdwZb1PyNWBa3Jb3nneH0FWlizXxtfIDTCqXGF2Jzb0axEJLfo7Tt97sEzgwCgunR4Q
v+eXFslYnlIg0M9opUt7SyYxRY+EA8QHUBAf6vW8srp2HV7KEmILRnelm8MWE6H5QQvWvKsneMMf
ErBXpl+2NW3XIlLoXH2BVgPccGcqbHYYVBpSLM0mfT83qEeuwqBtnmoEUJOvywwXuzpd1HdBe5u+
EL+otQi9TVDt8Kxbt1yvoos+N01SfROX1OQkNrDMnwMzr67tXIZ0V04Jktk+a5eThCeIKCSb+9eR
YsvmApYdBWxB4uzQyUz82vxryY6HEMQB+pZVhlIGpurHLeWefzJ1JME/bmSFzmAkeygjWQOJghJJ
Se+vKRvH7123kQRxLlN6eIFSm9RFOitPTtpl4QdK53q/mbu0eu1Vt0sK/++wpre98tn0HFUxo68J
LDPoD5SWCp0RXdNbOc4tYkesQpHWyeQfZ1lxA14HZktZzer4sYkYQzcbqUd8Qz0ERY9ynVlabm6P
yWFlq13zrl+299BETrKPZpbruyjK7EdR8eQZ2A+3X40VSECnaERhvHX9th5YJiDou+vVfMQzb2+G
pAWsjWkYcEPjJBvPo5JyKqgZep+bqGo/gam75RMFecuYzLObeTPRI2d+u2NyV+I4VpBeOHQ0bFcT
bCWuEtPF5wyezIh5A7EvStY0PJh6BHt4XaH3k9Npqdx7v0Di9QsERFCc2eAz9QmtYcJztgY8h9Rr
jbAgSUJGZBwc/GMRu2e1MSSJBK2EukaWoWkEeVi+R+UMGDw9UFGjb+Jhrw6fEj7vzVVqYvMC+XXd
PqViBAl8gwPDU4MbyUmzJmYpELaD8/mM3hh5MK3iWUEMbud5HCs/HvVUaVWkGTf+2wXreh6Hru9v
Ns73Dp/RRvapTTLfPZCaeyRsoSFHIUw0ngCh5P4dWtHDAWFiGI4zpdqWqVq7BHA5GMMeRh8jiEAf
4xrvAu2IytDRoNz2AC2vIbgnGym9FgNdku46itZ+v4L82P4jorBNyjtYQ97U+7hh+1QCj6P18aGV
2VJMk/PXZEyQcKpmuAlG0SeglycwBKDviD4HhBpIxqtP0Q44+VGAIROe0WfaVhxENk5+ODHXKYcH
TrujPWC7xQznAROK5ovaJ9sXeFMgvItWITNHxOzWvlBTZaBfDvEieQeJNMEL6ZlZztuYTeKKwwMc
1qjVykSTRxSyh0cvyWUTRnqta7grTqiYEHzaUu9W+rMDKUPm6bi5DtsY867XBWdndTazi+tyhaJ2
DCRmn2bJy5ghQytXL2dV8Gxl4Po4FtqXhkGmpoyhN9986tDQyPJ+WJR6jrcd0aOOIpZcM570tOhl
2qXliG7YWozDitZWDhLUVpca5ML4ITPTLN7BEKRZ8wAVaHNYQkXHPKR7hgxGmsR9j2a4KuQUVA/5
Dl42K79SwXj+neGP8h8tElR2S23S8SLreJs+drWPIZpsUBSoxvb9UwCBvz2m2sZ9yCnI9isamGrY
axTqDi0HLOoNSSE82qsJxtrSVndqjJv9nGTxNtxJgz5tzgzx0Es3an6NKWnUfbpXA3BJVdwOp0Ws
UfoI3iRn2FMz2T3mP0MwR/g3+vkIpJvpC0xV6PJt8L2NYJC4O3GOOrRTPsVdf3lDDIVPmczSaJBR
UYD19wv6h20BfoWzSw4tliS9iVlKUVxSFw2nBjiL9ZtPg7RlxVjlrjzitS9nakx76AgRU5nCkca1
+TT3QR1RDXbypsogvwbwZXexB4Nb2lhq1cjtunIxFwV4IrWkJZQYYmyopuoxz8YodKyv2bqRHTmL
M9kJTYIR0/oJuV2OPmzS5iCM7rqcsAy6Y7YtyfTKG9p2EWqHJHMEfrcQMfnFtH0HPleLCZnDYdoj
T8yKqJvlFUtNGrZzmwgiXqAZ3btbj9J+M/jDm0xnyEE2Mj5Q3nTbxwh/jYxylTgyLseLmjUK0lXs
a3a/XCromyoa2w3JF/CyEJgKVV0/hD6xKFbmhTBs8KxFz4oXmLVQVKux7eXwvQmoroHtC7yPX2e3
RhOSAU5RMI0O3MYVbjXjfG3luIgHiuBRI1UUev/RKkwjvmjtx/aY1dkQeTxdQwZ4MbO5eZch3cde
TiXP6NEgNZpelcmoF7lLJNSaPc8W8SFBf66B/Qv6/+6bnLOlfTHRMkaPY42Bz7v1UqhCsSCILi34
OkHXGLQ5M3dn1WPuhUWSGXKcOQofdoCP4jLdgAFYU1/smCGNqHSbmTe8jClz4sYbTJJukV0Ldou0
KLPvh0638zWviR/P0QJj9i8kjqu4YJec7biMfbTkHU99dDvGUKd6Fy12aRDjIENfSGTGwyEsvZjv
G+tAdOlpzNcPewdIYyFiiyFPQ7oBEjNzHbnvgllTfSDeIvgP8DfQ634d7bDvRsoKXcPu7E1NAvIp
WFwXCd/ccgrjIMlpRpfdX3Ut2+MXdBUpvW5aTAILE/cAABzAJ45nUWJt7uhtXTpq0XGa03QpCOt1
lGPP3TFjQ4ZZI4U8xjFOAK2ejk2UYN7DBox4Qt7BYk3kYdoMLWfFaXZy2yL3k8m2KB4g6Zb6RaKn
V8MrbVxkom9pMlv7Qi1U1V95nS39LRLbhh87qhb53nuMZsquFroGOxGAtMdmGDp2U9Xd0L73Ag/m
JqSitdfxAkuduxX3msLRPOz0US+8r683Pcv2GYVeU61FvCBbnko9ih5t6wwabU1cLNjMJiqg/cGC
KTEH5EIeW8ABLxLG/DMUDGObFFJCALM/9BgF2eWMBGzGg3Vcm/kR5/SAxjPAOBilIXeT4T3BYwe5
SlLV7s+YnlTbccVOPsp957cooll0k0aVRGLHYqjXpZcxnkivYs2YuWo1n+jt3o1gXidpGN1n3ywS
ohXtAumQo6vNFlSeeEY5ZpwpQFfxZMVaMDQ27Jd+hWT94wjZBZseL1KvCXoaG4W5u5h3uepC9t63
Zejni6Ocs+yezlU2nDMwef1pGsxCynoNZrhNLXRq0CKNMW8dw8yXY4MmfpJHNkmiI2aUrik7UUuU
nWayBhkS6RvydeNwkb+p9lpvT5BkyBx676qa9x9koKT+Ztox7s4xAdXxHKPrO91BNWB2HzpIUiO3
GWi23SZZZMMvYaLa3IZQRxYNvi0VxS6RjuToLy+YrTTWAuw3uexuiXvrCxdgHHqecQu6XPY0bQtg
4xlm5ll2gdeu4iiBbL7vVjgDP8e+re3d7PZkuOawvdsvb5tX4DpIF+AMb3mmv6HNF5FSUxEZC7FW
1DOFHbDa+wMy6xYHJALppcz3s/EPMppXUoQoSmZsFjHNoEsYenmC0qBdhUxipvLB8rWLIDfQ8ObH
cjkff/AF8gngktP6PI0yJHmMeNe9J/OcOuy9mvaTy42wYFWjxQSjKK7iJi5JSiPAa0g9Vfep4s4f
EUahhbh2Q7O+Or2Z7XbceU8/ztvCMhQvk16uQ+D79lHw3qwPFw1HcrL9UuU9xG6mHNlofWmWm23F
mYsB5qMIQfJrq8A0uMegpAfhHbnxjtbW1KJrRWFcmVH3FcTVSeQgFqX+sDHToms3T+oJMIkEGdEK
U+YnDWQjzkV4bEC7Ua6iki/cxBJI8yHGPGu9Gqp5Gl3egO+X5aMAjoAUmH3PyysaSTWat2jYxO4r
uhV7E+XMIX3VOUWUdeghdiPYHjlE6lF3HjfQQ2EONGwZU5/BsA7LnC8eJjbTVb862ujCT9APRx4a
s40m5UwUoBzlv9nZQZ43ouIKkyriihiIIJtHwk1VAaFk8kzw29HN6lVtzlJder81yu/NXGJmVj2M
qZ0P6BbsC0DWURWd/61atngLNutOEOretjJmelzyPSj6gIHVsJSsAvn75xBMb5WFWMiGfhxsd4jl
J519YOvPgevfCgrRjqwY1+C6pHkSaFo09CcpNG/lhEaoNcqq4fyIYzJGE0mu8Z1FtLb/gsP7B4JV
GBn8HumDVljqgEjDZCLC/pvU2Lib3kcjNBDtbNBwSlcNWwAup/Rxs2jdosDSUVyM0Yb39M8hVBdU
0T9CG73Bf9YY0WxNNPPjCDfTrmxAarkDeHAqkK9h/IhZnDj/80/6IzDVGyzoPFksNWCKjxAEmPh7
F8ZqKU2NPLf0OJmgTgr5hw5Z6RaGf/GE/wBk+VadSAMfhtMkpUcm4MnhIDtzmNBr/hd/0B9d/Q36
zMDRz3IlKZAj/bd2Tl68MNW/gIv/0bXfwEORpk+9qSt6DLD9yNUczs3SkZ+8+BuEmUsSN4wLo0f0
oA8YpDZ5laDz+M9f8x/d+Rt4aLWtjaOyYcc6jizO9LXKE4XT/+eufvnU34Dj0tYQoIPwXNK9hzav
k3CZ3Mf3//zif7BCY/L7i7M56b3ZNJaL4jL9YdFT8kXMQgpfIZH2JjcL0NgnkJyo+Sl7PvJWpkiJ
2nNottAj7FDpx2ya7b1O0F7953/Qr8H1H+zutyJFXAeCtlCdHXshFTrQcggewxX89xoSx14yZN74
ypAlA7tqjP6g9+ZDgpVGT5VtFoVapVYHuDP+2FYC6+bccaRk/3V3//59+4/6dXz8r/uwf/tP/Pv7
aFDs18q9+effPow9/v/Py+/8/5/5/W/87ep1vP/av9q3P/S738F1//655Vf39Xf/OCAvd+Hd8jqH
p1e7dO7X6+MOLz/5v/3mn15/vcqHYF7/+uevP/pmKFH0zM139+e/f+v8469/TuiFdv3vv/2Av3/3
8hf89c//Z/ih5q9/epy//ni16n/+5utX6/76Z5H9hTNgiKikaQJq/IUz4l8v3+EM30EfgiWSiAw/
hB08wPpU4aPlXxLGBAcSC8LfHLvPjsuv30j/grYNSn5cjmUpYuH/u73fvaH/fmN/Gpb+cWwGZ3HV
S7D+7wXFs8tHoFWeSAkzZ0Hf8p0ZRPvWBDIEx3mpvX2vFiE+7DwaTElHyR5gJyZsGSWov4Z4G49g
X2hwgOGL9pvH9vf7+u19XIZPb+4Et4GCR2LEQDJGxK93+puIAEsX1kRBpocR+nwvrQgL2iWyOq81
XG9gwiZvIW+T79hTfYWOnxmXk+hkdEj0Rk/4UnOMkna8GlvVf6EKaLlBocOIeVTTwAWhoo+xA4IE
Vr9pCbj+cq90g9Gynmh7yFAZvVMW+XQDvZizQLFeRFO0o1lad9UhmltfEsrDYagxJ0dG5j8laIii
RGJ0wFwgyBuGwVnIZQo4q8bPhxyInOQ8V2z7OgL7Uiw6u0fFEJ1AtqFdvltHvgKx3d1RAsZwDuI2
dHWhZXezMVc0aL19I8TtP5J2ph8kFsEVELHrtWu9fWwAKNC5Vm2DIZMfv4H2Yc8LW+cHlbnkOh6T
tGRAhx6ZzNwj+sFVmQ1pOMSaXHejOSFNAN4IU+tnIJW6CZ0h0EQyRKtPyVJJgDfj9FnBQeK4IMM+
64FU+b6S9HZSdXTEj8RXG69YOXo1n2wWy9v6/5J3ZkuyItt2/SFxjNaBVyAiiC4j+525X7DcHb3T
g8PXa0SV7j26ZZJJepbVMasy202ezAD3tdYccy7NWo6zdy9x12rPKrc1YlPkdIbAy5n02OmuXbp2
5044p8Kpk9Z+dRdnlyAd4C4T46vT6W3k540VuWmXvcCbOh/u5iUcWJS6FlRx3A7WxrfWPW7luga1
0JZrWpfF68Q6h2/LgjZY0F7Gpm3rQd+Y+a5jD2tobf38q6sLbyfqUj7ZrCXhjhTadGXrRn/KU8uO
DMalANpXO+tiT2pnr8u485QGSKq7N1auZ2ugl6kRbjrT9FqaTG+ZtLul9A8lybnBMIh7O79Wsci0
SCZbGQ60boMYHomNEUGV0fO4E85loNg8tmaCaogPA5Mpy/EjL9gvIoexYVCUjuEqNe2Hu3Vq582S
HWEO6N89ag9VT8NhdodoW3Tj+3+JXymdxIHhW/ptQ35nT6kxr9fUXpDBs8Z40tFsHqd6Vje91baw
Y5wULRumBsZoN3g4RPN62g5tOo5PVeWIQ1XZ25M9Jijnm5aHtcWYdKYPeizXXN6oe9OdZebODnRF
HKGR7dDJOoAQqZshW0fbuMHD+l5Jy+LTdDsAxhIA1q//WPQyO2Px61coaOZutMARfwcJUlkn4llh
4FLARMfGGb2DlKm5s+TqEwxXu2lYa76/61PdCxUYWtSnVh73SFy7Ml11RXJig1IH+evsJwusiSNC
8K4NpOlorUIDl/VaxwV34WnN3CSYLCVuUIrW86yoCuTwoNptO/hz41y9xl4PRSXniCm6cU297OZz
yOxMz77pUx1WGYhbqsvpPBtW/nNt+uxPnaop9CuKeoPkrMsKOHHbXKv7SDn1Y9AHceqJF7/KxR6P
m5ydvUaux23g/3bYob4+pzAJX2br5SdRjE48LtP0s7er7pmT2UNLbfrvZjcVzNiKhCmewKXaMv6S
zNpTUR492wmpdfq7gjlN68HZunqJ4IqYog9tN+3ZWr3sncH32gfy/BcZYbUqrhPjuyjrtWJfpMwT
ssZDL2dZdBYa6MBjZHa6hclrmi32sFiLiOY8eYc9Sm422PgGdeQ3ZgABxefs0/9Aqxne9AQxIKrA
1If+fejaLSyNJL2xm6M+cfnN18SCeeFMWw/DOsnTstbZZ2vIeQ69tOe9zmbUGWX5JRlRi0xDEwzD
umRt6ZzuOxPsndX6v1dI8/TYStntlmmUJw8k7cNmE3C8FQ1o5kwwELqvKw4SRWcDFffbP3lTru0u
2frxjzt4Q5DM2/hRY2OIWSZ4k5n2rVPLEEtNNwDywbM9qsYtaCvDr++ax8j7v9mfSBeCZRpZ2nwQ
E1LBZK58AX1xj8mCCrvWtTxmZrJU0d+GA5r66hE4fDYOdQJLchTFOvuXtga0/A2GN0zPRlHbL+RS
WGo/tlr7NfAqfCWJKd+bKtOueAxkFiQNF/TO6Plqtb+RG1IAmXNJJfZ7Os8fZe1r59VzVHLW2W0b
CigQETojY8e/vQsEw1knJtHW898GBoLzmFPnq/hjrKbzzFVIFuDiFlXxNA5DcwSRyV8mer2XzMCX
EaH+ms7DXPvdn7QGfdlluSu+yU5ZP6Ek1uPIDOqwsnL0LNbZ++3XLoHliakXseYZziUpbHw9Wrd0
LwQciqtU/FRJPnEPs9HZgT1onXguE9F91rbonlncJV/WuutifEzzPh1Sej+kSU8ECNrqam2JFdtO
nu7cgdrlL6/5OC/u+5DplXcbCIkqTnP5rDEBOkNEDoENc7/TyyZpw4LcCv1bw3q0z8UpJgykbc4A
pq5YlL7Lm8n5LhDj5K1AOGl2Yy63IhhASHeVofVDwKYO48mQVsNxq6VP2eIsH1XfGm+WtlgvzWjU
J98gO8q0VHNLKi19k8KHdcJNyhR25q+g1loKtJt+jiqVLwD95ng2XJsZve9pyGwETxskxYRy2RoE
GmXuEa60u06ezG+9MmQRlUWH1CFkqR7WsjbH3QZuYQXbfYTGjpRGxYWxTNGSpsdkaNSPzNWWqOnX
7Ftq1sPVtdIaciEzQlnbVjjzAw5xr8RmDbCj+cpDsFDbbWIjU9R3/kBQA+QNtZh3UAp+nEO1rFE6
SGAf1blNpGZjVUJ3jt0BbuU0NEV2opzBUGSiZ9GKJOIVoDwDxWy53w9+4RqPLOjYYNeJTCq3Rgxs
lLX6Z/7U3inW/ADyxIaV2pGRYFv2mS186y5r1rSO5NAPH20itiApnBVIyyTsCraW68iC8e4cLWgM
lxzKZktv87Y6+9HmGbWz3rsIbANBnvawyHbQ2r8z/ah6+cF4/ItUpKCwCIR2P/p5scyQES6KHpz9
D+rLZj8aTsvcUq3zNy1bu8cKnmtnlUlVRhVbCh/uqs52WBn+43gu/QMhBVB1pV/dlzbZcZGm4uCw
miGiSSOhB1A7Cz2U7cCY6nanEt1YHwelm82paTYHuqDGX+5kWh/MVlWc89IvX+cpyQITHYW9O2y/
KTCrPM4ZO393Rdusv2ezRmBNm6X45o1+EknNgdIBHHetsEB4aMMFnqDeNbVnQozLQS+SgLUjXLV/
2YAY/+ZhkbcL/oakTmNHLfYRp1W7F10vLxIV+6FY3M6kvi3fVZNZ5mlOZy0qFsNNWMCedFVceIW8
eKaHMGFsTsy3vIR3tjBmi5XxYxpS69FezIG6elj1F06bDD6W5fZtlCnyrtiqu6vnZD6V7LvpS29v
QbLuKHpYXJLI9LI4DjTNVGlf25Lc9/qKUTt5RfHF9gUfytDNtGDdzOr3JN30VnIqcvuPNW4eJrUA
T2uyRqWtyysbgajetFl/b0EyH7ngujMLNOyz72vITja+JBuZBadFk/xxgM53pWG5N+XkJgW0O8FD
LcDuuB20d01snCGrShIV+q3UD2VbDzu3crrnbRF2EqjRtB76RPfD3N/Ul4NP5mnlFD+YqaYzGMeE
URuyCqdq+N3fdWgImC5y74uVhMMOJM3ZjMgxloekpyjIF+ts8QntirV0QWH0BqOda+8EFw2aelfs
6jxxr3hmsndj6h860P09wuhwqBgfK77rbbz0TlqeYdJdDhKzmmKQPQq3NDOPuu2sd0UUEqeS56qp
3oRZ/9YS7zbOXgNklZVhp0p9n2dyOWq5x81ELHPjukMgjHG7VV1X/2QB6HRrqL6QUJOUrSdlFjPA
W06u8aMkWWaEfNuXVsnAUK2xpdkZvdS2RGu21nuDCwmIPl2zIsTREEO2rWFiEruSHVXunLJVwFCn
53LLxTV1U+MsPSjDssAjGW6t0943N0F7q/qXx34FIxjm5ZWYUYpomTah8NaWNUplHjHTKp/SlYo2
6VP77I2T/WQbtXea9XbejUaB10Tz8O/xtp+n9W6GsZreoASV+v0xdEJ35dHQVF9FrCaMEwjIA6jn
CWfAAT4yMrzsgNDKM72Gi3SqiKojPyHZF2yNLNS5Nx09WgV3U7A1zXQ03NrYF1qBGm87qDt12dtE
16nYzru406khNnv2QscUCG7sKz4mW835N8981EnbaGFWr5Cu4IfnLO38D91p7QNUt/ENuNkO2YNZ
nVq1TZGhGem10hw8Q4s/x9tcmN/R9a1vwt3aZyrg4jiS0vFeyqQ5spVPezbmyXkut67krHSgW23Z
Z5d+LLJrxr6MnU7R9tMgePboGa1VBPbY/LJYzBVo9nhRXXEmB8KJVj35oSvuPmsNNyJUwynXXhGN
kCrXWQTt4g+xtlbuUZmTf13E4r/gNhgjickmbAwK2NmV1g6O3YN8bS96xgIKI28ioWNXsmy6SL1+
LmZVUifI/osxnB3V+GRCDAHacbDMGN5AO+lWXu8kacIY38bh5PrlswMu4XhSBKbdPzTmt05X1wn8
nfiZvTmKzzJbbnLRjRhL3AsQ3D7V4FbqPk5K434tiZQJLAgNpeG3PvU/6trHZJp/9Qw2wqpnaU7q
SQQrNdWxj8sq4JqRFzJRTZ7jvjn6Xnn2nKzGG2NvZ9ETo+w6XhXXpXew17IJS9iQONHl3aRVpQe2
z7zoFnNfb5VzyBJoFW0AESUPRyOOukNzxaCz/GmZRQNC4KLU54sUUTFxRmI0i7OmsCJnrPQDzsNk
35RuclYVcChI4BD7+EGTQHaFe8lTltp4yo02FOAj8Z7VIXePxpSdWTgZ4zsn1sLInbe2dceLzhLm
t7ywccH08+iTYUJQ4qGsa0a9ZbJ6U+gVk7Pfhrx91xa/ijyLFmUTzJnrzW/PYD3zC1T+Y+nocCEO
vx9eAgn0NNbdb6lw8dXlqtVB6ukgDezR1lsv6hj77hkxtcfCw7LUWaqM2Fm7XjcTSFW4pv7T4vsD
vJ/KMXTR7T4mzeuOM0DQo5qks09wlqH/+cHAtrTd3Cl9L+YxnKxE58xrPiyh6c8zlgk6HOWvT7WO
B5WUKdHvRwdZfWHdTbAsOj96dH0AkMXfLRouvACN4VKj3kWiFcvFJX35MlvNNc0JqNmM33gkM+bf
7sn3X5Reot5YjwSYH+sx/7Gk0+817YUV6G1DIW52qgockXbxYPTNnmtTIwCsUlFhavqu0erlYSpn
3F2ulsfcXDGwb2y4A+LMHC26h7nRr2PPa3ih3HrHbftbLOaDJh3/MLhb7GjG2cGCGVBr7bt5/pzM
Je1DgoLLY8d18NIb+vpgJdnnZJnwxI32buW+c6sLNX6RUNnG/HogS8oWlwbiaHV0Y5Qo2ovyrWtj
kapYKD10m1ZcOhOHYeGYHxzgKYhC57xbVm1EGvBZ5K3Ge+0K3BDC68MNPyY1NGR3GYIq/J70wQxm
rubAd/H8lCxVDdZa/Cld/MhZfqxLFWZL/dph9wlKCJu8m9HmuMD3LF/FKGUdKrl+aK1n8/Zo5S5f
EoC6CtbshSZ72Fd2fi0SjNu+MT4ufUWpB0/2mA3WW4F+HrrKAgSrdOpFAsP3rmFOEP35XhHBGtq5
WTHKM+wHpQjd9qpZRmVfJJEjxQ4z74747KYPHWM+2eVF8/Vzu+Q5r6N8ARUPplmeEn/w43yYHsTm
qz4apsmPpsaoX9OuUR++HE9wgsSz0XAEdati0VXqQNChKXeVWptjDo621wgGOGpGZsblYMyP3Tan
39PS6EPe0C9a/lerr8Ll0WwDWLBfLnOuV3iH5mhQ+h4zJkM7qeaLht8ukLgS9rpyvdg2q4LeZLql
NeOWaWrad8so8OwW65QGueZZO6PFAivHGZS/XduL6TIxo21IkNg28YJfMQ9Z3q2uzWYrZpmm6I5C
FFPUayqPpK9I3axl4JNJwgelp1hkk3znYofzg6618rfZUfYDz9mO/fYXVkQMF9jdLWgKnanXETuG
t+PPDhgkbO1o0inuGktfI76m+7PdEpbM+8uLnxQvtdlkB7dhwRlIX/muSSbfndM/TqB1QZHr+a6E
wAYb1QhL4p6nToacLTIbDKBqn4HU5mCjTlg31wa90Dp53NqyDbtl+XQaWO6VU/wo8tS+VrpZQrxk
GiPiqmy7gPEN1fKiLO/isiEC2o/MATdyCn4fbrM5yiSZi7wUv1xGXXBtK8ltolBPxZB2RlTe5+G+
7gIx4qcrTTP9hq+1vAwe5kppAQzshrxIoE2Tu7cyWVVxWKDJvmOfGw9jaZFvTKVJQVVOUW1zI+fE
wRRBTyaXxrmw4nHzHXdOL7NYz1g5tHfMb4B67d2qOmiG8eo7DttK4KJKcgKaurgQDZGe3aQ1YnaD
6EDCqeTplPWWBWoV7oNriRyoauhi/oi10818JMrAMt9zv3KOKFndnyFrKR0Te7gsPQ2T1Cz9yZRO
etNEYx26jHRjrB0UQGTlGcRZT9y8c1s7F30eo57izzJ8E+srU4qL3993etRmeiIs1nzl4Je3SVjZ
YU67UULKsHoTzMbqgDlqkhgqAtHhMbqWq8/dwtXuZsZs3cQkrFnN7MsTnBeQCUv5ZhredcJtyjBz
kY9F14jQUPbvxNetH7plNBlQp5X8Sqq8fqUM+Sx8B8Cz7J/MaXg1/XJmRycDrwkWikCYFhDMHc5K
6TyuDoMvT8g5Vtomv1ond2MPP2qIjqzv5gZCOGU8GKVruT3q06xCdAQSEVgmy9gMVyqvls2ATuC3
rclUafKiffBKC6Nbp1xWpY5v85rBFpk9C9chBDADYR00HfGwjWkOhzt0323SHwjwT9zlYDmT3YWT
bWVB69DYpMkrJnb/6Pn3cofcEuFNZwXszYGnitNqun9yyn8CSuoxKhlBcRJgmw3n6Z4wUWFiCoet
VNE0GvIituRxcrdHkQr/KcMBGbJvtd03o/lTZh4Po5NbV1VTG/fF3Y1IPM/X3aNBkon/3cetG4s2
w5bkeDZGI2I0IBBbDYmoKo74M4yYW5fW2DzlVE1vRWU4D4BqXYx7Lj1NytNiGjtoor56GnOhBQph
au9248WgUB+8cSaAn6nkbja34Uj6qPYwr+puObFfM1JqI1nWyCs9jFCmiTmaQBRXSTAJbs1wNKyb
tnX6xXD1LfAS0lUNL6UpLkufyZAoz6NUz4bZ83L20sX6uRgnM/FfIDbscybli85LFOjOck+o8HeQ
4K9NVTys+B/CTGDKUnhwjGArDdcNyS/RYyH7cW9S4XAWMhq1d6M/cyYvbkmKBgs5M6YAvc3DvJBw
YggOZMPvcZb4mvjVOC5TS+wPIYXFxsfrDMeGxzBa72EltNRlu4eXLa5jNiSP/bZtp5UM1avnj1VY
tsWbk4onMRT+fsKbLArjXIGveky7D7YzUAqu1pNPXXTO8SqRch/ldf++TsWHMzcMWvGchF3jgig/
JcOcRRsCy0vvWHVoak31bOlNf+6GBs49Fdm7gz0zLvG5RuQHNNhGPTxChht1WWvvWIytHeoR3+X0
pNCarumSFaeCd+2rVkmehJXbUnaPGFbxP/EGpNK5GJOJLtbZNW7Xdjyl4I2RMvqjIThPA9vBS4Et
lmowp1oICnflOqmrBNjUsXVGjoJda13t8zF6tfmud5l9L4AgBT1VyR+E/4y8PzDsF/7S4oQt6W30
GFFVmrlvON+u/loVbqhhHv+5sZ5sx324POXLNh/TVpZZ4MP9f5DFqL3S9xMAw6P8rmQ1h4oZexaV
UzbcOBeGju/arr4L5c8/4fXo6xga+DOiUFk6+BKlk5dMb+3p3RmH/DZritd4LfkQ0JiW7CEBRV6D
bcwpM6vW8l8rQwzHTDUbx1Wvz5+L7jpvE7Hy2Dhd5lQydRrJJNO28d01ZnVLARlBnCrl4yFO77nF
LnB4G9qmm79N1dIfkaMo4+Rk5ns6ajt2SVHcAtG0GHVdbPNY/Jb5o3Dlz6zGqTGu40/aco3Ynxyj
qt6ZPysKPgS3jYFVoBWMRIZJ986zOeacFA3/RDg2husqmoySUnc+SH7gXeKX9eGqWWL4gSUyh2tl
28i+nWbnV0FBvodNF0cvScUVlVU9TD1MtsMavWMvlnHf5pXzNAmbEy1zUx6UzuXTmzJhxZqW9OhP
mJnIXPDvky4ZUCrOv/npsC5lZIuKaxR5rKv+WSgbGRLPNPtrbEcLi6SorqMm1AuTtWxPJhSW6NnX
STnt6jHAwSRyXr9iTiOXaIPINRLnR4OLft7Zld6dBuKD3szRNyKTqWyM1826VYtWDqGbeAtStGmF
VieoKm02NWLT4eJT+R5F8cDyVSKCNu9LZhhuPaw+jzz4xDpr/nRszMa86XP25bN2RwY5NS2A4/xp
k+4RDnba7Up7e8S9BuzV1j68LEhigvktFGO9Rd360eZkeutdYJnNA4pgw5/vjLe07aJ5LXsMpt72
jttEj0hM6ndTMS2RUoYbJFV/guKl63C3PqYLzPaDpSXPU4spwJ3Ed5WM2borpNeBIc79tfAYfhH1
6T7bZUKuVgHeS4h1tu2zrEieFrnk+1Fp6pN1i7+J1HLC0k/sm+z7+p2dNJyIJRkRru/nTxO2nMNM
xE4d9n5HSBMqithIVEz8c85Ykq6jLIrXbNLHZ9dE8NmZrG+cw9rU87Pjr5QEqWcbUWpxJzulGyab
pV7UWhoxGVPzwVY+DRoIKgoi4RIN0qk1u7v7Te3SeOxcv4aVBwgIoN70dzW1faCmYWWaMld3YdaI
CgK5dticX+nMqFJGuz94TWtdi6UgE3Ot8mgtze/ob8mZQqS4VFSTYd3R0Kx5Lc4YT3BXFUW1W9H+
rlWROd9cbdsRfLLsi9xa42Ec3bhs2/7cbka+hwfXnzMoRkK6uAeDsV3IkqJq6Q6jXJKXbFbigXEl
30qBKOh20j4jTRuP/FTB+IW9tlcjmZwQdU2qAFzYBKNo2UBE9of7Z10lS6NQX+gBUd3UidyUnMiG
jaeHWeprutnTzZraRy3dIsk079qR9HHERlT4Ad7C5pwS2KUHnY6ZN0JWIU+qJfDV35o/3SJYuLYI
JBXit6ZfFejAftSqJLbSiq/XDK15MCgUzkDSccXiya+SCAdjR5Tj4gapI/N3Pt/vq9mxWJkhAlcX
unqA8ZW2TSWRKIYPndCOQ2bnGAsxrjl9YDOmY7iDfqdHtm3hytisSeyWUiAp9sZ8JuFLhF4np89x
tdbHYuV+bDu3CEYQdxJNm7MrnWEIWuFw2aCZU/93a5Y/jxDfjIsLrHpWygk9NvojWgPEPM9vjYnN
qJzyF+vV8tfB791fKHD+xZmMUz4VVhvQb+P398yll5yFRoX5T2s+NATZW2N0/T3WxeCpMLRIL632
++KTJxFgWsOCrnALn7kLsp/MQOk8zM66pSZGTMAgLKOerG8I/wr/pCTNYVC2fk5rAHIiKRCYNKcD
3dI+E9yG331sQSIUzayfmT5z28yFU/xMGFbSJmCxPFiLUcQwO/hSm6n7xmDoM8+2H4ti23oxif7N
MjGg5J0DTs91mn/gLt2+jSuZWZxC+hovPXU6vcZAN6VX0AH0LFHq5zPxe0o+eWu9hYn0xI2tu+7O
bKslxuo3byGTvpHg17Sx2XGFLSddcIWy0GoZybkB3PyrwSkZS+w3t39C8TKCPm8MphjpoGJPI/Zk
yzTvoHXKfLovh7q4GsrryHn0DOShhRuT/oiiXT1WTmrH5sgGmGyU1ltXjiWsA9QKao8OzKHZ82GY
7vNxreyNh8JcmDvpfe0heGHLWvoyanIHmMhNuQlyuTJon3MiA42FQCPcMhed6LZwlCaQj9ywbmHw
c4tIdALrvzv8KYycwKkm6SaQfHCGvqy2nWkZry6z/TDXDfxenKY79N36olXmozPLbX8PWAhMZ3Mf
sK2Ql5gr9WOuyKEOBm/xnmzE754WafMf9NyonxFp/RdTs9UjArb4YXqZPGurQFeT+nwqenKcwjSt
cCA0mfdis/XqCBT/MTCHvmcF9tvVylW5h6TpD1yl8C4YwG6TWT8D75UXRc0VF3hmInvx3ru6z4hr
63JKSU8Vbx28zuNCio8K9Mku3lW3oRFo3gbclM+EhFnbFdu/DGWZzHebhXscsvKQ1Ut2cmoCsbCV
eqfCcR7apCSiz6q9WDarPDLLmMMtb2veCLWcsCdsT1vRM9/sXbcmZnDVPxLiPa+8EtY3TVjPXp+8
+apdHrM+lZGb0MWV/ZBGpHBlUa2KpwydMIeGim3P5f3x/fW8Fi2T10rJh7KZ+1D25dGinH2S2Ovi
hSbq4q812VY0T9a1df0mZu730xvaV1tfz2mKYORpzkl2NaKNznL7uEiU/pFhN9oPVe0fHNuu34zJ
5eAa0aSPspAnoxHTmZkATIjtqCg3zO69wj5+9eBlWdpmYsHoEaqJoxNEAcErdWGHK3KfdmkRm1oO
1tGQtFTrHcbKcmQAoKbV1IM2RZfNbL164pgmGwRJXu24OZo9mqR+nsz5d9sbzHqGFGo1XxjtVUiR
D5xbTgj/tZ7gCfAh+ql6ncdUPXgyWWJ/8rZnEMtqt+UJIynfkM8dxcUzeejmLs3q9nOt5oIkjknN
Z1XrBMn4hvdHKCt5n4cSo+tGU8pEOulK3vyNSCkWX3yTebVGbd4wNcgaLSqlWe4cDGnHgti0Y525
5pORi/zBkgOD8o3tvNh9rfGR2UD2s1rQk4O8lVipGUSCOxjivIrB/jDKRXGebQNTQ+Wcp21l3cla
qgpuK0dPcGz/Z5f4Nj5PI/3JkJAaoriPoqyueMppwmsagck5eePHfRT0TU+gsgKSCMfPLRHmO9ON
/BM+bbsx27B2qZ9o5OP6xe9Ms43nlfCj45I01WtSJNkOWYD2nuSnwPJb98XRDf2QTZ0TkjaZPc8p
8nnY2lN1Gtn3/Qc39fwiuV4RZtbk1vmd48BOVHVcj4W904gwPE21Ze3ZWomqMHhSf6yqdflkzCKu
SFbVzmsIGOGRt4cbioH9Uk804Fqzli9lo/0ohp5Y9Z77k0ChE6mdA3KO09/SThlfDpkkOzpnCAzZ
jDp3Yq4BBpFuMnZEUA4l1kHGM/MzzjcKQHOZ+qhiU8l+6xlktIW/hK1vGn/MwkvOEDrkY+Pc7Olr
kyl7FBQHWI9Vcqob3sOl79jGrmj1aZ2ZFqBGmc9LMyTPhe83uxQQ4FUm+Qu3KzWPQy/N9YvzsXZd
tLSsPA9lpd7Ekm3xOuIlsLUK2tqkrI2okctvftGuDKO1JPuYbaI3A5aZL4wdmG/j2EIX0ois3bu6
ZZ8HU2xfss3FwctQ74axJu2SljPEasp1hdb3wjSM1DHHvdN999l7q0/DH+CaNWRnsfOy4ag8zutU
4VNbB2zUuX9qy0Uw00CJ4VXtgtEGkCel02WusAqNoEzG5jyWKNi1esAI8FRvxggZN877yU+8PTQZ
NWeaaweJdPMyzEQXpfPgxLpNSGk4EJPo0FSu3p+NXCVuik2+ldDk1IKDtc8rQc4C+zYf+mLqb3Yy
lKcMCyktPKBgULq2x4/c+M2Bo11nNqWNO0FQpxY4VcUZ9N9gxYriHrmzz+bFMcLKa347XZPslJNU
n9W4pkgoIMNvokL/YDnF/DjLpCBQZpgfcIXrkEgSGLacySTL7EL+HZP8/zMI7/r3HWH/exL+8lUO
2dev5ffv9r9g8H//ub85eNf+l2FidvNdgTZrYTn7Tw7e/BfBfrrQbc/x2DV8X8LxHxy88S9Xd8Dd
2WZnMVK8r0X5HyS89y9TGIbJr/ima9ri/w2F/ysh/98ovPBh6l0GZTrYvelR3PzDNeL8Z8i1WEC4
6uHgL4Q1pnX/nTnJPfNSj0rBGKXoJ1YdpVPouPp7lgj90gzzB/GBn7RqD6Lf1oPKZky73fhYpJKA
NmHkUTNpOWLIYIe9U32M3r2W88sPLhNsiuvJ8gUx0NMd0EHPI/zj/5DB/l9tYX99c55lGWSAexZ+
gn8uIvl37riqi8hgJFEmf6hP/i/ix//5lWw+SYccVN/gf7b9z9XOqdYb7nyPISfQBtDqvqNXu6xj
ExkAp//TI/a/cA38tcrj3x8Z7gVbuLZx/xd7hGxh/sOjtIr/WKoLUPWTWAg3RDaiD5AYQ4neTGby
jSsxl4yMYLTdGaZOFzYjBDDzQ4L0H29Te7Bz95Pf9SplfdUcc4scp/9IteXcCPfLzCLbaUVEDM6P
XrFCrGWqECjZEVeU9ljU82WfWPqp/u/kncly5EaWtV+lHqCRBsABh2PTiwjEwOAUnIcNjMlMYp5n
PH1/kFRKklJlWpnV4v+7N2WyosQAEYD79XvP+Y7omhPRhM267alrLERPsISnF9nPT1UVPQsQY6s0
0e31z++B8dk3wR9PK1ZH7oGC1jY+E+URrf0R5UdY8Q48z8rIyFwuQ9pVhb9zi8cyky8axi2OTBzi
mAdZffYt1cLvP7+Q3z7o45fhGIYwhaMjjVLK+ORA/JQRx2Bh4tjnPKqgqWmkpq8wwU8tDnsoz0/r
br4t0BgxTHd2NOxTVK3mlejqG5Bk3mhXOytwXuY4eM4mY/vrqDnzs+/FkVKxCGG91x2MOZ/zVX6E
p+v6DHuuLQ6OPtySv31TafK8bDk+d8VJ7CKgGHFU0YjRQuDTFGCrkBZcDUWjJ9HHocdPEl5IO17e
DiWElZ/f1L98u1yni3RASYtXyWal+2hl+5EX2kfpTaniajtkgImqYbwc7O608YlWyOKBekjCYIXt
+dxXM9JZumm0FH5+MR/tdA7+pA/Xoj4ZP/U/Izp9BMkjDpvENRgREdWJ9qH55cf9tia9f6CWz5M6
TxNoEoU849MDhUP7j0RWnDALULCky9DS2M0GngrrxghShLFTVng9NDRgWE50lCEyTz18diYBzin2
m00wZOkqd/PHpf8UNCRGxM3tTHf3FNM+cjvfHbe+HV25md55LQ0lTcxnqm3Qa0p/pAeXMyCj6Yco
19igxTjFwxSvUUtkG8uqztJKC7b+hJeidDkItIqZdGFX88rOMOlAIxUb0quOP/8iPi6xv38R0tSl
ZK9CF/zZDgsc912g6WwFtLsuxlh5SfaL9L2/eU0cXQo2RTqW7L+fc+Z+BGiL2KH7mXzPbSgyFgg1
GAkCh30TPsTjcGNV8wnItGsxmU++gtdLFMFzDZOJLta3wJlXuZ7sAYTdtm19Phbp7uc3xPrro/nx
Oqkf3ttJf8Qo+7NcLBhoHZ14rcfZo88GvXIY03thCRU/1EJG1eCCoHhRH5fYNGb6rcUwaxfUptpm
HCuxF3HUn9dNnSGqGZK9nSt/F1TSOoBFTe67gUlHWbUX0Hth1JQdfbqWUb9mMpLLXT4YWcDkwYUD
zVlZGIYGbEJahdwMpXeHK6F4GNv4xV+MmLQEpmckTvfmrKQ3UzmQk9BTq/tBvfW7KjjNZTFvkzC9
//k9++tDRLVjW4uT0OB/7U9vc9K6lBuCtNDA9i/aAs1YC49CODu/NLc//yjj7z6LmgNvn0mSmP2Z
GfAj+JQxqjh03fxA70SclvUU3IcDTgH0oojZp/MmeAsc5MIF/ElYPGywQ8ssZ54MyZeCLsNwp19c
3FIjfFxlHCFs3lqX1cZwPpd9adwDwEIw5sVZepiCrQN7Ya7ufnEHlnX606coHd697vAZhrn4Od8/
oD/yt2MDWDAxC/uJOZzn28CqohCZPEaQISjLl7Sy7+JhurKRR8Q6GG7HIiuxmnEtV3WUY3gYj3id
wrNUgxhV+9Dafn6pf3elQEvZFHks8Nd82nHamKwhJM4+sWAFqwrpZj2KJByVELV1eql4qrfgME6V
2f5if6GS/3iPHEUVo6QEFc0M8fNi8yMHNiude39wWGJQv7oFVgnzmgPskiX2i480/u4zpWGa0nLZ
YWHdf/xe3D/jW93K32UmR18zKsdDiT4KggGlfda9gu24Y5z7EkfyxZzNcO1rX7ESB+tQK4oLNeZv
sSNOjMJZR/Htz7+M34LwPjw3Ct2FcilwEf9g1V2u/50r9kcOKmFKC2hz59v+1o95XTgq021M5vQU
NAouQPMttsNDN8vnpqixEkn/qa5mULjSujaH/i0Ow22GojHoi4ohe3QcZLIrQ6azdhHBjileIU0q
XJrBtocIyeg/gaNmDYcYjMQqGxtvGrtqm9jN9ynTb7vJeqJP7sHu2fb1gtTyh00v0DL8/A44yy7/
6Q5Iji0IN23eHVo0H+/Aj6DWpnduzcy+mlWxd3JUWGU5pmvSIetNA7q5xKu7Nnz+n4IRHE7UZtMG
zXVbD9cW7YK1rgH2iRKLLkjNBu/oK5Xpj04FuSdzm4FxXH0WMPgi04bFuwLwUjM7WjlZgjqL8NbI
918Uk266reqmF+4T0avnRiC8JDVP6pjdIJ6weOp0bwA3f4M8ViIHqS7qLvJ6LtTQs0swmmdjHJ8l
aWKTHmO/9G3rwTUOGFgOu7aFf6Qlu4ozyGZEKrHCKDKjVxfmhj432k68aUhCglWbjd5kJOM2tJo1
fkZtxY8Opl2+opm6LFLcsy5Rbd9/8VX85ZsQlMu8mhztaD19Xhl+RBFjjakQijr7vthX0ND+mZr0
f7mBIk2DouVfN1BOX+ocfkHy8qF98vt/9Uf7RH2xl/VRZ6MyBWcC3oQ/MALWF1IQOAMKQ9dx8S+N
lX+2T9QXyybGmc4KF+A4gh/90T4xjC+2syzw/ASzOjqWf4ck8HnbgB5AjW5LAUyAo5X6tG3IxtZK
MB7txqYLOOXTJavJm6FYHJh0aH571RfJW4Xm5hfrA4P8T48lJzlOvbahdOIk+FvMjwtEENpilnPa
baTv1t8xGOsc0yzmr4PdG8GJiW0zhvfEEruiZzxfjw3rxknah/NFZDTlm8XQfiTrCpsjsmWlHgs1
FbgGLZPohAhmlxcEthuDH5zUEeEdbekOVcRW2L65DpnV7mbZOwctaPGNN6RjkJHll6t0ChB3y/py
CDDRSSFeY53JT4ehiawGY91qi26tyvEP0GtuAzTBmqmfEqrAYW6s42vB0KBfjWMvyMzRDICZRnLh
NDB+Vt0YDxdAiW8DXL244Kax2Y0g6a4mu9ggxTqLRdycJyW3Am+1waxz1OllM6DmPx6miEFjUfWv
6Nmtu5aKolk3nRFcRo5bn9k5DkIjmvyViecmIytxooUFTh1NWxzcR4PhXku7H/HShqUHEmtnDGZ3
BV7b8nADho/gSUWwxrSikWSSQK8VvaYuB61p3/zRdMnownsJfjRu3W8oCRpzMw2sYEHt6nejPjf8
IxZL6aHSDq8bqN2c3zA/gCUzgxgMbjINO6Wr8JRe43A62BoEOYvxi9BQMI5RhlU7oqbamMlkHysN
BQaFvX4WNfi0u3LMj2PAOY7RLmPX1Vw5LQzUDEh/iY1xV1jdeIYjoN2GGtKYuEbOFkftfIoOuryr
cBUDly0bDSmOsIt7E3MgLP6lN+0kdO52nerd4hiYAPXpLCcULOnUtb7XM4TDf1K6LbKAztpz7o3K
dRHq8z3od3KBcW8HbQutyQBxXaZquuTfGyoGGbnx3dYcW98EyMI3vd26x1AODVIeEhhwz9SSBoZB
KETX9JZkEF/E/S7odTLiGt0UOyt0YIcVKIzv7Qn99WaOUUx7kpb4yh9bpeDtNnG8KpxyOvGzBg9X
gLjkvOvC9rnKTR6kpNIfA70Iv/utU75yZ6LrBnnepZPYKIurKZ3yDYqy8BE2WIS9sosCpim5sFYc
YfujNMGKYJwNjT1neqzUzFOs56G0moOcYzmufatP/VXEmC73QmEg615Mr/gsphuzmPEsGwrvzGCY
7UyZvuA/IQyOrxz50a7FwVDSSDLcZ5TP4UMdcfc2lqqLczdNE0jDqGru+xahMv54Y4RlF40vWdE2
d8DDU3Nl5rV8qSIMtavS0RLPMGppr2Ua1xj0jcr4rjWRcUNmRXbf24iJmBw6jwBUzZ7xVEpulTkI
/TaAq89Q2+gT4Lh0B24KWVkbXO5yWDEZLTO8qjJpvEYwI8M3pwj9kXWKmkeOmEgCGkjzJtRNtTNo
HhOehpwRJ7vS96D0+n4XJmF9jd6xIoYj0NPTGSGDsSomn1UEuSA6hQzN1+VE5mtGyKlK7pHKQlXS
dUTxYDOd4lXXa2IPJJLK/VwtqEFDQ8bISmg6Jx0MM2yAZCjxxmPgPGqEEx3N1sF8U1OZ4anDKnUV
FUrc85XaK+wbTLulKuXGt2R9EyB+8yzqxY0t7OwqNfDGzmWDUKSUY/XIeY5RJvrmCf2gJZ9ZzPlG
FbEzGF8cI7fXlgL0sMakESdwJEtghZrCg7ziJUdA0o5cqYYuExHBRA9exS65KX3OstCT3VR4iTb3
F0Mrh/sUETuTMSuNF5e/a5Z73XTNJ/wQPR2gzrbLjW5oeMJAisfn5JJ2R2B85Z2aRhvwot87auMP
ufU4ZHP5rQpmjH1Z2LGkR7rLsLulqzOvyzScbZReHGFPDF/DJsoxM7lA666Hx0JHcbqxaMsfCtTK
4a5JReseJnisaC07xofnKAsj8puqWHsZEMX46ynwycPOzdzfNnkDpWNoHGtrMfdNPVD2RAqi4tKs
NQ8OxvEKci5gZOw+RFUNuutVfgEnUU42EwYc9zYdulp1Z3WDlVSRs3VwKUjXpan8c56k+tnpNeMc
YYlz36FbOPRZn5zOMcBQ9jm5oEwmdtAk76YHYjhZ9AIQxRdWC5d/kyWs1MhlqHQJduEoImzL+VZg
ELkZF1plZOlYuodST0peOad+m7o+vMLBhOwsyuN20+vucKGywdjyh/awJ4vsIS+C+hAkqsB/jBwU
cUEaoGzI59PMzPW1BkDl1OHV2wiu/GWG798NITQPhkeoVYG4fEUvlF5YftcMGxitOPkSAf1ybZbM
afY+rJBhcQn5L3owOdWqk20ynRWSOSNz4z580MWo80UvYSFrNY6MRtHfkdbih9OjmIW8Zfktj2Nt
yl0AbfEJXoNxJs0AwzS03/QJEL1LLYyLS3JQlozO+9iBv2DirMFRhlif1xAC6fPQ2e3RcrT+wh99
86g7jf1dTOTKKD+aEVF34tWVmm+tW11iJ6JZZsJKLxnm4sZc1Wlbf5ujnog7u2ocG2YAMPTlSzOv
IqvqborC6E46vCbpGe4t58mG+P02Jz7YECOseoCuaUJYTBeHRKutWmIYcXiPVl8Rv+irx8ko5Qu7
S3TF7C0cWbbKzBgxupKE5BVtqTF7r+iuXRLVVlRrq8fBc5KiVqMpKjCqNqgTvFGkDS8B0pSx0TBm
w1+8KPrioV/0OXntj14YG6TMZA28awoDJtldqzno4kJL3shZ4HupJpvoqcy34m0ZjlrpZdwJI/Mn
WtvgUnFgm+q1MltxmodScZxyDJwF2AKafQXZ/KyzDJi6fnWXjML6qhLTTfeOzmO2cc2GvAfDpEhY
WZ3TvqEbiKtV1TEg2liRra5xygf+tusFrCGF4aHBmd7FvJ2iQ20xDKLmoekJTyUiMUabrTpkdKfo
a4ktQrlJS97Icwqh1GLT19n26lQHr6JmxXbJBm+81YnvF6zTafAY1TnCM62zxktYVeCp9IngMOBV
QUbcimOIs4S50yGqIu2rH9VwjyMbrSHNfqWvS5LFmC316EORSGnPAS4ZuRbNFL+Mg2AVcM2MwD4D
2ehNjmvB2gc92RtsVPNwN8DLZzPWGtGcTL4Q7opHYPBxmcZTcE6bWVzrhBCqLXoWWKwRCaA1bsi8
Omml6XzLfIB6o+WvlZukYCJKdy1aQ25tCEcPNCRIidMQRdGkCo0VuIhi1euwSQhiZRrlAkpC7mho
r5MRlE/MxfKW7DaIpkuWGbj3oFVgjkCCrcjeIyp2LvmwMjAvuxhjeEBak5eJnlG+PXlZNOZ7gOh4
yaZYWVdxqWmbIctx7TZ1iqTWt9hye/8ItX7xWaEZ2qo6e3Vn03jgSRRvuN7iTQ3bmzescNyj09X1
WRyOQLGnOHWuZ2OKio3euuGNNhnZudkN3D9einsEiyxXcNznfKfwpzz4lmpuGyBvOoYqe5y8TgYN
kAdi8t4Ie+herbDHYoz7LsxodCJIX2ecbt6EahB5zVA5bq1yQmRXNKZ1PiB8WkUmMQjrwOQpXCU4
eEPP6KbhLdLQTJTwfm6GmUVlVeZ+2Xlg1x0oV3kQUlS2KM/3TK1GiNvJOB0QjIMwqVIidIeJnVZP
wrBY2dYkQraxvEov4Gx2mZcgN9dP7DqtUbvI6KZMKu26mIjyhW0UrOYMPhfWtNrZDKaiX+vGAnlG
1Q06qQxSOySpj8RrRG+METWU7m0BcEcQXDFRCbJRLv6luk/JwTaqFCnZDDsLwRRhMJ5mTdxaxyru
DNSZiO71RG66pMROtrTHN4Rjus06sJv0gZgetzlAPQ+/J06AmIcwZ6qiXMsoEQ0Jvh5Cmlnc6zi4
bodGV9/MLCj2RACO5UkH4vsRQhDHvEDU8UtsFYG+5RhrXw5IV4yV0HJSAs1AN07doKc8dIEsMujJ
lRIe6hWLxcEyCAexEONf1Qr19RrOhIsqKpopsDtCOtDJ1/oR40OFHUaBq98SxaffOnktViTifc/n
dHRWJA+he2Fw7stVn2kx4A0ZkM1QD/ZF0faUkGFLwNAhIgPkgFeIB46kjOSkXVrijQhKZjIJqS42
3IZxhRgn3kWmpZ8MKsB4pRXxN+k0er0STgR1H1fclYzzU0PN5CJWqNlM0l/HMLkLZyxNCLcldskB
KpmFJLHQgEEZAcQPE2oVL8BlBAhiM8m2XDuppXNuoPyoi57Ixclpk003zRws5ij2wi4lw7kfdCgP
dbTLKyO/GixiD7OpxrNjUDWiZ5tqn4+ZrPSsyI1oo5HmhKmOYSuGRXnJ5KLZ5kW679jY8EsMm6BJ
BnyQtX6v55kJug6Js5fVzUPu9926jUx53UulNkQ0TFs7Hy8BgoyDZ9qd3JOU4Z74jg+QYyjNoGeF
cnXP9avo1ECatypqLAkbvSZqNlSFe5j7esAc4Ls+lgyVf1eNs6tg5b+VU5hglejbVdvn7hPoF3Vw
QlM8mjQUIU5wPAOIxuEsRenfWh0miJJceXvDb0y047z0e/FUYzdkS0awmeHu2ZukDsPoBs59KzLw
DbiLulUPLHrvyLC/K2FRP/u4LEif0yftre+cvHkWCccgCoAIZHvuK33e1XEyKFZSc/Ra6Hs6yNky
/aYZbc1oLKSy7EOXDSweDZ1qoJzw3kMOQHcVK/eKqYCKt6RgdtvOHnC3hnopXFxPRuFzzKRSwGrE
nlmqMrJXolQsVGoAuuFRIzWH8rdlp+XSnlppzT3JTlhucHVoPBS9bi48mIxjAqlfgkx0s2isZF06
ncA8nRvyuXUG4zuWRxNXHS5JXOCNck/c3h3dfVYNTbAWeUgRPYhUflfEyHoRnZzTZmiGiykeZ2dN
BBeFaWfE8pX45rbAZltFV7QFin3bCXFttXqfEW6tsyT6Sg5eAEIeWUfZEHYdZc5k7yJUEnCi4MCZ
K9mb+llXl+Ue8RvVU6uA+G4hN2NJmmbV/j7J/E93Ps9RYxdN8dZ+hqh+4K7u/v8hrZKq4epLI4+8
GoaEv+tY/nW31Hv5Bnf1Jf/2j4uX4KX+x/6l/55G/4DH+g/vJXvJf/sRGr/3zdS//Yg/WqviC0RS
0+Lhtgm94DL+bK3qX5i60Fp1mF5yMFUMYP5orZr6F0bi6M/4AZe9yM/+2VrlR6gWmCkZ/DnLr/y3
WquGWKZQ72cg9FZJydYNYUB8tR330xQIW9YQB3K2OJfedRONjVtjG2xDyPVgrKi/QOTYW725FnfY
a1x6W/FdU+Hwyh5o8DC54GzRk+6aZM+uT4glCZyM6Dtt66Di7HFK+E12EqqvEy83pv941UUPHSHS
UctqXMuVPt+g0WEDmC5FWG+FdijVWz2uQZHI2968CL6FOU06G5kXscbDOaw6orLfslzSBjSZua8i
Q57YcYt4WTegyOXect5Jw2mXSayzks7cSJ1PmBXo+nobGy259F3KnvRMwDynwOGr7uZ3TatfwZkJ
vShwKC4FQL+GabuVv7bppVQsxl2fYKzi4C9oiKQhVhrsb455NOKY5Mz5RIh6SzjIHlzZIdHRf8js
jHNcvG7K8rLpmF5VAQoTqkcZo14mgIu9NEYTgsC0s/AJVNaTjm+OrwknNmmkOFTwh2zhnm8na1rX
LRwOifI4afAttMdW0rz1xWviyONYcK2UHmRhG+Y97L27Qpu3ZuZuAosONXUrultakSw5/NYgjI5B
VnYr6Gvg61R0UZE9EY+/UHig0Pr8bPHe6Wi2EG/9piz59GwlvQ7zq9CwF8/ZXd1qxdqymuPY2/sQ
jbBtQqFKHQl6FrtneWln4w4p3mmbMY+cdNGvsgaro++7QA7SPREb26jDrxwnHDF9cRR9sR1H+0ZY
yLpj0r8qEZ1W+aneWbu6pAaZtgYoT0KY2B/nKzsN9wqiQW24Fy1fYTlFb1ZtX9vJk8ZtXjQ8UZ1t
6RFtAyLC6rplUie8Im7OlOt45lhQVmr7ctaP6Mi3vbCOE4RaaQXn49St3DHbZWF7G6PJ5pHcze7B
Mp7pZhMY2h0qOV/oBQpPrUAT7TgQC12eyoQJJ9KRMwUxrEp3GD0R96ivWTvt01TfB2xKvEuNvk66
+Wwe242iyTCV0BXYvTN+IeMCrCSaMR1YLh7gNFzE+a1Z12QhWkBchtt8fJ5jG44eISzIJQ3CYHw2
RC1MH8FAbcLS2MmYR2SQ1haYMzO3+ptOmhm14nQZTARrENxle24rutOKnnEp5+d3s6jj70vNBz7z
5yHLsjqjPhO6UqbOsGkR4LybQ88F4Jh6yP2NLJLvgdY9+Nw+vzaeKzLHqGkOhlNfV35yMXf9JYo/
bBLjRQRiz0hIvm0r5yxhhuLFTXlSz+5laOKujNprNnc6vm1yJAH5rbTzXzzdxA58erqhazs83yzg
bDCG/lmz1pRk7vRG7G8qh9FHbIqDn3DBdrEeiUmgm2JjNg3VrmVdLAO5J9EqgxLTvZjOdixzeBME
1WOOpKavBrp+jsMzC58WxPDe6WK6xzK9gHsJTARUQDoeo7i7KTXjbhbMlWvzW2CPN5lFJxJjmVeE
NX7eCH9CLdtiMyrmBtRtb3oXkgnZttqZyAi6imeCntNyuA77/jhAVyilj9FK5uecYeMtsrlnotE5
oCT9rTTSS85R86qzy7dci0P6r+UtdrU3l+40udnyTWrpTSPjxwwLew01kOzttzKNduFIYHXOFQTV
Sd1Yq5k86ja074fM2AlF+JxTfx1C/FiRWhXZsOEQi0OUsQNtvMR+yFEvDVG4t/xxk9ntObksx6Zl
9yh106OU3GsG3Q64fg9x3d5VOrUUTdU5qe6CaMTBlc9e34FVJSVVQJ2sAn1vV/kNcv29HjBEa7EE
6uVNGtL0NYUnEV7UsY3hUh1xe54UeKkGPPpmqm4yg+Z1R3x0p7sb14CxF9jbINS3fPVnupFuhn5g
l4ke0rHa9063YYyxtqdzvThr/ZkuPYRIF+UA52ajeYznG1+KdQKpMexOwcIAwfYfam7hbnIC+pO+
sa3ybKcSOvYD/qZatG+co9e4Uo+dbkGiip+qbEZK0MT53gTXiK+QmOBYOu1DnDlXBQdOBGEVvbAB
c2HZHyMMkFWKNFkz3yKVnfia+2ChESci7ZuCu01iQb4ikPEs5zVcASs+tlWyp5zexkV5kw3QU4P4
1DKnwcMHtKpmgms1GlE+pzei0LZNPHhwV/DpJ49o2vZiHPdZF5KRBeaWNkF2J8L8MWjss7EW92mL
YcyWj7CEb8esazc81SeV77zNpjjFL4OVtekgWxvBKZYi5pEtNIQ6wOFjW/MZUXirCqhuVlFeEB/4
YjVzusFzel2I6SWpwiVhqiVQD6IICgf6gO50rC2wJDPUPQehkYC7oyUnMEnuJcMBSBocFcL41mjk
Y2d2pzqeQ2YDiDXzFAYT9vth9EZdP2aoORLbv8/agciKZF1bDCs77TxInmZEmdiPCEMOL5o+uhLZ
vCEh596Ky7c5QuDJHRtH+FuTeDCraFe080ltVNeIffpEvbmz/jwGI7PJcWt07mtsmQAsnJ5GhH3t
u98zesowOiztolYXpYHN5DLvoNBFR1LyvE7AfhWImEheiNUdahrIyNDs4EnkzKV7uKJm/D2Jpl0+
ALZuHh33FmMg5kqLseubG9HxMZ+64AbswA4cFo2HKy2rCRkerovO5HHRzmP9ekS8hJ/tTGdm6kwW
hMVpTy7LCbEwtpVtErqGbrxMZC7xCbq0BjJHPLZ0FOXEe52Yj8o9ZuPAuf6K7CuaSEn4UPkLtT2y
vQAWGVFYWfeG33edle5XmGApmazNV62Ue1Lj9klkfOuHGEiGC1s/KVxvqpJgZbscv2Hxt26hTgDX
A/noSUNUQXYPTCMgy2yyvmkkiMFSU16BFmg7FPOpXee3EAxhzsXGrZtoT8U0PRTJfDuP8XFmFLnu
yzriQCisk4Bg3A1xoAjkJIFH4C5egaDs1OzsW7ByMovqta4opwLIfZpV0W3Ryw2jqEU9/dKCUuxg
fcjBN+hEMxaWztes7w/uEH4nieDWzUuYTrG5XzqjXtFQmrh+lmx8BxYECWte3Le3qQBjYkDumK0z
7PhviZ6Sh4ixXR5gY3hGUZ8zI2b1tc6BIl4Qb7pToiIfzhfBtia9fWUxzfaGyo281gbv3FjoKdKE
Fuh/hbNvpk5HmVba7jExY9zeqruN9OyxngMyEXBs8jT41yI0DtybaOOjY1qZpT/RoHEW3l3Xwada
oI2ZvPmtOvgPHFqXX/FnDsj/I5keGI2Ww9y7AmgJDvmQ6/H3x8v3h0njz9/y4wQp0OYYSGmWo+C7
jA/zC8dKfDACtS3V0yLb+XGCRHqKAIeRKJ6Zxb7SgOUh/WM5QArEVrrFxFfgojf+HW3OZ/ntUrwh
H3Rdgs64EP2T1DeOWxO3K0kWA1S2OB45vhAzyqQhGa3f+xd8jf8iUGQpBN8fVam1UAAZig80BLrF
T58V4GAvSrvxMcsW297pkbdAKkwcengQH10A37T62+HBFXDwZxByC8tIPKY0GBn6A58ENZyb+3ff
3t+Ur59yc5ZvhKsSpoXrjH9AMfSxfPUx8royq/xNCTakTaoToE/teqDIY2i0mbFdORrI3VpuVUKf
NwB65Fvsi0G5s1vANeXVzy+Imvmv90mh4jKW8BecHXQIPhTUGIhLWo+Bv2nmLgRCxhK2MAJoKfiX
Yxhil7a19LJM0QKgIpoPEVGz63a2u1Wc9EzswvxZq3P7Cp9weiqYa55aVnRSOpxVRqyvIh+enfEV
YYaHxhC0Tn6OmCiixcnwZTXlWPjhQjFnBKzMjJJCoFER/CWwLSGjGNM+1yvNo4W6La3cIzT83E3o
CIbRQWrXtNSvZz/zzMBigt2vbTVtNOwTS+YmWRCHQPq7rirOmEnuYYshXH5cfP1aWHFU+Krlp9Lp
8H8P4lAytjKtfeLe913/0NPl58RO4ijBDSdWiwi4O1HEJKZ9sROc9bImHZFKXc3WIXLii1TZC5Uf
iPa0yRz/YJMUn9Dadf30bLKHmwyMogD4ODZiT2RAtu4A5VbktWy1IVvREfJM6YJB54Rm1ec9FMdG
vI3O4CmLz0yHTVn0W0GiVmM/INI9xCijnDyBjmhjUe5WRgSbHvhVbBf7mtN5kCJo4TnqXMsrK3Zm
Gu18n6tYE/uuZSY+w6tygBGYce0ZFVD2SxMjWU6lGBEeMJB9wNkL8TFvZq8IbIHRHt0kQ7HX6oup
JMDODV96DjOW9bUai+emecWOjQihWsHKvmxIgqWSYp64VwZAGuXQASKvwgciqbPb30St/xw4mXY+
VXxzTpdcgpsYrs15LFrqmG5ltr579GmVvgaiYthclty0rC+xz4Oa+o7WN7wykSK8uIzWJXP/5aWh
3IwgUJ04g3XjQNG6k4nZnzRorJ6GHiBqJ9xgNwyOi3Y81YP7rFy0XBOxMgycZhROiWFRathddqNQ
4XHCbRyvrWeN6I5hXAYuKEhebBS9e3Q1HdQzRCKchMroTHTi0qYwv6rn3rluzaz63RzwH9jZ3m9s
//2/rx3LEo78/92i9pc9kl7rn53Wi+i1+Eob9qRJ6ck27zfKRSz822/6fZ90xRcWOySsIB2EY9BJ
+Gen1TW/YGkSGDpdEwcATdg/90lDfOH/MXFooNt0dMSef26UBGjZdFrdpUlr6vwb/9ZGuUhy3+9e
Cjkarnq2W64MJS2/7cOq3DQVeJNorHegYzGQ2dnXvFQJmhNEcWTLAiac07dWMh2Y3eQrPFrCQtBm
MsTRVwyIGVOrnJjvcbDX5IHc9wWL17ub/Hdb2aeNY7lELNK8r8CGlhCwT5coeh9OQxJgv8/wp5Ht
vFAuUGGTtX3WV9ULs94L2XQekQ7E4sgq/oXg1vj7C8AyZHKrHLRfH+8Rr2upBgSXOz/gAsQ89ihl
Uma7kb8BnUnWle/T/HM5toegZWKD6/j5PfjUDv/tFqAx1mmt09tRS0bb+2ZUA123TrOUFPgOLhKo
ztsutC+iKj/7+edYn0TNf3yQ5GMs2F9YWz9+EHDKhpNtUe1y1Cv7NmjdLVO9xwLO39adgFQhpCyg
nzQc4YbBhbem52faaF7ZOWxL4DFsr4DHX5rYpqc5mvq1SFiZl/dih1qhRnZXTDvGVMlGK8nOTRIL
gIQkrrnu+nbjlMFMz9NExYp3N/S5kVMlnzB9nuh1ozyA8P4hyDW1WM+I1LHn8Hzy7+aBflOY4bA1
lL21RjpxY4MYW8zJpunTr4zHybqu/QsaPt/7MLsWs/Pw8zu3VC/vqkBuHK8E3TadgQWTELV8g+/a
hc6c62kQVVRPglkxSaBP0EHYVmvgpKYJHzkMaC9VvfsLM9dnEzIfbFFRSUc5AlMPy8jHD+ZU6pTA
KWKkGCG8kRYMqKPmliZMaYJkaxovQk65LmrTPmUKXaJAiyn+VM4Xmo7mJg2DbacaF3M/7xTTn4Tp
MMOGohqmXRr7LWIX0yLEmVC3zc/vmbkI1T/eNEtidOU4ACNBMjX/eO06ZUM/OWG6Y6yUe5Vm26dB
CEtY9O41pCmU3U6b0qlss4uShJZeGCekSx+61KW9mEn6dMsCZI3bwj6TaOVWqulIhdb4o52Jv0am
ImLmPL/+/Lr/+l1bBBKa0maC5sKnYdd4/123ZoSqreeyh/9h7kx240aidP0q/QJskMEZaPQiJ6ak
lCzZskqlDVGyLQ7BMTjz6e8XWbUopX0t9KbRiwJsqCxOESfO8A8GoAZcmrgw0gZ/v2jlgQpqh540
yynER/vzFy8MGD4kYYjvJg6L7688CCyVhlChookj83YcwmATAvPc/f75Llrfekl5mggXBCYPR8B5
f5WqaNCgbIsiShe/op/VymsQTa+/v0hwyfQ6X4biTJB2UhAE4uLr1yXKUZCGiggJzTcgCop0CZ/P
TVLZ3cZ32OShMXG2kM7jWrDK69It3qwE4almzam2hpRzB5sByxnDLX4ixj5daakWHYtc5pNAtw5P
N7sKHg3PWA5UjHeC7OoqmwaYw8DbNqNVhAe8/Gj3oVWNWI8bmTPxzbVQr8xavBZrVOQ2XepaJ0hC
oHCHQoMn+PdOC6xnWQ1S25U/tcz7td9NvWlQmzlUg4EaZsjUX4juCcg5WjjNlNN2zF9pSr+6uf1Q
Ist9HaPTs3Hs/E2JoT5iF4S+X1gdjRkxzIGq+1DU2ZsCprgZamIuXi+0EsEGbAKL9V0lHWo8TfHq
jaxBDJ++wn9bD2MRPgKpZgX2kvu2H6osNI5TOuIyJ/pnq2K3Tzp6Lwje/NHMuMs4Bnqy84xvI+VE
sCnC3PnLMplRKeFj9jNlr10CfAB7ZbEFqNpuM+G+VArx3wS16c/wgkkespWDGFMDXGDyN6xzIUWD
advhCUEXse8/wwn94UlOT7AMp2Saxu0YELinoen24OqReZxpD5bKePbNpqNLpMItPX1MLxCWRo+5
Sw/EMpSb3ewVtpYWqka0x+g4gYulR83MKU9u0XzJrfCx7cqSbUgJJWNtRxKaNgcLM+ECkNMGP6XP
XgYYiHnjJxKMKParV2UyxekGKM2GD5cuRKITgTSCpWpztAsL79C2xVsVMuD12vEGNdKbtZRvQEHD
aO6WDpFqHrSbShewBsZvrMAA2e4dFNk7bKPE1mo5A6Tt4NIwtKame3SbWh+ZS01+RXu0QZJIvhmJ
wYrly9J7f3Otmh8hif7EoBddaew0NsIpux106TegnywCRKQBw0wBJgJo7eIPtkklJ3Wxlq84HxWf
BsZEWw9KypdOFIc1T189tIWP6WKqGy/2H80e6WZFenpCkJ7cSn8YMoO7zlM9BkAcHue1u0wsGxNJ
KeCJBdC7NHsN0OXduIn9YOMZGKGf/hqYY463VfZq9WyN88JVQJcB580Hf3aqvVV60SKCxyYkkUlb
zATOW6BkhTHJfeh6hYLhSPLpOM2KjBgfa8h0tmHw++qysTdBygpC8ryC7MF2aYYaVxoxpqfJZIpt
TXG2bQIWbY2VxPnGuV2ymAElvxxeekTTSN2Ajer+GMIJ6eYehyJU0Nlqftrc1mHY7rORb4f0vtzD
lrmyPKigLlTZTdajhJDjD1BP6Kww8c0Pcx/TiySAGZ0OWD7mqivPwdKF66w/MN2fB1G0z3XDvvLm
/K31uOu4zV/P4QIpurd+5hgLRiJBlSdcoKM52xecII23IAhu9fRqJ14ixQD50Eo+RZbsb0bXOsIv
Ru20DtDWa4lKBCpJN7Z5xg7ldD6d6LighJfwBujCxtfCy9+wo4nv8UeBHNuheqhRFqqraNPOYkc8
/V4VBBNbsHIrkq5N12Vfu4597Bj83pFYK72aFzK7kfKLVzRaz+FsqXgRaeHdnYMSSKpwm/aMlmbu
LRu8O/xZ1mOLnDD1ThVl2BzCpchfF0Ojz0EjboqRj3uuJlKdsHh4x+71sePV/t35CcEovukt0Wbu
gz4KfADgfcONnb9BI8K7rDSmjVlp85LpFCQ5tK5KL5sqoLMlELCoLfVs5o51clX+Jpuk2CvE03YK
hPzfkS5wCCZuGjzCLSCiequxJ5pMn7pg6fezwf7N2Zn7yVj5V4FjHME9xNe9/jozJKGtu9YnutMm
Kpzsw7lZ5+tzJM5mnYh5CcyGLODMcEizAFM9+lhXrWhGY5Kh1mA+dDM/RXdwZtUPzQFzvhVLizK7
q0NcUgK34fjpiAisYX69PldsGiGbTifP0nMfLBUz45FLZMdgnuXCi9QrbEY2eoP4wgPM5+Ywrnyq
qWbRITvbbIuGZVWORJ9g5NPYIQmF/rpdrp6zih3up0R9qiCGwwm/sB2pCs7xt9DRMWa8FVXSsjdG
WEOPzREv02ecCrlAkrKq3YEN5CPe6HnctWBAvc2Rq92d0+EhQ5Z3QNvz1oiL5SteBJCd8WvdALzB
AWaWr+e1UvXlax6kb+jnPsZmvnBgYAA6jrxqfdrEIXFRMtjZxaqXt7PvyZ1neBALRwhPkDDlxhXZ
sEEjuz344wqTxFPZ3QTUFo8xnZ+7/gGSeXosmpoDb+nbO6Jke5M5aX+FwaxNSwz6z2yn6Phba4hE
MHOrusZyLm97B+jyhB05eEfzqOCu0OmiKUk67WSMZJsRFF2GvpafkmrM2Vvd1s+gWnvIDtiGGaEE
b1TkzY2JveEuafovedUmOEEE2U7ElvVsOlYGBBnSmfRtHLwGK96BvwaLUeAduFImgc3RqUEz1ldo
Jfj3OOzR7kW9eOtMscFKAPUa6AJOpuTJ7arubCt1Dr4zY6AcJq+DoQ11fNClo4xt9LjW7gBYfr1Z
sXADAUyw12UelDm5Sy2EHDjeu4OL9t8xNMr2LnMxBZyrPNtOdQEnFlV5KJbY7M1F4pCjoJaKLxMn
78IbG4X6ka8kbP3o4g7QVsXRjJt+j6HbVR+2z0VY+qC6IHqOtjfdolMO5Suwu6hBSR7NASfm8gg/
Vdrxz7EGfvcK9CSzrAGrSRfT5/EFsePph+xVCooyiHcTtJYtBdS3BrBNnizfIK9QRaLpDloLQHqN
KRoDanqbrAaAO0yJN55ljpsYwWqTGg5fY5Exd83BpdvdhC8FHUWS53sDBw4DSzCOo+GQYCK/Z8z3
zUjSW2NSN1lN/HXG6atlTtfKK4JNkKFsAYflR+Ox+PwJmU0xW2IvB+MvFEkC1pNlX/Wr85BI4BaQ
8k7KsCXmRYRMMx+6ncqwFkTy1dx1c8mu1ZUPXgUQdlfCElzEN2uuQ4TAyZ8shpm7ukqXr3bvtPoL
r9up4ARyKi9+m3LQTxh7FE9VOzg3zmo+o5GooTvdcxXT4ihlq74la0gP0kCVgylhH8maJDhFWRax
UzImkxoOewADWPg5jjuGPNkm51xCcEA5DUjdWIcRUnH8K13RuyHJnW+zTQMsAzlkrAd7ZsJbVNB0
Vcm6rfUSpWCOnGl6xc8hiGQ1PqQBKyYOGQIb8Ec2K0eBvs8xMHEnJTh1nkVZyGm9CUmzByt9lW79
bMpBK1aaDx1D1E1vQpCa0m6+huuDWpvpD7vGT+6rYjo1i/VCAdkezNFVN50p1NfBkH/mnGlJDwpa
LOH1pAhqiNXJW1RRjX1AVoVybU92rcPpigr8LZQruRuDHi1YN3i0M/naoCZMgjHfr/6syAKRrlXk
NYYVnlDI96gbmUT0YkIify6/hAJZCYGQey8KnjVT3p0z5em9qazmz8zk3VekySiD+leFwwrDsNc4
4utVk2DxTiFF8p4dP3iq7UrdJEY2PZYtjou9YrnR+UbzBvTvJEEFLQFxLe7Ic8AozHeGYWPp5IU6
SJdUK5g4k3t3/crDkmOKdWyiKsMyAruBI+TsKEZ388oKc2A46VvCaa8U51BXuXfglM3d+URHhB7r
I9KdVq/VhGVyFztaMp6cgOJa7HMb8z6DG944+syslrooN7pqAXk9b3zPlbshUc91ydEzTsP0KWnY
UsKF1hFXfRWhwhRfL3QmgVoW8ycJze1zO4y4eZvW3khM/CL8lOyOih5HQtak6uvqlI02aZSz4KIR
hNYpgVywKwRreE7t9aXEU/O7yvA9oWuBVXMIDA9QSbIdDFZTuKCMUUwdv0WVb+Zqmq9lPFanglPv
vPqpNwHc5Nk1xeobTQieqvA+B3MWIXTwgBsjpV7MyQVr54duVIEhaY9DEo634IFobEp9Biasz6EW
I97qVF45jNoHFYK9cfqw2aYwWcHEpyCxCGM0IyXzIAH61O2vjWHNiLjNDdL1695pufxSBOSrDglW
ZohPhRpRF3P8CcDdZO3ClK4Uq50jDlvW7Vg5D+ezN5zZp6kTP/6+8Hd/1V5A9AZ0r/AZ+F6OJsec
IWmCjWdkVBSdaK3kOA70z21DUzA3y/UAdUvyFHzlfi0wNBDlQKhpntz2j6BtHs0gs9jDFLo6zRh8
E+yq7z/KMbk3xbwiQOwbR1GoYZdOJs4C03jvlZq1HvQkwH3y9dzIPNdIviW+Z32ZIo6MFpTbew+W
XNE0MXrrJLxlvvaauTzNhkVCN+qk1KcG6iGVUC9JQX3tkntpkZJzETZYdvB5CL7nICZvqq4Nt06i
s8A0wxKAmnfnJkF8JS2wPb9/pdbPHWpNrWVQgJ2UnsVfdKTyIktLCGIyijtKDvCk8XUHQ+/oCZKu
UrpP2Tnw0scHs8l2QzA9/KBF/YumWBAyzPAcpuB6mvC+aWQHQQuJQQ5R7oOs68SaHjuAj4cUVvhG
4liCYuBobscisz9oV531Li7aiJTviKiCLXCQ9ri4NDvbGvAKHqKgnSG4ENQxjDCsz9kEucdZm+Zl
wPV3jxcarr9ufl/D/f0SYoOwgIR+/v2n0B24i3vhCyA0ZgeIjzCFf/8awGqZTVpPMnJ0ENANAwet
+43fAZNVrvOAEfNH8wn9eBeXpD/q+rjJ0H4m8X5/SbvqTcrNeMDy1A72RbsE+zbhT1ZRP84d41Ic
2KZdhaPfEduO8vj7B/7FbmZOwA2EAV+fUdb7q5e8VLuvjB6WEMkY9he4eFNQfLDCf/Fa6TKjtuIG
9D1/GlNxmgo8KrR2mJU522FFYkXl84uxdHddWPy59EX2wRWtXz0YWBUWLhJMdPcvHqytkDKcg7KP
kizvbuKehnnWO0CmGpqD1hQ8phyfQD/pngkvAZ1XLNE4W80GnPLAAD/7vv4PFex0x1TPET3XZLHT
BL5YXKiGqiw0G/aYzF8AnSw//k5+ZU6OB9Lz7vef9hJEwvVcl2Xs0PVHkYvC/P23HYRveHEluyjI
/DslRKjttat9HTsZ6lIcwNbo/YXswNfGLK+wLP+qMuj0YzbdDkJ+7wMotKubrR9inH9a8K4bCtdl
qbO1UQx6f1t2gJJh4iddVIYjfZqC5NlrCTUDZGfUvsXVULenlCbZH3bfNIeu5hMZaUlLF+sPS800
psjjwBsLsQFlAtwZ0sIEWwyoYv7N645ub+Ir65CC9D4St/aDIMcZkrTZlMmQ740+2WOHlG99JFWw
m2C2pKeOEvrlRphYRTrow287W9fWJihgWG3l1oyxbx11K0uP7c4HW76a6ur3n0zoSP8+GOhJsksD
H/RT4F3Oc0NrnJHfNLVzOOXC4rYJtDxof8VU0hfD5227pFB+574ELDmO5vkxaa3ie93WJIQ+rdqY
kw4as7xGV93YuyZTolHnzdhZ44ZRJisyCiVSfAGdUNSiP4pnZ93cy2cITOE5NtAlkOwXpxm9DOK8
ItkkKe3gRgfGjp4ahpy+AgwLnTmFxIJ6mtpbOSBUo8gOajKbDw40vZku7wKlSE8IJvcmqsvvV1mJ
+14zopscNYu6FhMvRrASsmr0PriQ+DnSMDq0oGsw4fWFfxlpmILErcAgM4oruoI5eY+FeMIBoZ7q
rVg7Ohw+XalMd5fbGftBENHczIAla1xikTU16aughM8m5k1+Sb0nKQF5v3Jf65qxoninv31SNrN5
WITr0YipXX6/8H710RjgMQB1EaCA0HYxmsL6FKUqBJKitMPPVmAmu1HVDOC2I+ucUWje29PwXddL
i6T9NLTp21IGH0SsC9wfAQsQnqvhhQJ+zU/HRCGGzm8sq4lMp/5hh0u75TVwsUKJ7bR8dDXxc9qF
vhgKmsx9ESLzLyXA7NpCrsYTDfNL1PNkU2uHPO9q7QQ8AwuposYjoV57hhwicJJP5Vo/13Mtb72S
5N4xk9cmsJbbAjHZ40jhvZGOpDIvqeyxMB1vsXb/QBX953OUO3b1oBh0pIaRvF/Uyp39spvZWr6x
gPjuGtT4JB2IwaR+opVt7kaz+GBo+YuEn6uxIpADNQnblzupIHWY6hZDKjw4WMK17VCIz+KUQ06G
mNfTT8U1lYp2wNUi9W7ANT6ce4b02409hrXoCiChFcUMina9HAFSuzYGT3UCLYFstrEpMZHEkDvb
7Z/FSr517olUFoWTYPx86H0dzTKXfq0evzhiyB4kFRWqYDZ8jtV3ogS5/20W21+LVqwIBTHUa9B9
w6G+bA6pr5P5eMJARk8oked/mCf6JOfZRq054czcvulK2Mt6LjebTCjiF9uYZ82zxep7ZRn+fsf9
Mmx4tgOAx4PaDmbj/bfETSxLlUPYSJY+vZfwaPZQuiHYuU6/obFccwZS5GaheKVtTjfb5UNXUxsA
WxRgxz01XfsLPaJzrC+hK1xlS4bKNapd7q7vxZ/n0abTWCGYn1IhO6DsuzTnI/z+SX5OYAPiK8kr
iBNTmJcyqCpxGMEqv4sqn8N4mDG8h1zAlkA34gaVtHIbBmv5pxPE/g4xHPnBmam9Fi4ifSAc34Xt
SsJuWZcQijCYZTjNVR2ZBVO0Wqj53pL0+wM8TBh5hs5T1SCUlNmpvBos9ggugHQVDPrYmf6TK6t2
N5g+unkry5Szi4mSzwDIW5wX0xqu5YLlWEfz9Tx/oLVhwZ5neJ3v0zhVz26jpwEuTfacpmRklrrH
N+t27tpkD6qdnCezcHcNvD414mbmerBgFo15QXvhjf8YehSG+cPp8iKqAgA20mfc+PuP9IvMAmXW
wMLnIHQ4lT39Fv+FcBmZ1VXYZdaYEbOt9IAAC2VGwhYToQZWw37tMc1O5Ho1m9LcYOtC3yd7YnjQ
XJ3HMKs5AJxSISTeyXwodHxrvUcnX8FC9s2fFRN9LH6ZRfhmuUS/v/uf414gPDIK9r1JmXpZIw09
6l8ljZfICJzIipkv6lAhF9qR525UEZcfRL2fkmfY1cQBm6IMXjQH+8WBmFodyj2SSpDWdrNZmt6H
+cZxfJ7FdOfPOzAUGokvIDkAjQx6DDj2uE3Z9TzsVaswYALMsgGq8VHwuDwozzeHvCxEbk5A39U/
/9fH9JYgzw1ZyShLW5vWIPewkEbAA57R7+Ot/P71/+JyeouDVLKhdIMxfn85JRu3YxApo8nVq9Yv
TwtKLgQa1g6140cZZHCZBaPLCSsBgq8GsiGhe7FWUzUybVQZHoVp6p5wwXOIhcrfzU54YNSE694k
yUiyKuHMIA3FqHKKjxYiaXdO7fh/TE4Z3udYmnj28Knzgnnfer23caax3ePJF+zornTIm8CXDKcF
flFfZafKRpYjhusdZWtfHbqMX56NsMmZXT9ktMOv8qGy0IHoWlyHBVLrQdAcqWGcFMUS3DOcBE0p
007xm4L6S0ey3aukdVBpTuxrsBzwY0AwdwueYJRtduQLm3eIG+DJa418F+cy+QSQXRzW0RjxggqC
3ZDyg1QYr5ZG21lTi24lidoBH99856dUajH+7rQNXaEh4bTVM+bU2uTZvgag6oIDk7BYYRJUh6px
smu002AWlk4l6ZLFdmT7bXAMM+7BaGI0Lo0vTe98gsstdgDku5sA6y/aP6v1Mmib0R4BxQ822qVW
ACKsAUkYinaa82BSr79fXGHSqtAoOOVBUASYKLLH7ALUSNWZTLbJpXJRmp+atq1QekfcxF4XBwdE
/QFr6ezQqPGYXwzk9T7ejMhrYGcmchunhdbD8WHyaCmNzn4xgnyHCwiD8EpVB4YIDupyvO3AXo3H
pZ6cU6h/fV73n/pUPLo+aJNp9kCSuIO9H1QJMzLvgg8aTpeHF7A/NhQ7mDyGQGNeLHUiJ4yLFo3V
VCGEki4bWkQf7N7L4Hm+hA/CUNNqkIa4eMFUYS6NgCQAMJCjqznSfh0VHjOyWQGD9Ag1L4bxUVV0
mRRwUWInJgx02HXYuIhQiRF4uZfC48MiGyfNBGV0SO4tYzdpARhgpGfYLn7dysRtrJfdB22tn1qq
Pj4BJMiCBJ5+Kh2X96tqaUtM9LRH7eA1BnP5vONr26hx5vqCOHVeIW0aRES7R9oOMiocb/z6+6h5
RsD9uwQ93wMtckEtA+hXA8T/HaXZNsoXyvAOCGkau3Fpu2Pp2EhmSbPDVnXM4P3i7/cXIrLxHS/S
uatnUKdVL4IvyMCuu3T08Z6f4PQP5Ro8m53gVbYd2V3aHEotsIk8Q4fqlc/j9Kl/alvHO/nN1D6J
RLPsZgSKoins720/gWiJfdgHyZcreIZ3z0gC63iehy2kJpFdgimXrPecliP0MLCrTpONkrvZJNYW
xu94fX6IcEiLe3NK/FOX8gMGjzFOt+a605Kb2Mc5686mF7G10zg5hkka7Pw6N9jXZnc1r+KtAYtx
NEYPCFkwrkhp2A9SlPa+Udl4va5pdyxaT4EAWIMIadKRqXa3N1wU1LUbyL7w+hWET61n7JVxKLHs
3qkYJUxE+g5Std3dzL88NN4IxCJNPi8GDtdePBX3y9o8rQo9A5UO1+40cLMOfgJJm463WHH3z0Zd
ff/9krF/Oml5nTThwVT6tILxnni/ZJowRFORuumQSEXvBEWurZ+PpyyBHFSiXGcPDvZCPQ4UmbfE
W0HHCzZPExxlUMBSzeheSebLqMyzzXKsqm/gs5p/tUvuM14OEacsWSEjUr1MhJ3qSCMJlQnEXCNp
jt/WvAlvqPLMrdkD2XNxlTm0osWLWQm1RanvaUAP7oDl+2NJQxrRNWx5f/8GzsIM7xeURc3NjrVd
bNVol75/A2gXLx7tFPdgjRzeARDhF4EyIPKJDkugGwKxH2pkjPppNlB2KQ2AOG16g8UsHnxO1uzy
NEbGoqjLrzi5Au/I2HZy7Vy5CdzcOIipYWF6ibFTgON2pmKN4PaVIyGNLM1gBvgJY5g2L6kFlsD5
Mo32s2MgrLKE/pc4zb5T6wwIHqvhpkQC8pgA2rhN8OS+78kn92mBxXc4FpTjFXLT5TT3kUdvIHIY
+R0YTLLQRy6JM7D9QQ/nV2uHyYVD05vY91NSuMyI9M567YyF+wbbILjXe0UNOPROVjJ+0Ma9lDFH
15xPZINQo5OLptAlmLkc6FWZQ0+EBU61w7oofAZYluLAXSH1vJbzwTbj/C71epSvA0XAU6Rf1sRL
n8eWDD5AuZFp4h9jGJ+mxLuNV5TTLFA+s3e9JHm9axf29ZgDeeX/3TbkhDsjZF0qLDF36EwbB9L2
t7pr1wdRA+az2nX8YdV1d0Qy2WJyOFenvDO9vUTg+5ACif86jYX6zMA/3lkiHR+aLFthS4LTkI5F
i8tb231iUNoA5gqvmMg+9PBjjuh6ETnWcLgtESY+KdgVt5NJWO4aKZEq4HaYmGJurcrxq7uwtrqR
YwbB9KDcusLPD3Xbswt7I78TZg2JW1Xmix37BRAZi3E2mobGIVQlbWe8LA6IERCMfGTtUnpBZKBs
iPWDjfaL1cIi0RxT8Oj6lHy/zzrPK2SJ0ju6koBycpf3pxqXw6mG+u27bIjfb+yfr8dUEUQ6KRaF
untZpXuyAhm8wqktypIEpGE3AJsLsfDNgiPSxO0Hu8H6ObGkbHN5NouCl2FeqO/oX0VSALytFUni
HMAx2ftsARmqecCnDPGPqFrN9GYOnQx5Pg/nuUHBiCRcoPJs7+uSze9PFaOAyY+3M5XzNhw4qMyR
T43JDcqePv6iTcujZF6tPpcd4dqt9OHuxoqTJyvuIRT/tegwAlEW+R7Nukf8BNlGVlrugQrN68zY
JfQmH+uAw271glu04eSBKcNbW+Mjs07um/QLPP24d8Ps58MSxOsNfS2xt4aZxkqtHruVtW4ZRP7z
0dpIUi0VJOkziDJ7H5YA7i1AvmBE2E0hSqVRyhLEMbkwb6be6aPa06dpKQGDN+QlMuOcGcph3WDd
se4WQfxQ5bC8VivxTY6s87VliUuluiOoeM4eSdjtZNM+ZZk0Drw3e18obqjxfWQEKs760EiZAizt
/M9PC9Y7vtjGQfkG1TzeqgPmI1O7nYEWoLDIb8hT0V2hG+uzWQgXmTWRD/Tzykucu6u0N4Nbq2WA
PxT8NeyT4Nj57NAq5X8xEzKIKg77XVcD/gbz3UcKlR8MFEARVX1ccy7wmIZr5Xejsa47RHe6PVJl
2jsPbShRZry7wg2iYvW+eov/rQSvu5WFI67YnSMK/tLeE8G0BfISRGNbkLJkpNHn7R56vD6QplzB
4BRoQjKdtOT9p6HdU7TzOc6763+N9/l/UfeA84WO/f9fUw8q9l/f0r+K/7hXf33/0aX/ZnFaf//j
f7QOQtxa6SnrItMhBOlY948RifufmI8gVGbiD8MkQP/kH60DG4k912V2ROIdQHLxCB//iB3Y5n/C
FoNADRXehQDDj/77v94pDqAc8e7v76SqLpM+h6kR1qMmnXU9EEWB732gEhwDzYTmeVTFcQWcrEN6
pAsNyCjG0n5zelsBrEnDp6llPXqaCk4q2IM9zOMrQbL03cSu+EhjXdD97D8NZVhGeob5Uih0DOrV
07ZtiAh84xACuwhndFtMS3LHkGL+HISpcagHZDChhyPVjc7xgh9s539uDLxCkfhvnG8x6RRWcY6X
HkajPCzsM2CcODkh4LAbJq+/atfkyvMyZ7Ow3w9ZE34yh6w9whMYnr2kDb9Lw4PclaZLHCkjHg6o
Z9rBtsiL+XvCVnwZ3Hi4Xrtc4FxKzrR2dXqEvLVANwDV3M0t3UVR3IaIO33CxWDaL2DgjxhSWOQJ
aPtMrWMes6Fb7/GJSvdhPiPiXNreEsVFlYM3RCITwZ66/oEwtXfbm4Z93aJIwoAu/EOsXUCN1KJo
J9wx463WMVOIjAnLBv1yVIPjtFvWzVJiVRGgxrvtayGfu2Exr5ln99eVFN8U47zbWGbZKUu9Dq5L
0H0pmia9spfO3xrxalJ1SD/T4GLjDxEnwU2bdc4pATD+2jDVSVAfd5FJRar2tlyC8bmm9XHLB+c5
gZbCOqhgvZvO3eTGKCMxR2bkWxcF0JjgbXZktfO8FBWcYhzL61Y2Wi7M/jaVU4kAchEMh8wmIrHg
HV6UUX1xSpEfijUOgeMOQEcTpuAt7KBj6I71rhmkdWun1FdwojCzsEMePRGIkiW9uxlHd2wQK7bz
G9eIn8jvpp2bWeUjJRKWIV1DArym9p/z0sjjIIJ6Ozp++Qkv1dzneELCwBt7RG3EVO58bC8n6Qty
Ok8hzZX+AMQKJTejb39nWWN+NeiuahGbp6Y3yxNaO+F3t3GSr/Nood002eXTMoviOsDd+HGqqhYb
mTlsT+A7hy26/uKha22wZEZoODuP4xsYHnnx9w5f99BBuMbCrPNAoizuVnspD/nkzXfpXAzpxhOs
WnwUiq8F6X27myknD0bJOwtzYGVIWgwvq5vWN0ycms8A8PwbrAID+vsm+PE5/97SMQXZqphD+/6T
bOYaaXEE/JSRIBi05LvJlWk0x1n11QLhfZfydP3WNUZkfeMJ8702zRP8Ds3k3l4th9LfRoZqAcOe
IDegzKizJ1BTsblshyUnbSnd6luwSpBuoWu0R8NVzkHNaBbOSt6vQ/2ts+Zr/APRvzeROTJ7DuF6
ui1HuzkGLQrQdJEeU8Q0EqsSV01F8wK9Dc/Y/StW3/9d0f077F3YV1M9EDmh2pLeuHomcTl9jf3c
x6GecIAQk0ihw9QQupqmQiw8DarmNBcMQaYS0ltXPRcz4lv7ulXqzgFDBDMBqeGbfh2ntxivi12F
oOdNONrIP5BoyROCZRW050IdOn/iKPdsACX7HhBtvEEGV34Oz/sZgDl72047FJkq9oV31em4MLnL
AMZ2tGE8DUBCPxAnpHNORP9XkQvGTuB/FdKa9ilxgX29j/iL0TvoEyZmRGb2JQQwi2ub/cUI5hcE
dnIMyqR2607ak68GP4EjZ0+HAJlsVgMilBT6iausPfRpPEpQr56jXLgTkKpi/CHtIXlMy3m58tvp
6OAc1dprixzZoIBH9wck/drIrbprUeAvR+r2rUWag66qVd7PQ6CuwAaioLkUw3Vodem1aGkZbDtJ
7SaVtK+qUdke2ltmv+c9CmQDJNbC3phFLmqV94M/hS8QmqqXZTTHw+QV1avAa/rOTZb2rkDz/ABo
tUStbPKfa0PFV2Sf6NyX2fiZv/oHtQ7Zc27Z6TVC3CSOdOn2a+m5ETzDlVx1sk8IuC9XNIp6JF6d
PkbSRCRflsLI0Yhfk27LbU9bG5+Dg0SeJkKU3DuQRq97cLZDzxk0ZHvVxeqpF64FyTpsnvCfwpKk
qJw38JnJLuulvBkmdFln2k83jVsk3nbohPsEZlR8Iok2vsAiELpdjfTfGpj1jzav5yfPqL0n16+r
e0Ah6j6Q7nhNLYyPkOWkp7g11VGghlOCnO3Hc6sLhnkbAC/c+Hj9PIhpmphNl/IORbChhZFFAy91
RnTw8Pva5UurvjD9hckn1jpKa0u8AguOUat36nAbF1/TPp9wn1ldfBL7bi1fSrOZbldb9KcVif/I
BDx/Aw3RO5WBpEnuFdnJd5cO1wPwLQdl5RhpJWWQbuFIN7qXGH/qjKl58PzJb6PZShYEsT3AsI5d
7ZWaBrodq7wfGC3eeiDbd2lXIbKa2M31TNP7IdVRpGhj0hX/ykDBVtXVp0WkXwrsh9qpKCMjWW7n
zjOiHOQrMGe/3DJ5u+90zEo8ohdwl/ZoJ1b6UK6G8RboCDfqWFcwqa0nYEzOmPWwQgsXgKEOjMM5
SBIpnB38wuRe6RgaqJQ4U2SYFfZ9ipGE0PF20ZF31jFYCWe+rqaamNuIdoFBMeLHMC1EdKtuP49+
W9+szINf3MkzAez5PiY+imHM+WDI9Rnh69PCKqw+hcLGGdImMjOOkDYqGALnI8gMG5TzQ2Ppp520
Wv9xMWv3U9cUkGJmfa5lKrX7TVBbEgqXGahrAyz4odPn5IBPENJG+gStmiR4RR0LsSeXNQ1XHiU9
uAQluh5Nj4JVHcspiqHZZDtoKxzpq9nxYfHOSHd4wI8Hq0RhdLNSMz0g1k7WsOgEwiCTWHVKEZyT
C+lN+bYafBdqInmHSfoYh6giAYBBdC4uUK2PjWG+KQur2RWhMV/F2LHR+irLqCH1gUhR6rnZIJA6
DlJnx7TZ2VZzPcDyKKS8dUWXX9l93d/mSSn+SGvPues7HE3+H3fnsSQps2bbJ+I3wMGBaWiRIlKL
CZZVWYUGRzrO0/eKOn26T/9tdq+1WU/undWgUkRk4P6JvfeqjRMTVAmffudihPmFM9q9zKX2f07l
SPxkb7IXa8yHpxg6Ft5dewyOQ0KTiXjbmjeV7WX30Dk18JEsFXfSEuOhs9rilprOwCryXNmtuKF8
sv1VelJQY+6GcQJApXTQ/Zi76d2WSm1Qr5krmcf2d8RjOPtwntLnIOGF53QNx85SROuluZyuaDug
Jqr3Qf4UnnXBSyiOgZy9pypv5IW1I1nAAVeXU2XNMxOHJFs1JPcfkb/kREVlaY2ZaWJLlTgKBWrE
zuJWkk+/lZOODhSW9g/geONP0dSK93gpMthMPGg7rRffXkmZoKZLHN5GeBr+vsh5x9flLLNTIFVx
1l1onaJ20ocqn+dTzk6oXnlZFxH9JBOUzZb9geLmsiTD/CzKrlrPjQXooI6zU7o4/cybFsqH1LjF
Zy4AsmGc8Imc6KrhR+JPyacah37LGrncRk0R7/kvP+wMQyO/kb8dCNc+uyriw2+RCsFVbmcPpBS0
q1qUTLsanypwxTLWu2S8jLjI67UPKC6E27Vq8uWX7V6X20ODGJ8zUVjoKfDAhtnQEiDr2u9NX3in
CSzxrS8yhAwwoLY6I6y7yYOFUV5a8AJqhrMsn2a28xjCykieItv7XemIKPFG7LnAShqkuKmPQeeH
PO2aorzGvPGYVsKQYONTWMeF/ZrPGaOipnp1POW+e60zHqaxVG/a9/O3uLc7vGutYOzB7mIaFlLB
7VchS2Ynee4TLe41t67U9zkpfBT9xImP88ycEhoCVtcy7UG3TDNSizFqpH3ulKeOIStsZKiFf4rY
jx6WQeVbp/PNR2bxOQUa6Z6hv+CHSmX80+0yNFE4dMnGbK5l/VKDYtFkCK/n1PsGlRfvI6+1dtIx
7tUHk52VcRNzHmureZTW5D7jS+/nddbMwy8YcZSLoujDm7qtOW2mRORPtdKoPRZN6mteFdUuwKGy
Z9RGsDN7hIkn0ZfZBkSj5LtO2VfJGhZqoEKOiS+V56fntcPROxLokJ+htZFVwguFHpNb5dajHcEN
1KeHuoMBqKMS/2C8zDROgiQFqzDHGUHSPvP5+ZCwgveKSpAYycVEtxhQQWko0ezwFgSfaZs5e3fC
+4Rdv7huBwxPbWdsSRua5rjhm/6Yl/0HMvzbJbB/1wNR8pMTO1/DZAX3URtzPapnYgE9NMIYox/d
pDPVXjM//s6hbWF3DQlxZU5ojdzti0scgp66K/iR2RWa3Xlvj5Lt9Fzar0Myt8Q4kxtH8u7UcSRN
A+kDrnpQQYzOmauEzzcCgOGZ8cTyLNVImmdhEwYLIf0GBA6O1IbXfCnrxoUIBxjRipmgCy9xH0bN
Tm6DZzZE3RBE1hOSPnLNnVr/9oofcb/gJVCgQ9kQpvLeQuR06LKCssiqb6sQ0pLdyk3Xl3GA7Snf
w9RsOUVceoy5tzaV/21kVea7qKnJrLVMCQMpChwGaPHNoPPljoLwPLjTnW+P72Hx2SyPJk3Wrjc4
q7Z2c6jPyV1RVDWDZ2U/BH7cfvD54vKSZrjX2ALPZVqrd3uaNBnSJVOItcU9i0gzGD9YEegXWUXi
I7aJdGbHDN/O7r0jNp78xE2Q3kgQh+sQXhd57mW1ra1rDH2eHIcuBxsdZKT/zmP6kOVKPuKlN5+g
whfYfUlF0jczQQCPQMzrwi8PYdj5RKQOwfw+cuStVd04Yt3YbnpIPB/NfGbaredc6X1WND+5MPf2
vtUs+ysvcjezxzx4jU8jC7V6Y8rYbFm+zwdqSBsAThNKFgEsSS5+WasjLLR5l5Sjty1cJ0WLT+U3
wTFdd9HYHogiirALl2mwajJYP0BKxh2/g7tpiaTcTmrI39vJQFYb5iRZE5L8mNQcoqv+GtrPvg97
p0zbPRLDl9Iy6lR4/bgvYkVBdtWFj6wZmw0Kheeoq/vtMqrmlHNmTJDgSrX1syZw10NpaRBnfcET
WNQ2B/bSkTYhMYGv+FWa9RBVfMU0YAI1cS1eTZ31BOkswU9FLMwhLTghYoFrtB+k4VHJqkNNvjwF
Q92tYGbmZA82nGZat6QTFv7GjEV8dp04vsUiuqqj9IfPYCYv7GPS8BVpfO6quCCSD9De2MByrUJv
nQb4e0t/MScmfMS1d9EjffkaoJrmva1mMH1WXN2mhUtciZ6CDXOCBWO3n9ImZQG9eViUZ/yqAW9B
TGhR1zjfy0g0RuD29e801oQf6DA7hngf160V4xoR8dCc6jovvl1kKR915pGH0xZu/OiRHXxbU2hf
6FWGM7y28Wijk1MIAXvxmltkNw5Jpj4qKSqyOkpYvld6lh+onPm6HR5skZV7b+pIXhRso/qMZdhc
r+05D0qyCCIsdwG5vTxh4mWgXbuwZ0pXNeKBbVYx+0gje+UAucUfUZwb1z/N/cGEvJ8jJKAet0ve
puGjW0/RHqdo/irhwB3boixvggyMO2NI/xjr/JLg5h7/L2uov8tg/7TCJOKhLkdgTCLe39QpOq/d
OPZEuLeQMmA8z8HgJJPMVq1fhyhXO/pfUc7JcyJr4tlRf+lmk6bKeih1YX7IYFHdtvT8dGuynIz5
5DqvZKaD4WCM7JHVSLp41qr+M+G05Yj/AMEo/7uR8Kn8xlOrng7R+se66397IP//EPHGc9Bg/suM
578FLN5+pV/dV58O3de/juL//ev+MYoP7b8i242wjUY+ZgNSaf5jFO/+JX1WhLaD8J/YX5uf9c/Y
YfcvNDQ4TUkWFtF1YvIfo3jH/4sZPJHEJF65Ujih9z8ZxTNz/5uehQMO1QHaCyFwI5CN/LeloTsa
xrmuNaMJUO50kJmfsa7u5bBaUu93UgzQagY6PrGZ6XvJNU+uoDUnuTLXrMAiPSDIMQLUPd71ysCk
v5tgafE/6t79KVqGQUD26Atmz6a9+UN/K/+Q4GIrL9WD32XZm+X5WfJkG083D61bl0SPIIuAm+rV
jPo6nP9kcJe669A6KPzDwyILzrQJ7uAqqvB+r/4BUSSyFJh049cY5IfE+e2g2N/ms3TRNxdjxCMO
I88tUsu9G4tlqjZOqj0SHTKnLe51p/SN/Qe855dXrxjR/6dhwN236fxmiu/iP9i+OiSD4xFa5Xs+
LcYhU82m0GwDl42XjqVZoUogkGGZOy+/8YiAw1/4ByTIkQ25Bgqbl4NSyNNnL7QquYOQguTPuNR8
DODyLL/vsfdsITC4L7LtxY1lC5PsmNdP5YFLWxenblbXQS17XHy6zB1R62IqZHSTEzrvDmjB18r2
wJMAmd2QZg+M64plJCSquXEYRT8w1FAfPWRHvxtgPPZz0YybIqr8rYx0P6yaESNB5JXZG98NZvqU
dBdmEmFzJK7qapL7w5zEPuY9FgaQ6m39h0opucsjZDZ4eo/1NWuMkHhJrEuMEHK59TA1WKckcBRV
veaIOnQAR966cNHjflRJzC6hI89n7f9hbIaaVrWeZ0evs5Dp/01oDwCzp6ikEW8m5eB6i6B30twW
EaEO1IhnMJwE6IdSjBN5axr94hwOw8YRjdtsk8Xl38MfZGgv0izemaKYSq4mGuRtWuGqxCWnJMOV
RM3PfZpa5SG/okmBe7QvOGBIpUq67rvpYwbKfOqwhdh/cKdTNwwzuSxNtEo7ezwmJZgNWpBgIdPe
CnGvW2EsT0jxxA8Vscg+pM4YVlv4Hj2k4MjlL2a6pDnhK6DSzVRX3AzIgR+6LLhQmcmXHgEvlIW4
tY4JSRGnUOvAXvVOpd7COncerTHtP5fIYEbxi8PEVozEYX60+xR3E5iCpswG95nBcyC5GQu4sPh+
zVNWi+W7IonylsSJTq9LSgrnntBOOlJ8PyQ7AAFR02Gxk+o2yqNuOMxeAxfazqfqY7CW9j7KAwBE
XaSM2sSkCjbsmIX33JqUYDLbrWS7Cq1QEPdTwJ/CXJziDEgMVSn468Q5j4IzYdUnlXfbKWcE+pw2
plyJvMo+wRG48zYwHp92J7GWtUPPhuOhBVjF3jN+tZYy3i9YLNbVjDaN2nlclV2a7ZLYm98iojPX
LWqVYO+0XfVhyoTnRkX9cA8/HQWdVzVncjCn5z6RFBDMgDkLmEOcMo8OAqr23K1IHMwPI6r3bZ05
DK5ze3KrQ2u33otTFf25Nzr59AsUCxgKhjJ+KOYsAKmJLJqO07R6B5E2/TErqzWrPA3pK64zNT4e
ZfucoQ9G8xdgPvNobSycgpqExjiQ5bfy0+4ksKSLNTzW5XV0kvpni8rwqncSc7JPuXEQXMHVxFOq
p2sDqe+II7KOseeiH5uSptRPSmfoM1Kwk6DDAOb1lNdVC7rSjdVpkqq8Sr9Y0q56XJg58QYe648l
5rO69mnl3qbcBPdw9po1rYT16SRY817CnPaDjBoelFUEbHoDBcX3N1hmZPizsoxg6riIvd9pPp7p
20IA5Y9hLJ1t6DY5BN+i26GSbBmdorfmCK8gRCGOtAkgYIcqvd4HKovqi2O/SIZTa0xUP2MyEN6a
+QPVv9fGj5Wx7OfEkGXNMFAH07b2Hfa3pZfnD/YYB95qtMlZw1vlexZZMW7+Re5gMx2SzB6LW0/E
BJMnHDkwIES1Zelny9UyduMFAFDyDHwTdsmUzM6wwhuLOsXxWz6JkQ/EZ0UggSaYAWYJ55WTxYQu
tk22XZQnH3A2W9eIv7oid3AETIGx5komdGm8HrPWJQqDswH+NahH2rmUmHn3mOH5KXkrMrmtOc1I
wglI2y+GzGbm7i0WSbROcpznRhGWQX3QH1yLYdNuQBJyoG/NviUbwLca7c+DNQ0wY+Y2W34ymCu7
VXPVxnM/jGGz4UcMFQ6OfMHm4hXFofevk+mM1s6sK7m43oo2kDehJlzF1kWVX/piMRQInRBfYQs3
lJzAWiEhD/vbhmk7K8ZiLojAK6AxRyPhyCuMqNXdTFLzowjT6VUbUJ2FSWAKEHq3POaVHTKyCkeU
Z0W0mOdpYfK7IaeG6wglaKsOsxzDXySWm0PFJJwmO6WQbVgNl6tmKTRjNI17iU4mIE8km9P43jP5
bA7eyCzmYiCGg+rRAalGoos+pG/8h9y1zqSLZKS0DBWrywimaL4MxHJeVcO4kBMIPBO5mKRrXonR
P3LS/deZ4sx0bXrAT7+DPg7ldwnfhmwUv3tmAKvUm5uvq2MgXTctZi971kBcrheAnSX5k/FyZpuI
aZONuerdJhAwj1ZbByeG4ba7nwSoYcIw0g1zbqLUnSTJ1m0Ma2RcEhLZvTbFM96i5pyDeDlZqIk7
AvJc+eiVsOU/U2dIbuRU6LVs0uUwV6TUcsZBzk6VFqwM+KX3eHQZDIcOqqAhTfSZHJUE3CCIhW0d
ZCbAmIxjfmqtjmmzl3x7WqYfLAyfLYeLlTT8BAd9MHXNLpuVt6lSaSP3webLQpuzCBKsWIiU9+pB
/iAKWbHnq0vXOk15fnQ8gJ1uF4cPnsuwzwdB81xKoT59h7HfHWSp6bcMg1pTG9Cs3iOf7Erw4xod
ue8u7GJNqKqt7bCoODReMf9I3CT61l6dTa9NrGtSahqn+W4xzHUPOkZpvHVztC8nMr2S4SaLHN7G
JIlGw9okVt8iKaeW8gY95DGm85PczoUL58BpqoiWVkxPrR1CRkXbBbiZ/DpxbGZZLY+iYyuCBLI5
+R2zh5XATPNgAlFjnyTZGW54hjPHwGtI5w4BVsqVRTAiZqXAS9k5go/lMaEQHy7Z0qXHKkzCU51b
2SGOtLhneYxMADJSs4X6DqGxUYyWyWnmLqcG+e48Mb/4dZBuWTq6qMZBcnDwhq+WhYaFWbIdDseQ
6J76yxA1pvYctNEzXSLzz6kVqBe8riZes29fxxl0ew7U3jmJwpQ3vdsE4LXaxHljh+0Adeqsu37w
k31UXoPDsFPKas8ejGE3oTXMMY1SLRNSek8uyHLDlRWSKxZa4m2I+y+3a8kvY9iJjDNxC/UbPHX7
5mQ+lEonSgNrjfqFgsPKTP3aJmxwdVOEitoN/o1Nvfik23LGzqOi1n0nL7tdR+1S6p+DVzHEt660
njjbztTkX868sKs06VPOHOloYewlKmD2RXRq0e/Lg704E8wrpywMPqJ6zO+YPwp3E2krgBzpoZ09
uKqXzIQEwCjOvACAmu3UYbLLWlINe5Km5/O4MJ7sW9Ki2Lgn7lOWFw5xdx5XeWoK9QgWI3nks78c
lglq+YrZtsOefhnHSxYSAhL1gsC8shc716IqyErvFz4DAuxU3aET6sLcP/Z5b9K3qlUpYU+ggdJV
pToqwkXYzq0S7Xjx9Aw/PCe1Y2SpSzbnfLKrqNkKmwyTqZ8+C8ah7Q5ZUBGv0zLoIia1vn/XztHw
iANq2Seum70Tohse6xqFxFrIumgOGVIRuSkqL8u2tkxFsfawgX2kA3CuU26pGt0hQUUvGjE3iV5o
OgUi+an5aZchzriYi/Yu8a7NWRP0BUCOiPlgZua43DVZlPMn9JcPwVzw0+W3kBucmTa+GN5vtfGE
6vceTopP5KuDTTtWePcssexnClxO2HyZKNbHLj3FOA1/VXFrdigUy2PnQLE+TFHj3dI0hPGpzZX7
g4GawGtBO7OhyFiCdYqQ+WpCmefP2TWxWrm15xFQ4MZbVOOkXkT8xdhHF6LItzzMTstavZh+8PjK
m74oB5wkjs3tPnl1cojTtFQb4rR32m7ZZkCsr+5dm2Joy7o7c059hCpnR0dsC5BcVk5XRXsjMWxk
CzuIwv30By4wfPYj/Sv4Z0bsZiwxdcWkjpuXLu4dj5mpiHKUsXX6PbWdf5wIUfyoZsI7iHfuDoXi
mF9cAV/WRz617wpwhSQ0FgysSRIlEI02fW1IjSYU2JX9p2e18X0STP5eOl36Cka7JEuMVWCxi4mM
e2BZ3vSntnGBQaMLlhDCkStvw2qOwM3qBMjq5BKHRtooxO5QIaNbJ0PG/jYSIdqA5CWNSPpe+bmM
SDBt0OypJdiRPWXD4bPDkwGkCRWtrY9qztQlmIgUVh0Rm1vuZhawBi3bY4cCiA3bGBgs9Fn/Mx9S
OewiNxq6A/ES5bVlH74VOpj7ucsbBG+uHZCV2SQJl/RsQNkN5MmV/B0Y/nvL45RywVONyhsPKt5D
rhKAYgw0b5tpOSfAE+A4+o0y67aaDoUnf5Ipll8KVourzK31Wad0SW6L6ignIU5PUrxhwfnm40ak
RQVge5TZN+E51ZE0o2pTZiHvd06FPDvk4MFaIgWcRAz4OOoScg3vkBwmn9QUVYN7xcgnr/i6hhAg
145BUsy12GSGzBqHOfqRkbN6ImjS3nfhRBJflG4Q+4u9k9XB91haziG2O+8oUJwtdchYWY5oUxRY
zF1edeKpcxxzDhBr/Ig6D6jP5OqvsVNkUMZFVe2iwdgzibCNTLYckvrnMsqR2BLW9Os+9kOQsi1F
V8vKuiTKzmq//EJCElpk69+YUXSHZqamL+CS7vNc6QMsM9r9SRUXzaT4TvqeD4pVl+ZGzxNVYaiH
5ZfJe5aUBRXkmtTN8Nn4Ut78EV3LvvboiUtAO6qwr5kc+a/SgvXRDe2fy+Qd1O7oEHHgj7e95BAd
ZI5uX8GUivcVqN/D4Jh9W4bFvh5S/KNCMfwopBpeKHfZ4peGGPr5T88xq2SDs6z4HYo0wlHG2kab
fPlwUL48An1gf2CnmOha1zM90CQGq5nPccnkZu835VG7oKdQq8j7ESsFL2gOrTVhLzXFjlV5OzGC
Y0+Cwb+ZSvrTMfDad9Rr58AxTHVJJfEfy8gbDm3VzQ+l7TE4stMKgVJdvLelsN9ju0JiMCIA00I7
W682Lh7b2VmVvd6o2sNyNhr/krY+EOAgy0i/cVetMONBzMFdSJm39trAOxuCqCikomXjYrzc1mxY
6JHB5XZ9Ym0nLmOoRTblnUyqGw4qTP7LEL7VVguIPunadl0LTPyukzyz5UETmbGpfZaETO9034Bv
b6PRvw+TIJSrJJfmVrM02XLiwrUTdbkzQ9JiW0sU61oiw6+xYs3RIC/9sPLQfvYlLhF6laV/WaaI
ai8pxFs75/YeiZjNX5XUWCX5+3d1AnCjL/Pk1M6aMkSnejP5vk+dsxTBj7kuv6TFC5mvghZUi9Wv
yQTxnvOheWwXrSmHYuuuFG24JRrjbci5WEcH1HVSpqrZkxAwrVHnPqIxC+6UH1fOiiQikE8Rq3QO
Z+1nZ7voWJXbXfgLw9jFQnOyRrazUJDF5iI9IwldHgyCrNJaXQcn+WyhWprz4YhUiNmUQZz8Kt3K
//CxR9s9WvkJjuM5aAe1N/Qb8LwpbO/i2Tc/8FSIl6KY7d+6Gy36gci/kJW4z6W/DHdopQt9pSyl
1NQWsbFL+bMlGxgvoOjnA6W3+Y0cproUve8e2gk9W2dXg3mwIT97I8xkQj9hX7GFYIs8L34CpdIO
rHZdkIyvCZDX44MtkAHg83C49P6xCPnfXhj8f0ducqTD8geh+P9ptXBis1CkoJr+dbHwL1/578uF
AFYTYn622iQZeewL/rlcCMVf+FOBMYlrJFzg/+dqwf/LDbFGI0AVIdP+a5LCP5GGzl8RAiCQRQGr
Ck7d/9FqAXPW3zSf+JDZXwDl4Nt5PgFf/1XzaVd2nsSWWfaV4zEILUe7YS0QoXTc9qMP7sH2Y/nW
J8YuN30nESCovgjhtTIKdTZ973oorghiftI2VvxV4A9AgOl5b8N5HHaOTofHRhuWpE7DwtvHrrZS
pswO6djUZ36halN5jT7oaCST2fihnm8k+qMzcax1du+PBJjC12MSfO28g/TcwZAi3pXH/5FGlgkU
AdbGsJZETLidWxtsQhOkSB+aPNPsEuGxZStyKdhXRrVP9QD6+XEa/fZAyA8p7c5cv2OJIpR1jJ3x
mxeHnwadN9iQRIzPQS99vcYkVcYrgM7xXvsK/jwLZ90g3KnEjtS0Ce6oaAPKBnqghvzkOLvLBsfW
qyJtPQJcAkzmJ5cI7OsBhecBSn0RB4ecjY9NUFBe19u487JgHUn0eWs0V9ZnM8YRNVppspuG2PWv
thozOkCUuKuuaYLsPBMSsmzwkw04YXFw0hjgfWIRP8Xhe6Kb8aN0C+1RbgzNLxcO3O/UCyyLfFGl
bijJkTfqCej64NNrrsY+Yi7kq7k4OJarL9ZiTQ85MqqfoiLugeMmJdieSan13reesTYxvKZm70H6
uliuHyuarKQE+dqTg05TPJXPjShpv+3BHpjiYvdo1n0ZOr+lQpNIpoNTfiwBht7daLURwpNgyfcZ
mQ+CiVvX0VAEbH9QS1jR2ckQGzqqnjZu17cXZSx1SaeuO6DRax9TbihaJ4KYaELySm9KAgiJcq/U
l90P8x30CDGuGZy560YFhMB2hENJMo7W0TWMts9CPAOLqc1+8NoG7I9jdmlSzG+Bic2tndQR07cC
4opqsjcvIqpoJZaQs9cOQ+Q9w/LkNPN8qRN0R94wE3xxDffPEQ5AnfVJgVcI/MYrFWbke+0DnGGb
2NHYR64AhNEj+yfpr3lVS+cSekC04Z+Y2ibuYgKlh+bgVkQN17SAe5/q47Vjukq0uHghx4lQY0m+
cB+pFfSQyeUxuI4nAQ9ojZx88sUxS3mlGgvxhg63P7dxxyR4yMwL4geFSmKcT2Rt0twGpA61dKhm
Ja8BTg4ePRLScYRc0MovD8IlXsjU+XzPZ13slZvTFabs8X6H2hseUJnAKx9952lJ9PIKVlkeygAt
607nLeoFQcH7iobGffOaXL0WzTD+HtMufyV7DWJwOB68gu9NEAJCgr4Y5MUAIvxo3ap/qCvP+dJR
jLOkdYPoidB9e12nZWav82r02S9ypjB7Qy+91cIsqKel+6WXfED6aPXei+u2yT2p/QR86qn6gZ0v
uA9RjH/mqdWzVvLjBLV4PzEIDeKDUZlzzKqm/A56+L9Qq2xXrQbLN/d5UMO7j2xo19hPnNfrB+EZ
8NfyG3mHVptQ2+XL0trBg6nmS4CVciKqd6gwzPuO5nVaLSEq0G0/hEAXuoczVdMBl2V8B2JzPBnO
iMd4zpJfFfUMm8NpNm9FVONe6TmaDwIqZLLKRQwXmWqYtWAk2nTVF658HqPaARs3Yh5eSj957Kqk
/pIdoXXuxIAbbLci8iCjwVirCGVL54TzjU8zjxd0yZbdrIZow8IbEVAGjJ4QCzakks9A15l2hxLM
Hth6eN0Jy1CrNl3ZSWdTO+NyKE2IU7Y26XgJHUFgU1PwkChai2wdDm7/iEeq3SPaI6BuooN8yvM2
20op2qOdR/KMBjF+TErP+4BfUJywZsafUJqebFXNN3kysm5RtskfEO0V1YEg3Awvz+IiShTJeCzm
jsGgYxn3SCslbmQRDrdlW6Rg6EF93hf+HN0R/UnlnS/WyBtR4j5FJZjog5sNiHXtrHxOp8T/dIG5
bKcpCc5OmNoPgmwq1kyRvCldzEtZMVbYHsZUsSebo/uqNoY13uyfirwjE0GPEzLj0tYZSd1oiSyE
oHBF1lpG7S2PArtihqkPGJqSsztM+MmhX3/NZDp/WaUY921k8ztrIbpvZ8DCPjeZ+zyRALBdvDrY
huhhbpKuUz+TONFfUGUXYNXCH+hHLEgtK3wn3UEySrxCZUq2g079O+4bMBXXaoM490HsGDFahiaj
949DPDc3uUZv37TXd9Qw+VkF2m92w2LMMU2n4sECmSVhXoXk1WVzwX0bMuy7i1KOl1Xr+JTfqZ70
l4UPal4Rhxo/poMZf4sJxug94XvwtJvQK/BAVEF9G2fY0+sxMw8dECRu9q7vHuoGNMe6hzuECDkP
vHXRc9XV00jGs5xkcdf3c7IL0qo5pcgqmbaL3P0OKo3Sy3JHDUhBiIydqoG847qT/SKDMnvlzi6I
1M7UAMU9At5Q+5Z/LslX2kfSj16itJPsb7qxRs6bJ/W6cEfrXGY44o7Z1NfPom5Fv2qHPj8vZN17
57Q24q1Rtpw3s0+uHW515FJ93ZymXrfnATHa42yH7smjGdmht8XCFSZs4ptFX5a65w2JOHSvUuPh
zY/ahtJ/Wt5s3cl9OTBz6Zew3ORLWD9GcethsxEu3Yjs5dvgEvexGrSgHPJR+cXHvFPyNkvT7K6M
2+KtIXT0loKt9fYY8vBotKgNbiIzhh/RwhhkzuS77ZX0L6yBNq7l8XEmSH4ToeJ9tnJRHFMElCwK
GfPhqQz64AU3+FhvVRnh9fCL8qNObE2CC8f+Knc7dY5SJ9qmA4JrMuXcmT1+mZ5k1oxHQ6zRlu22
3McxjupRpASq5mA8CKSaPo1r0P5mzHHgZgXFR2gYia3SUYQHsCDhHd1xioDQsadfsd9H23HG6k1h
tLVVhk5d9F81XrYD+vJiNQ6FfyYw89kzcUemzPTkBJN6665gzcnr2O8EE26FJWd1vkf00HA2lUnJ
tGiyaWDtGcnitBwybU1kRQonA+MbTfNptJA9rJtRkcpLZ+29sysyPxSeXCwJnOrDSsMT6bh+wAIf
lp4p8DpBg7SGihT0a/7My2qORx/S0ajKj6yVmjcxYt1lXK5PQitdZ72kY3HJTc2TGjUm3jQkHl1Y
xz3D9w0uV//pc2bnjOEbwXZj9HCjI5aZYw7DBtKHX9nPQ5GLQ0642iZvkm6X2CkwsmwSz9o7ot3J
d2hHVwAx/Nu+su2bytbeVjN1WsGCw99Vp9WxcvAgBmZOLj2J2BtLOndBlTl3klIZY5etH2KWpjfF
Ujq7wsoswokd7tgVSxwY10Grgw0LW3fHqi6/c+a5u0naSoPiZARaHSpWw7fdQrG46mhnXv3Jh52z
DE0qNq6pLQnyzB5ex6STxP7NXvLactZxgxn/UbFAyTdipErcXXkueE2tMLIws0d8OrsluiNoKL0w
v7k63BNjkICbeTmF3dS+A+6QL2EpDdLbgHGyR8buK2Ic/4HDjqSaqrXTDx5ge8eCpaaEtkTFbVrW
T8EyJ7eq8AlU4fdkBbGoEHE4NIpIThVWIlKD2k1BvXmsMbHibF3qiKzjYOiZgpA8uhOIa+j1SyVq
Tk3jWJuxxwu5SkqXSc1iV/yVhiQRa49o2WyLxckHLIja5suyvP4Joc6CW4qafaOqurpfgnL8aAKJ
eIOFVn07hsG6xfUwQHFgkIFHZrLvw16WHz26hmGbslz/N/bOpDluI+3Wf+VGry8USCTGRS9uzcUq
ksWZ4gZBiRLmOYEE8OvvA/XXbVnuz47e98YOh4MEa0Ai87znPKe4RZQ26b6CFu9snBjGF/meMBwJ
u4wgTsySeOFhrJEwuSOC4hAOVvAS0igeMhemEGWVeXxV10XfdNWVkZM3RM+asDG5s3jpOsOO9gos
4imYtB7XqRUlT5XhF9NdUbXQeGxcXd+71oaOCI+inXahqTymrZ4fqU0OzSS+VdLmyJHnFRYdPxYz
D70c6iT5p3vuGb1ysOQSaY5n9hqs/icVD4e2L8rT6Ev7hWXJuXcJBWHMD4NTOUzqYaR6kKbRfH4h
cefhWYjxXrP8pmoNso0pF0vS/D9Msf9KJI9T/e3vf3v/KBLi/XTkJV/Vz0IHXaUuksX/TkJ4fC+S
/P/cvH/0/+bH/mW8hNYjWTaRSJauhX9pI577CUA+EBhokv7v1RF6rGGF4tY0Jf2uFqyff6kj/id0
DNQRGq492KsBds1fmAd/xkBYYDM/52EXDo0f8A9AbQvS8pc8bMtksndHZh9JVF8IfnEaMpq3wpYR
N6taAU+8srtxPvQAhv/CgOz+IYi8+FDZhli8Jxh7eKG/F2aWehBsz2iNIjfmQ6hcdp4qntYtwZyV
Yk0kPJ8SkumGGGOemZxVJcyvNGFF26AeY3xrEKLxXM70Zw6Oj/FwHp1T2c6A6p0EygC9L/QAdcG1
xE5Nim+imznEJzgxr8Al1tbe3QCyNbuuC5qEGtd9lLGknDmy+IXeXHFmHrW4tSvBzKV3u+soKdhG
EtrA3EkcfbEPqJXDLPXGwxrzKDAqcRwr5HzXTpFFXrYzHr3ZHteuXwW3bG3mledJ+zrKli4/w5ie
oGTZ28ZDjBG0eBI7dfu9NZnOKaCudL+Md47zIq+tx9YwUL+92MgOttdALHd44mxaI+n10WA+Ijn3
opXvbU+GdC8QqAP3gIeqom/hzQ/tVLL9q617CWG7XndFwDxKGbxrnZwO05B2ZxW1xkFTaVTc4XUZ
GHBO5ufS7uhiMR2jnIBLlfwoRUv6VUc0DmNY0MUDtbMvPSXE24HHJQ5YdfJL+xQwWDlEKaiaofXR
ihvjze3N4NrkPOgyTxibVd53PQAo8nLJyU3lqA7Aq8abnmo/PiyCwIM/Fvs8drO9hUNhscv71bm0
POsY0/h0kEOsHyNZpfsg1GSHW0r/uo5e0Lnn4+5EZr7npWtu3bLuQN95xbjPDM40SDzngBAf5PG2
vpZGtq8sj2olhyHbyjM6/yDYEW8D7hxnM6penKeE3pw1ITQQCqkO6x2VEnz8LaU71K3ZR4YO8OIN
C0sc5pINu8ruxY2E/+JlmXldL+VJY+ScfNFQFrR8z8kd5CgRgX0tESIeB7ZEHC16tWGU0TFERz9x
iqCGWwFFkrm+3z0SZs3ZGTP7efCjDvzH4ODrBkQB6jbeYKUU/YrOSf2W+r0UuxpWkclbbMJYzjoG
g9tYQDzY2TOh7pXUlj3sClJUN37pyS8lXJN7U5bL8SilO3oq/elBA8r6NkdW++DpLnhSqrOaFSdg
4y1NrPGc9IX9KGlvEARox8a7sekGwp44DlULz9WBxSoMo9njSAeWp3EhwdmAHl4dVRbpLzXctH41
pBZA81a0dIgR48RE6UzwE4TPhnF20y/d2OYXXVDUgTsjf+wSyzmUVXPsysQ5MBr4PiuDeol21Ey6
pfwe0bT3wSMxPUyRk1xjt46PjJRRQUP4aLydcrjhxIwDwgHZvelHoZ5cbQVf01CGR0LkoM6c3FiX
ndbsd7vCOWRmkzabRHTd9czIejvRD/YiwxzEYa/FjVnNzjvVD+Wu15QOW64QW43p974EVv1Q6UC8
U/3gXlAReoLBIW/h6HdPIQLvPh8680xuqHiNU6d5rlIpnzwqRY5xp1GR60mFGydbTFV9T6y47jr0
x6xEXgO5noj2K6HqMjrFEsYS497cRwciqKkZZavwtZ0p6E2n+HsYUkFzsCezn7cC/9p8wPww405J
KITEGg2yNWa8Ejgzfe9p34Jhj/DORyTPgPRi0A7azZiSJOSbNk6rMownFiQvSOBwJKzGTO/BV8TZ
woIjuD6VGyn7gmFU4wVnVU/F1Swn0e0aOxMRNlzLP4aNL944rQaXvp2HI3JS+NJJ7Fmb1Bi0sUnL
RWIIQySL05AY4XvsMvUDeB3oUzQ5+rlPS0pGQvKW4abBr3cnGoKEa1T9YRviWn9Hxqtv6DHsrCvm
mcF2MKbPk6aNfTNFvDHlkBsPZS/rb5jcBs6lVbzVHjLS1uz7krYFdlsNhsmifOXLP0dbetTGaE2Z
KjjeLARcuEJin0yi9IOr14DXVbfuVYP0betafB7rQW4GFWdiRy9BuYjUjfpslLqztx52pZfCrs3X
JsFlZzaz9TXplbWW9gzfRM3tDrdVdwsFN/jo5FzdmPhm0j1CiMnowp1xjIKPqfZTNA6IL0SNOWM0
cwVIzJOP4TS6kJrJ5herylbNYUpb/oAim7MI08GsEfrBNuLDytKCjksIYjVrJuoXfZATkacqw7eF
78LpyUW5ch53fqZrY1+4lW9QRMpzh/189cyjB1VxSlOvX1dwdJ6yRM2nrE2p/DFC8ompr3Z2lo/n
pg554EUB9h3MKuoK+3BXrvJYGiTBqqK8NBwymcNzO9TAS9dkB5wLIPAYoFDhydt0GNwbwZF3HRHM
OBdTq1lN5/hUBA3HToo7CJVDvkXocG1sdkEt43uDIY+7oYyzw6Y9aEQTbTHinRUidEQg6iOdCr63
PV1wlN1mQfe9xbp2SxmkrNZA38DXEt6Cy1Kp+LWwB5jHZqXujKzaS+WOF3gawT0e0OhZKIe8szV5
a6TnvqDk2WK2WRYOkbigXfir8W3nddy2lmvYTzkGTUAK1DbGWdJ6uDqjCZfA4mZEcpfmSmJYuPbn
+MwQFqLbwAOZQ8reNisSk0SqH4cx1TcDCSwP32eT0RJsiEvOnPaGYlIXKYpEzP2oMDFNtjJPMQnI
uSgo0mGo1INHXBGWFATz3F2C+r9hA/sVn5Wz0W57iz+Wgu/Fn2SnNdfjB93dEBbelaK/eT9nrrUu
YAzs7FpqWtPS0r9glsee43YYmDcZ5ENOXExDTnjp/FeecpooOV8q9kFshL4XmGFucECASIHcNt+7
VupyjJMoZys98AcdrbiwW8KFTIKSrm+/9ROmt71N6Pwr2XqOWgUdPKBr2ro+eINlnjMc5bgO/BwX
VVp4OD3zAdbKKhBFqI9l4tLyiU+X3VpW9OWDbU8Njnk19xSr2Z3Pls/heVhTHvyinM560Y2Zb6EN
YBRdtiruCv+ZwyTC9wEXpowQvs515t3Z+ISeBQpyRLtvkl1FvqyXYy27L0AnZvVERrQbt0IP3E/F
FASXpqvnm8xsOeeVnv1I5V1wMC0rvZWExl8pNWzN9Sj6vNpkvjvWR4RyO+OPdvlLBhZwqiCDHIUG
I277LcisBDAYMjE5aJ1ODw4OlHjFjt0C9jClpnMwx6o99wbUne1Ef+I5Tov6O8dULhOlgto3Pheb
dbXD7LoWrs0ilgza6c4tiBB9y1iC6HwbGUiIMC5gI9mRMWHgMke/3KQR1R2rGve5SzQ0SHJs+zXT
UWeKrYehBQhxhf89MrfpgGh5FbgNYA+CsGw6OJBf9YNHr2tcmGDiPRfxQIDCgAiRIjUwIfYf61lb
L15sui/c1OlwJexWngoRj+eZRSdjSc+8p6mmQ/I0wh5rcDrrhpHkGDgSKGDQsmXFhXTCQG+8+0aT
jAQEZo8iEpNt1FZbZZfglfG7YadMF28en0nQXoFKC19yMNbP7YSl6jzjPvSPjtLRMa/aHmJ4Y3wz
RRpeZdSmUhPOU+U4MWp0mFnF6avUthlzSjDUC592fW2LGePSXEh1dFjMD2GXW6fZjqBCOqE6FxU9
hPhQK5Q7XvoWtYys2+ja402NlBTDm4/QgVO2R0AGgsZ5VKbVYHn+6eT6b7hQv5K7bU6ZwQJBlpKT
qqB04PfHMWz2RCMSW21DYebHSkVfyqR8aET9KoPiwXJKHqxeHDART946Qmd3f379X9FMy+Vhdvs2
uztGvL8C2bOws4qMBknKyxnWGnNdnnnz89OfX+XHifbnE+9ymcBaTpwm16Hv/fevcupm3Gez3QNE
X0aTA06jtWdIwz/Y8czUPxvqwlpZAX7HksfTwkYji7cSQ65fxTg5x4lC37OLCHafJV5wvbxla9c2
rRtgPdOrZXFQSPDtleue56K6YIitwt2PF/FfPeYv9BhhCsvy7D+FU26+5XHysxrz2w/9Q5DxPCwp
fMccl6CpXP79T7MKggzfexjO3sKD9BlR/mZX8T/5voeHBXTNEpG1uDm6qlfx3/9m+Z/4dPkpE4VD
8But/0iQWe6yn7+fDE/AZdq2YLQNZtH/pTswKZ264M9jltiyGWN32ajHnkTVazyo4VaO+hE2uXFf
StVlyAWcZAi7slMnsEElu07zz0XWDu8tgvYxpNxziw/fWc9Yj1fCVgq/d+Lcja6Jv2wm3NGlukaH
L/Jvqet+0X3HhmkOaOBMOTO5lV1d6kCHjxiiK6JionuRlV28Q1DINoY1ASkIs+wyVc497dbDKRfk
vUbS6s8y5eBtpjPoozjoNwG24IeqCl5HIyU7pelqK7Nm3LqGofcm/u/ViB2cpaVuV/3UPJgF7py4
YzzMAyW4r0e02Z7dNehE29h2UVpsI91ZK79VlJCEWbNXZqBfrGl0DtBf8+9ByPoBli7+4lPCsfKn
Tn1hW989pr1FDiUM2STZrmQaPGAN3qQFahQMxlC8YQOZuKEdDgJUc561GPW0tuD3kfFs1PgmizQB
TkkHM09hZOnPlfDY1VKRgcYbCQoSSTpeg41MndXkZf6zb+TdKW5w+K2ljxlvNQcV9tb/LgkL7GX6
iyXBIir+0xPgD9n4/9d178XPy8E/fuAfS0HgfjIXIiB7atuFifYbn9YPPnkOd7qHzGouoO7f+LQW
Zjd6QzC7oWwQfF/8ZP9cCuxP6Jj06LkC0LakR+c/WQrcXwp6eRKaVL+RzcdXTqMHvMbfP6uqhaeB
e0Pi9Z/ZHJijEYttL0KZ7s2KUypT3Tm/+AlRAADT0i/XA51myyk5rYt1rLyBkZRjeu1mrpTYlVCO
nJUsnL46jAam/301EX/2g3bYWkLY3yahoDcYRLGubCfvSSv15MzsADCrCw4rZUd9sZPSugs6XOWR
NcEksYzyPFpBcuyicKS/1H7w7bpb8w5Oe7MWJM0JAV+nnbfrSImmtk63ePSuvKJYe3XfbwCZzGty
ieXKUjUQmHYpZKfGkcRlD4LSgQdZNcF1iJsKYHQX7e05fiMnl5wmi+QAaoHLuKkLMDXJjxoPxFoP
3deyyPx9Vidk9DtIMv0YTse05vA2B4G+gugVfwSNOxCOFN1VKdQ7ZFj8czhqdymC3kYHXNNP3G/h
4Ikb1YxgSHpnZ45Egu3UuHEbXGjp/CVo4qMRyY0qwpexkSfV5GebMhwMAlc4eiBOM4VaeY3xFeqM
3oWj/MiZUHcYhPCDTwdqHYhjaQnEjENZBUhjSzAt3BTs1Vlu05c8dsat8rxXNzUXnYz0nIdIqFsS
nTQxUeLjb/zeGE5CgxK0CNQWRQW7FwrVaADz6HN1ydq6BUQ7dgW798I66Nr+ghKSbzAwmXczRqLb
qWc8l7d2/1awDcMP5A7RV2tJX8TpyG/opbEHFGV/bdve2OdgYW+LAg+JHN3pexvAyO3tRDarimHB
KasLfW7j7NYUdfLdbnW1zqaauXZkoD/AxVk5SU56Iut/JLXuRUMosycMKiKR4SWgLu/WCimWon79
klVewLF0vvfj6i7zTKiF2rvMRaKPDqXYp6RRyxY8C60L1SfodM70NXdSJAsjp4++H647zyWNlQM5
Hawuu/e83tl6dZOeMDIMrPn+Tqa1RreU80J6mE4q824FLIh7FXWdOHseJ5K1GZei2ZSY15gY2pwi
d6rI+2Rt5Br7uhdQZbtKmcfjzatt7rvU7QOykJB2QGrNYWHus2QhuhpGat23lCcD72L6N2yGRFIK
Rb2oaa6Jx0Ehrc2xjbYddppoQ8gjcdeeqOjww6EJ9ZFjG2djMMIIw2XUDtHZsJNCHXqcF2odW1lH
ODyjkOPFwLOTJNzPvpqJVPkOLhGz8te43EowUfC3poNPKep0Cps4B3Q6Ojkcl7Jt/YfCYqRwhMVk
VGTmkjngumnAHdDFQDAjssMuiaMQWQkTp48EGEQ8IKPBdPCZS3eyAMs1GBqUZXJEDQsGDR8V4ayC
Lj8fRpmopgpUDrbINxP82UupuWMClYaXNmr9iVoLkTS49PBTHUJLE4S1AGCXazcd0VcIPkTEvLOc
N8vLDJ649rbnz3jKUpM7RPncCskMCzIti4cObvI3zYTf3pD7IvCEr1xkuBDSAvMA5kR/i5zQRTcx
YZDpZKNm7iPisWprhRmnYtP1Z4loaNTpvuhphzi6TaswubdwlHaBlzWkBQrYEIhMYn4vyaevG0hX
9wFdB1uHgCMTjjrbKEJkvNA69rCPhGPr4GekNa6ar1zDst4yN4mvS6IY77qsehtxbGyu+6rrgRP6
c3osRnd+9+HlODRorTAxPqbKe4zV+Ap5Ydx0ZTN99h3d7Kgbzu9kKlj2kghqRlmqB2aJ1W4YOv9z
ZDVtvJLKnt+EOX9otw83aFblc2i0nC4hUXK2Q1Af1Mnl97YkGEyaslhCsRVCgxgycH1GyDs6kCOG
RKHhpeccrm+nlhCOEeMJ2Ue6VjDRvaxdyA1lrk+s2s+DskdCHnGjHtBocnmPhk6iDp6nvxnZeZ46
q0QCmlpqpO+dPAmw3dkNtkUzz8CWeiL+gGMqnJVOCkYePn7iR6CmaniLQDdjgRGjN+/iAdfSqvmB
Vc+mQ6bHL2Ochv7K5bss2KK5AeGOet6JsMN1M3bDRakpubWNMloPchyvfdnfTVmPvSR20ztOEf2u
wwDxZMymdzaCfPzcjQ7MOMNkyDag6lAFkRPADdsiv5ACrL6U6DAH0C76SK8dU3oNZePdRbG/o85y
wV+q4HZURONWSqQ+QWK/f8lhJgKwgBHqAifrw2wdKul/9/O5OddTD285HnRPLSkJ2cfOaLx1Rxlt
u7aki0rqVWaaf098F0ETipV5k6GY3leVcF8KbWA7HhLL2wUkQ/KzKJuRVWGKt0YZtI9VhJiAH1WX
3ywPeW7wDOZ7jdXjxbA577tOwaYWwXgZfY6gNijdk9ewRbDA0778w1vVFOeyHv3skInKdqHGGAMD
NDP2X0kHg5tPuwBWco2J5solVfkBcXi4w+jpP2LGz89lohJxalXoPeWtcN7mnicIeXAWSa+Yold3
MMw7C1wMmvGUj9fVJIcNByn3EGLJ31IZLE5xZKkj4zeMeJG9aJrY5gzWCMyBEO9aGAgzmRZrZQRE
fGDUGzdhyQCP2nlIXFjh87m9Lgy8Xas5omSJVbLJMRmbASd5c55yGoYgjeG27ikKlLJz7tp0yF+L
LuJLR+5PDlsEshDPTxh46RX2Uzkf/bBXjJVAY7cHRA+efw0I4PJucCxjunXcMLbuDHNiajxi4Rh2
VAMye+ikhxGmjnnpENnyKFsVRoZDNPEFU6CoDZzonGAsmtYDYKI7YYVJdAWPwjHPOk1nQuqBUfvr
uqvug2qsvdWcGlN/H+LUrJ9DVOkRki8ZI+K7ViDNLby6ASdJHNBX5EJC8IS/16oJHsOxIKvIziVa
FyHrvgvL4QBWTh6QkMYNqArrwPOsuJVzXhx8r6OQw44ZAjNpzzcwOOdzF9r+ggiWximRHZ9CnTc1
OYluaL+SgIPQNE4V2wdp3nSTTpjihvcmN/y67ZJwi/8mX3V5Pbz6om9OHL2iJ3ogFQZKgEcrs3aj
R9uJ4mjL7qbkE66Yl09+U59JEBC/k7adBgeIFD4fK9IkDJM0ttXFsvLFT+TJ69yI5ZOt1djs88TA
NlThChtJv7sccWtcRkeYOfJpEgP+4WqiEXiL5bB/GCUn56OY/Owqtubog8cci2UI0WxcDTqW0QHv
NgxWzh/vtSgCjulwI2cO1I0nxn2X9CTogqUqoJydc9XWFC/2zqmZwdiSjYO6lmTQBsvwpA1nfueB
kT5EngWPpa+HPQQp0ew0s+ujUC294Bxlmo8oKtmCAT6E/GPqQz4QqNjhlEDxtJM2FVsT3vquoXEa
zobkQbDXI9v2aydWwR7joBVAKh3nWxCF7bpRU/W17qavCuYnorZIsLCCYHRIdcucxh4oNIRxfzqc
/RsR8vci4B9PPL9kdeTYl2ZVqfFoV3mjKJvt2ivE2/TxP78MVhxMNBZ0CMwvvz9YDXNRVvg29dEb
W11SrBCBQpkahPA/v87C0PtNzFlezvL5oilJ2qZRc365jggMS2Ei6I9zX/bv6fKEJxDIiSCa/Jwo
qZEl3/JhjqlFUAU95n9+9YUS94fLI+d6yEgep9tfX2aio8yoW2RnG4/wDsyxerB8hjn2sjkY4Mfe
+Y1sdlllT5/pWh43EbuJwQweZ3YX9o9thog2kIzZ1ZC/38/jBbZmdcTVPtZXJlQLfLKzwi1r6CS/
7dqWparyEH1qpttEboO/6Cz94wviJGx6HNnNBYrn/MIsnKUdezmW1eOcdLhSsDnSrjhguTW3vTsQ
+mcZ9+Xxz9/GP14Ujda0BRXOYBo8DFe/q7NqwzCyB6aDXDSaz9KT7KXVZ7ONrhJvat7//GK/l/+W
bwwXg/TPC+Q3Ef///cWiQMKd8wt11MCKtk5rfYw0OzEiUX/xqv54p1FzyDYEmCYih/xRPv/1/Z7q
3u7vfxP/l8yJqKsmKY/YOOiusQVjFPb+wukPf/6Kfsnf/XhJS+OCa7FNpKXc++VDg8Rup87s5EeF
6HmKe7YUYT/G0Rn1Q8J7o8+02+Pg5pxXx7q7zXQvbVIWzpoHUfzR/9j91WKINqrtQ9AyP/aH7Y+9
4p//qX94TwT6Mr47hB3eFmex6v1cXBbh+FRtBV80i2PTO9Z+ry5YWzgs/cfXgfhBJBh84uLhW/6O
n957UsRdE8EAO+Kk8Hqsn1aZbKIwz69+XOe/c4K/EAX/GVDl8/vfvZv4laBm/q/hVn72fwyc4hMK
IINdFhyXb8ZP8wLvk+PhXGSRZ0f0U7hVik82tk2ERVuK5SnDL/unROh/4n/4lNJ65GLhCTn/kUTo
LQbN354wiyrIo0U4rEqejTHI/EUiZLBftw733j4ieZqTvHOR0ziEG3jiPOedmhfrTlB1sGpAGUD2
BUdOh8jk4uC2KSXRjocXDqwYcy/CnGEKczqun/q53JRMe9cevdOb2G3yowcR8EuMS4U8UyKZ96rI
SCCW0N69GnxnPhoTxRZrH84G5zohdyWGlFuLrMUqb+ALpCXhLkwwcHWQRsatmemDUdbtNySMaU2/
dR8usb5gkwfCvzEV+ZgIdu3SNpVsDK9vdoXFTIDnZLLtgEmeUilo2olJ9KKTGfs4lcFHWrgCdQBb
zo4aeRt9szcxuyfJbVa7zZ5PxtsUcqTaDjwHECtB3bYZdFQdMBXGfpNHiw/Pat9JcfKH6ggOd+ET
cF1FAyn3NYUg1ool0r/T5P83blNXlwG984sJwOXGzswzKdA3FZjXM1reKrPzAycHal+psnCmu5ji
BEwu/cJSvIYFjasKS/0OeMp+Bul41D5i267ikLukR4v6uvZHjRs/o11J0UqPSyUf4KIIO6F4Mz21
wB5WtV/YkMMcSIt+RdcUpwas7SpozQH4rlURXDKm64m86RvdXM6R8E19mTvRV+vZMtxH6BbNVZtO
Hagzw7weSdg3uF8kxh5fZegugcjoihm9w9A13gF24fA0SMcVqzpyMvBuM2qXNMQZ47txrCy0zk4q
mgwzhx0N37QO3LH2XnTuWieGzJCloliuMU040za0i+QjcXW7NflWHoK4Yq9agXZB4HbKN45J7q1H
SSNQLDP90tbVZ+VP3mfaFD24DGV2X2T2cOkmz31mF5CvagRXTpONd07zHrCGgGfWduM5rMboPJhj
uWtJhx0CeHJ7HuvWnWfAaCE6VGD2tcl+0OqBfibCHl9knF3no734lDJrJEdVYASd24oMsUi9Z4UP
x1p3gY6PPEenBxKN47HQnbhYYoGJR049vNO1q6/CDLC5pGJtP2SzetNYUs4heYoDex35SNeIARxQ
V/pWGmn7lkP5bJGM5q4B0mY4RNFMLFTEqgsUGsr0OghBmbHNpKZUIdR+DaMnGynWNLhM6bj6Mrhu
8WxzxtarzuCjaLIRWFcXMVuFTi1pU4k4iMmOwJ+XQh8yEmxPLBdkRrLESm5Scjwrf7ZxXqpZnQe4
HJdR4MZd4ZOdHoK5Eld2Rv4PKpwAvRRY0a2pJtAMlkit3dA2HVRvj3ClFJ5xAhQO61ov4DQuWqa3
1iwJyi3tNRCg+y0pvXKrcpFvwAyPB8/TFN4oxul3/tKCQyFufcbCF6+HWhENQhilP+dHdU6wtOhY
aWjtvGpyz4DcxpP5o21n6d2BWgOYosiLN4ewBdEIMtsSjNtTHS6lPc7S3yPawvoilk6fUDcBOnXT
PjhIGZtk6f5JlhYgLxHcW9PSDRRGub7ze/qCJsfRS1sMLUJ1sBTSgNwQnjoYS9OQVw3xOSMOQ4Et
PUQKmMWFnGZxSdh1PDcG81ETK9k3LZcQ1TxW1iGcaTbypt66HTrLeRYQVp21YKZ4gu1PCafy6Htb
GpKaxeVaZiH4UaHrZ6fCfmvUY/ucLO1KoKN6SEJL55IUEwXoSw+TtTQyIdzqNcF1SDI2wsXK6Ohu
sr0i3MWxD/lELt1OFR7ac1TAh5qW5id/6YASxJBoRkkFebw+eC2NpVu+s/r7JmjDC/8ZHmulvddk
aZcqlp4pZZXNjeV2/Q2dpeWXyUPYsIVVvFl9ErwFPqB0duvJ3hoNGM9Ll1WWugr1hLjy2jewd7dL
65X4UYDloP2BbKQVqx5s2vCWpiz6hYpL3UCyS6nRstrRX7sUa+FCZY3nqVaE1Vv9o3xr6r37qEnW
0dLL5cde9IhLdPgGE0tv3JZyCMX5D5GpZ3Kydad5wa4xU49Xra31DoDo4tVuZX2uPZyK89IR1vZV
tM79ljvStMqDQ43uagEw2fK1ndorp0+MawHds4h8jEZJdD0axPhZqrcCM+m6SCkJCuqi3Spcz2sx
UkGwbVtFoB27isyvMib7GDF9VTB7YWS9tmL6CTKV5se4J1S8jpDBtu0IbTpu2zeOEqzMfeU1a1/L
kciC6eiHtpunDY7OeWs12tmVQTHcS6N1MOVGVXAYRT1tC993IX6NHPrTe28m8JcXfXeh1KH+Uvcy
AwZo1V8aH/vuWPP2lHznHwsm83xja/s67sCbTRVYBNEhmwtt7ZWc5wN57nlfaivHLhN+ZDy08gL7
7uh1B80shHfFOID4Wikb05xThUfGsNV6tA15D4OgvyJWZT7YE1o1AQbi8qgXk1qRkenlyolNIJ/l
iKe2TwgbWKbxfQxb90pYVfvM/UFxm19DHpqx4RZRX30UqKwH36oxL1r1/N4S84SnVF7CTLQEs6Z5
Gw1F+MAHUPCecjrmUNn67741qa3dNfGNiMYUMMcEQ60bxb425+qSA2c7d0lSvOrBHLZDHNU0txvD
UO+I80FEddVorjhmBN/J3KE5GQaMgCyzG5Td1l0lka+TrfBL1967eO6PpV0a916URQncKXs4wJsm
/m90pZvvjaCs7tlfJOU1oTIjBruXI7GxDKzjo9mJ2d8QuUv1bTCO7ZWGfXaHcJx8K1hxJtyhmJMB
wS6iops8yaJItynb3bWfCfHYeUO+G2Er0wCTefJQ0LPONMyi6K5KzC3pI0YZBEIPZpFQ/+7p+h5f
PAJwsSoZ6HHB7thWY4WPfgB4bYInUmwtMEpkBIg6PX7oZBy/69r66KBWvXn58O7WAyUcDrG528CI
3AO2eIIfgKPWZSX12ZNLf0NtDjjkLKbHIaZar2NupHMeT53ZyyvZ+I/WrAvmBYQwrd7wyfKUHRRf
D02t7qKNkzvlLiZjfQI8om/BCxn7sNLGg+LovteOgIJnle61S+nahy8bueMejfZlPEs+hr54pJ+A
6LH0owtJRtS6eVA7I6V02iWhgw4XtWeS85R6ptacbhxbQWy2hiC6grgyAGpU0bEdveaLSIdx6xt1
eCmIp8CKqkiQsEQxKE2dm77CAmzkodxGjQH0lYR8stY+JumY4I+znYFEMQ8eDGbEifa2cWjGO6Y+
IaZlrHJHgIv2ySMLuhXtaB+YEIkHHPLxtq1N57o3rPDgYKncZ5MWz/DeKLa1cBNk7qCPSR5WFw8m
GnUt7my19DcYyauTgNZudFYTBpFqM1oJUAkob0ydZ/uZB13O/UfBzQZLrbW1NepnIgr/4IWqZ2mp
IWWUmX/twvJ9Gmge37uqNLe4+63DnNnOMWgme+eloXksh1ow4w8DHjUTBVzsBkDOYQU6d6a6c8xu
xz4VYy/MlK2fty8G1dGNtuObYTI+lyisKwk8+wmyl7ty0fc3ScWhpXaJJteWOV6BrV6shJSfr0Yb
HHMPI4xxbMG0ii8Gptbi/7N3JruRI+mWfpWL3jNBmpFGctG98FE+yuXy0BAbQgpJnOeZT98fI7MK
kXlvDXdzgQa6FoGMyorykLvT7B/O+U6T9FeybNRNNycCT/zG4ycYSL32au/3RvwfRw3PopR/2qf9
ZYhESOkUYYEJ7oYeXYUmLfRTnWvvmUyHG2FF5GJnvfYNBvtwc1CEvBBDW9yLYPIPUBXKV5AhAKs7
Cnxw+gLodjsWt0ESQaJbGg4fOw5Z57vahZhIEfDQhvjqCZZL9aVrzkk+nghfTOVqGkVN1i090WTb
orNNgG7xwUGH/cNXub+S2pDfk4hQ3yEOeEJ0Dsm0KSyQkq7xItrWPjQG2XdRCYfa5u++JK/HOptE
ym0SS1bWKi2daVcFtv2dSt3fWoL0FiPq3/LOuiAwfTSpUBYjdDkSJsW4IkpzfIDdcYR1PR3DDu2/
FTMbXehG5fp0pUGgNslQYYTX/cr6wHJP+to8qBmWY0pRiAjYyJ+RQCdihd4j5ogNVHf0bBu+Q0m1
CzxNqAd4hd09W7xI2wwcB6eREJpPq9XDD7KtulVhava6bwJxBeo8ugsNMfHkYdxc52OnDmbTancW
eKNVHU1A69nXhRNJJvrw2dXDSx1MJcwHK9yQcJtsrKFMNh0ev4UqLJTZ1RSeoLY5IPbTCnlOa03s
ZvOuXqMMDu8ngPQbclTF3qN/vYR6BWdCDl145UF3Cdsa+p3IzW436VTYRjjWXwUDe3+V9v1wC9Ke
nXBLvQCuByyCvXQMLT+Kuc7ufpbcyc/yW8yVOLcwRTlqh3pmF4iNTi+fLPQ+CCDeUMnLn0W9M9f3
zLOp9GGXDJwP1P+95jRHd+4J4rk7wHgUntukg9KNOty5R0eI5wzAxY082/xQ/ew1FJUZh9Hcgsif
3Ug7Nybp3KIQKEm34s2NS49UZJGqXhAeNbrlWmImXEOOQb3/s+VxfrY/YCwwFDalPSwdqCx79ufu
ejSLiA885ovrxkVESLNhvxUZGBQXWwJ81a65mAA6tyMCwIlDjH4LVPpjUZl4ELXiqokwvCs03jCp
Ffk1bQ0TggOVsjbC01vklMJ7e8jKQxfQpCH3b9SijVDhB0j9sDLxOSwDMkiekUtYS5Dj8uI6vf1U
8hkAhppbxnhuHuOffSR6jJj0o4ZJAU2mmc22uJ+dp/rZhbpzQ1oYMt6Wc5Pazu1qayj/WNLBFnMr
G85NbTq3t/wl50aXlream99kboPV3BA7c2tsab6Dc7N8xQgXv6u5gUbgo+6nuanO5vYaNQ2d9jQ3
3cHcfhNhEX6QoUFPnszteTo36t3csjdz8z7MbTwgCjp69gneMpvb/Glu+CMOaQhR/Fv2pSl7vHky
EM9DgnYeF1jz4EA0rbv6ZVZ3+X3C9WuK8c9B+J8GX9iRXAbGivEb4r2/phjD9ZU0CaW2HRvHJAY8
3DXCczC+ae5aCOp0NpvWRTcbdJ2GG8KLDVuLXC/beK2dIMiIQ7X9j7Fr+32amONBc4x6Rvu4LxQG
+ZN0imMbEsiFZ3UiqUj2wIaArbOJLWI+00jCuUCndqc3NJ2z4s6wV8rX7H3t+Bng7JG/FcEBHZWV
N2VvpOsSuchWkRzGaT7IQPpwpkU/zzdshZx15s9zDyQNkLT5MPznb5gh/8sbiGIafbHAOv6XoTMc
Gn80h9HZAsV4nF7kS/mmvZTX/lw/hIs6u9eSfzXlRiP51zsPJT9qahN+kNTtv7wi3jAzVU3obTvl
eO+ETYZACsxoPINwmARu4rw4VCP6LYRfcfBuQJNcFyBhvybDAu09jmSjgCca+SxtKur1BHaZ8FgI
Z/p2sjztuW4KdUPXyVWnsrwHa2faIMmaeKzuhjIvjzKt4r3KpmFHJcP5xDhloWzn2g4Tm2rKT4YN
iIASk2XqOANunNyavpO96u3q3kt2XWk524aE42/ozfDRNFn8EKQdbKOkNaZDR0H8GLisx8weDPcq
6Yd+RUJl9WT6cj6/UpE8/8+O9OfdwQ84wlUIqwVSwB+7hFk3+6ffrH+Kbx/az2q8ftaoBP8GGZj/
l//uv/yPz39Hwmuz8+Ip/uXr/J9UvNucNdrv/2e7j//9v/7+J36f0Nvmbyh0rXkODkzhVxmvLcm2
knzjDUCXgoUXg/g/sq0IsELsr1zSC9kpSiV5Xv6Y0RsmYn/Uv9AXGKe5M87ybz/9HyfTP0Ms/Hl9
aJvzXwzDAHswS820w3mC/8uyR9iYv6yk79dsmfPF0JP550V4PQ0DVBgI9eFf1Jp/3iD+7fV4Qcsy
WWXNyuVfXy/xZR0r1v8QtViRYjP6wieIqqonxfWXz+C/OIOFnPfXvx7C/GwgOnnA2O8xutJ5e399
rVZZQsogQORFmA9DFssqyJQKGBUJUZxiUixO7YRaOaHaXPll5X6oJGdemw0xzYuJkg9tgbHXR9yl
i7itZ6ub61fPJiDMHrmLss4KH/2+1UWNZJWHflkbtsf2gcICLemUUK/3Mv/UPKYDkP+NW4oloNug
6S+NQ2NW+iVMRI28KZw8Mqhs85MjOF/XTh91S6dOIPShqv5EbeGtYpzwNJzJdAH2jyOxKSlgy46Z
PUO17iFSE7kdcDS6u9JsY4zYAXzyBchd7xn66ASdISgneN3wkXxCRUamrRo3wraYJAIqsjs14o7c
3h8WtVlhkZR2V32lkVbtYXDubJ/vg9Ehetbs7JiN6oYULC5WXDXefiJ16ID3PbsMQ3IcAsSJpqfD
KA2LFy0ltNDRxUNkTtk2s+wjuPVqEboMSMqiYtDratWR6SxhAm1L6Y92kHm6i7NMU8yowtiK14Y2
xHuKnpfQbaNFOpjxaiyJ/FW25hAWa58bqpVNUlPuzLBFaQzN2uKq7TygkjHppwYE+Fpo1xH6H1VY
vVDGEGzZf5mrJHV3zNfwVhWSl68qeBKG/5VFITyDNuIfZu4CvfFdnVBPdcm8AwiglSuTFxcq1Ved
oz/0rcEqIa94dDL/zRfxKc3wvAjlv8NJo8uAvblikLJFDvCQx9XKmd/RGKz2yjODR5R2/lIfxIfV
ekcjtnclvrtlwtBSR7m2QCxRLOmOH8ATDss8NT4ilW4k5n8AQc1W6tGXLlS8jr3qxeI3IEjPUkZf
2B6PaePv/WLGqnbY+7ugfIT1tNVAYzljh/k2ZjKmHYOkCtcF0qilMzhiWpReWfrHSJqA4iPTq+/L
xjqHWv6SdQAjemnSBfTJQXeHT8D9RCINFTj/lA+PshqMGW7qRdf00MMkRGeQagjEXLBjremcBdGv
Z+kN74FXPw80QGtL9DVvBrw45Wk3qILHMbL1JZIKjzgb+BjCzldjjJRoUP7B9zA5q0q8xLrLD4B6
Uvd4uaQP3z3L3EbZPC1U0mZxly/MIu+Wqc5LU8RrOxrtjqULUFk+WK5LotSYvYwLLSEbzkt5UONS
TLdGq6Fd1fat1/lJMzs9dhmfg6kX72iJ8/X/7L3567X5f/4fCo/E2DJvn//FGvw/LtXbx2cd/HrJ
/vEn/1iCcyVivtN1hx04jbnBrdJ/1g13sf0bMg20HQTV/PTMoVj544qV+m8m63KuPklI5Cx0+PsV
K+RvjonJk+wsivjZUPffuWL/03AFWwcCN531PMUtiqs/X0MNITOqaq1uW0SN+9i31Xif5ZHimHLD
6h3BZ3zomQ0Xv0eN/sOpjoHr6y8XoIFTT6EMQtViCIW39M+vjGgZsaDVdVtltt4mrKRVvKWCBJxF
2BmsjdvCiINlyJbrJQEDM62JrSvmLTmjviXUdl1t9aSAaVpXMnn1Si9sFqORDQvTYCBFpyvZxf5E
78U/MXy9IA5yWbYGz5/RM+YlQdsZ32VfLmQDZHDLfWy/pmY6vI25cJ9gX6fBWhdd94DIFJot1Fk8
EwHcSDCXHi1zZ4j2JTPtcINVElFtmpKUm4fb3t9w4aplPWXvwHtwEyG5ZTAA/NnLf3TIdI8s7wCW
trH9DKql3EpofMcqLYyMmDdTEcDnK++bhkkjWnN/Adt36IRJCPq0cyveskjYeOBf6NuYsENbuThB
a2+6AU1uZucMRo3siRl7t+xZb/HTYilnOTTfa9cxJVTEiojATtKchARXmvdZ0a+cITcRRBOg5ffc
dH1VMlkpVLLUZnCGKqpZ8I0eUwOj4rsmEBjgyAGANV9W24yMGMI3sYSAjl6U0t0SClIv8Q/BBQ9g
ewuv7onnbMujDjVxRwAWgs+kxgmSt+kqxz2zNMBzL1ufEXjTh/Y6ZiCwApZN3JUFxpX0LmODT8ba
mZCxFoS9s+Wq2nbv6TXBXz375AkK1LK1MnEXI8bYeIWf7oM0VlvXShDqg+fYTn1FXoIwMWTWhp8Q
n6OZH7M+6q5FYbyyNaWdoUFmO4O99HWcEoBxmcng1mcgjkdx8IJmMWdAokVwgtRfmWxY3Zk3ADqF
a6d+Y6JAfiJlC597GEz2q8+dcrLH0HgHs5B+NDZ3BxuDebolgr69+nl8xJ2G5pdoCfbHwi13DYgF
Xze1fSqLYh9Maf6cAufgvYbrqS108lAmMhh6WL4k1YA31PVcqSWWhfySJh0IRd2zmLGQ85itRCqY
MpL/NtMRZHJM6tTYssVK0i2ZA9hVLK0q2YyY+qqk3xPUJgbwi4k0qJNeSeKs6nLsHgQswY3pByP3
NRYAFg16ab/CqB7Blgu4BGCfycMrbc27jr2j7/QmJO9SgXEAOZCLXWxAf1oEuuPfgRkxbzmLI29O
iwoBtDttlC7kaKLUNgg0vJdp3j3h0ALJ4Lh2/8guTMgDKjNcEY7VE0cx9o3xmZcFkCSZGk/UKmW7
beDUf2Wq99yNKcXIEr0uJSOtabS0K0jEfgNsF5dV7URgby1RyWVWMiNbyIQ011aEGereUjuwBKDl
5T9yafmhfW0nskj5+6X1Jpm0e88cP5Qfv9dpcDS6iM2WZm5agIiLtBPJXRe48l6ZiG8odo+k4LLf
Aax6dJu52DBmFpkOWpw5HtqeojxnaqovZaR/BLGBgSHHG+I1iX8H3bM4ZeiINsLnJ7JHMLt+aoeX
wNOamVfqkGg1iHXTD/n7pKpuM6aaOsNC9ploj7NUAuTjV5oyTaBIE1BwA4fKFt4965cpQ2nOCMwy
3u2oD/eJaJMDa4r7AdoXRK8aR+PKIANYfZb5aCThAqGASW6glvJcai9NCvy0qcnGVYb1LQ5GbIpg
eR9c8AElWxjW7I0VdvupnT4LWXJ+1LlpQoAgvIbxtX3qiIK0zHhmkg+av55hmaATgvSi6ezwl5Zs
5VLPe+/K5iSWN/LOq2ahj3Gzi30gMI2Wtuca23W8DvKS9hBHLNhucr/GJie8KyJDhW8WJA1OC//d
AdO20jLLuZPOwA+GLgwWKruQCPs0KNA8OFh8jtTvwKvATJHW3sfnzjPrZe97uA0F/qvU2jfE2Z8K
oYI9LdwXt1N4znKC2pKKRGBEWpNV7wDmDssC8K6/rqZJHyGx+Ab2IBQSH6E2kudEQKJ+tNm8ewtB
SwtlfF7YLhyrY+kddNdw9OPnJoS0kdiSpJLAaDEmyoEMNR6YrVV2TndXFCoy113XOWfYSemTzeeE
7sWocP952UfbKfNSD6X3PiYsAB/rMuWYnTXUzSpv5Ey3rVRF2BDVAe204VdrqG4TpL5JLqNWfy/g
XW2stJ5oQo3uYKMwG6rsRRva2SI71GIAjxZLTJUd/v5tyAq8pKJ1HGMhyrC59eBsgoVnRObZru1+
WI+UxYuk60vCHTO6BahiKC+qVV2k2iVpTO88aP3MXPOWoWOiu6jCFQGXBltaf1z7PjRaG4a7Y1aH
qORmsirI8QiZ+RGCk9vpH4y4f4yc77u+tikVdDHu8N8FS20ocVvA9KPD9LQVFoZj4SSMxdoKqUYH
ccLzhbeaAp8PmTXyIbL8J1/C5yqbni+A13M8+xKuL9hECnZtCq7pgBCAHIkNzgcy65WxwbkqjsEA
MDPRGmOha3b4QQPRLL22gzleO3QZGjGt5AHEy7EuxcKv4RIXs2OFT6hfUwtKunSQ/wgBvnlJxxuJ
umpN4wLyr8y8U+50yG3q4ltvBdrNzbPqrkEkP5capPEqEguJiDe2nEDOARWVv3biCjRyKwAcZKa6
gxVooo1wL7U28vimwrwn0prlalIzHqy6wdxquOnWqJ78beXEBCTKCjBRHZrWgXKhfp1DTgmmRKJL
Ql1YX1RYuOvIaGpnnWde/4owK7nacJ/pvpL4C7sXFlKunJ3Ruf0z8Thq1Yoh79BP6jnRD9gWiMDQ
vS89mNo7ZY04nppE4HcG9r+FAwfAPw8NQL6ay80Z45PcK98ctoOI5JtrVCXiNDHcA2WMMWAXmRvy
fgu1990UR1zXReneRz3z6LuGdcC2atwATHufSc3yalFkTrp1Kj+MOZgMuNmNbu193mrauyHCuSm1
cM+jUofs0MbO3+Y61pgUGuiTRFS6gEPRzXgiEkICkfgfzDYYLSTKtXM+hIzkHsfRbsxgo7swqMdD
NEQoPPSxezGtJj20JZBj+k8VnFnkoqWswfTvGwR97toK5HSLo3H8bGmneUydOL5WpDddkfoVWDFD
thqUtsjDKO03EbmUTw57tbOHW2EfQKLZjrMRi8vP7onQqpT/Epol0Z+pnhysQRtuXZ+adx0hnA+a
i9WhEcq7yDp3TgmCfrYXjv2CRzdmLlXmL3S79KdYCFXjn4k6VEfIkuQmobbqCJmLzZTKPdDrJSee
QZzvFB5NXWISs6tqm5MCIoFChwNMaDqLRVsP2JPI3uLLhNwrPeP8CkiqxIUjcGYtcVI3V0U89Q4q
Xkz+emZ8k6pDKoFuTN48ryfxbNJICb1wRXC/EXjdjRxgYMvSmuUqHXMNnDlzN0pmsCaVWZIYT3C7
nbhvYCjwWwoj5pxhCMOiVW1KIhs/KFrIb1JFg1ZoSghTaIcx26ZWX+2KsqtfeWinq+bWVJvWkG3j
ihdxNJ3MmXl6bqXomxQA0Es+VOLc18RsveVSDOUDxMYyeUS+5turppgilIUtDd7SM/yoXzRZNXjo
KjoElXYLWpSBXKdtrSKPrqnZ+zdQzOHXpMWCPGrl52uiZPxtW+n1A3Haxmubu+YNm6lIsIAK92XO
nZ3WUQiEyE+14GPoVbRnayjfSlPM2PMyBJbeF2q46hSon5XESksqjJz1WEN5HSuDs2KCF0fBVhuc
amhkGegNiKAXVS3bZ8XH/UZMjfnNUrqqbihpVXP28tKUa9b1gvi7GnKgn0bVupNjRFAkDG5oJljf
GbC1xhjuCoMv4ar1NS+ibq+RdaUjGzAko2pPErBjrHLuw0NukALB/KUszn5lB8Gq16Q4lVqBZIVf
SHcgS95nJtXK12TqA9z2bvEEz6B9E7REiPaK8lpZ5gPOypU/JPWqqB3n0IzAB3y+h3jJlP4W2UH/
nQSWaKdCK3wisFJ7weZBVgxaIPNVEYS5Z2Q0bvDK5LMMUz34pkM2HSon786MknU5FvGOijoA6mD2
d2VN9kXLW/hGknIHgFdTFzMoqk3KXJPgFvs+tKNx32D+WMFSiq4Zmagnt5EtEh+3IVqT9DbMjU4J
VttORu+QVxNh5pbtnfzA+d76eHq7dHiA7zuPnsoK+AB+EGLAVed+tU5BbGabslhnzLfqehE8VY7b
PvcRT06iZc1zlPgoZwYlT1lLIC5xpukDhqYv3wz0pZjhMSXl7AV4GVHyYVh8mkAWuUF7cZcxKL9N
ndswXtX1tTE1/VNsoGevtTg4kzwYXfKpkuuxIm11nRpFcxw8s4e56xc7UuoChAvwcmQRIh6GC1tc
WnrSd1J4TMZeWbMZZ+pOjUj0vrP6eIdG75mlbpivmP+NlAfgCdZD7jrLqidUjyHzBOYS06kxq7/i
RFIDNZF46YJcnFDjxwfCOd2X0C69717ImW/51Glcq90Vttv4PaQWO2eNP62n2mtOLTLhx4YqL4bk
r5ubSSu0PZaj4sTUzfyGcAHUcZG334kkIp1pasK3EWisBYSMltrIOvvk2DRri27k6Qq5VVZ4qx3w
NdwpTj+n1I30WNKLN1MRRCcCi72nxLHqvQXD7YlAYBrUQKV0gkhpnWIkEzSQxoXtDlIHu+tRwLTJ
jQRfcQrw9n+RKYvsAg2QuDnUk2c95c5bjJknPxxcROOyrdLqoPs10DmS4f07jS+asSaDiR1v08Qt
GOK48Ve5ZhbPDZpFRMzuYDyS6VHc7ErUbzijma3gNSizFSnl2QtAVe+tb3R2s67P+XIgS0RBl5D+
00ROizpGGZoR1AnwCDdR7HhvftPTX6HylO+dypCdi3TCqGTnb6CiiYjydPs5VwxprLTJjz6V2px3
Mkb8hSLYiJmTbEJkN1ccusbaUJV1xztZ31cGEeSEvTZvbdpC8+jKeZzueOs6D5M7Qi7HzUSyyrF2
ODDyeexf2Xq48eNUwyofW1APdW9hMJDliM+R0uXZR56Vajiz5QysO01N4OazOQGLEFXjCYYu/IWC
TexXp5vOBrvAuB4jyKELb+oxz+ckvzxDDiG5yQO1C8QfAQQ/PLT7zvRoqEVQm+mGKoDdgt4FrzBg
jJsdZXyBQmPi70AUxXUkm31gEORnT2ZaftVxSOphaY/Z21R541dODboLLI1jCDDfKkjLfGWR97tV
Q/ge+wy2jJwEDHt8I4R5XDVczcu+aeSyDyJ9LsaeOGTy/VjVj7qHANVHfHvwo8bh0wQz0roEA2gq
P8ZtAcmkda5NWJv3kH7To47YAtWzyQ6JGIt4ZzVZdujNTO1CIC8A6Bj67acUte8KTOl8TaUYJUHC
unbCFsKtedLYyQzt6JxCfwxWDD2qreF6+nvA1+e9AKI3werNCWPFUXFQAZK8jg5qoxLZXKPRvoxT
YGy5m/tr7GlI4BpDVktiOfptorlI8RlK3VtCv59nQq+68kxAx0Vv4D/UEPdQ2aWkDXBenQLQp0y7
aoudmBugq20jGs+FPUwm87epWckhSJ50ZOEKTU2lHigNEkJoMJbcY6/RF+i367vGDMjiTmS4kjWB
J4438lwmnrtAmo9MHCcAO6+QBczBrJglkuwgvOfS78Smror6NRqlforyNmb1E2gc4GZnPciwLU8l
rwbEp/QugaHLk15oRDN5cAwO7SxelnkcET4x1oei0YtDaIbOVRlJscl6xSQPMXn2MtZdc89wrWbr
JFGuI+VJ43XZaWPPirOI1r45/nCR9qwaQegE0Gr9Q5v8eNd5k/eoOJnYZAEn4jqaBPkOTrzxo5ZQ
O0uf7jEAkf/C/oM4oSh1TkPcFA+TNiBTbUlS3gaazO5U3k9vBInbKAuL6JuySk7BIcekIaSqFuSV
cOvzUEPttXTxpIKRnDxd76i5bPNO1lxmDT53nxgS2j04PpXQvjnNTIoZexZ/YwoeWy+CYR0NyfBg
ewJA+IjApklUsddyHdK3lpXf9ZACRMOntKpxw3MY1yhorW1spOV9B552U8XYQoxp4CLlt2QgmU56
ZE/abyTBQPYqCyJihkfHY4UoA57xHJTqUjmjt23jsmKJRRLUmSy3+kkRhPHk9Bke4HaMAmR3FaTT
TkUEeiTw2xbIHoobWqZU34RWPYyrye6ibIOaSc+RTAWCkWyRkywGMYcvZBD72jOZ3fXeIdOW2TNF
NAzcIOqusOiq8EACSPhIShtWtASpIuACS1lIKsqw/YrsdNpOba++x2JSV2dwc2NjYw4v1xHsOmR3
MufcisoAwkaCcqll2erIa01wZbzskQARbuC4xXNLuNJ7B3VhWqLV0s3dUFee2k+M+m8hK9SXUnr9
Vouy8n5gtcYq1yrrhw5qNOO2UTiXomcQJzszvee6ebWMkCwBBxofsk33u5bLYAPbHAAoBl/UQCJ9
iuoIp3TmDFjnVSAgfOJ10UasdAHAp5r941mF2Frg2rj5Y9N0w0r3xunG+NLaO+TBXeSoGDFEmH2O
fjshLWlIbvhgagDbz8+EizqyYnWgDYNm4pYjJIsZcjkt0fwOL+zRuSAYoY6nJjXtdRs8hIUNe8vP
lHuLGy8jcwtecawq1qmJPZw8wU1wV3PNpAs4Os07WNM6XwYslklZyNMOa1mmWfhzpBwWEL8Td4UZ
mv12I5nUrtCpIvCUoPk3XCPikphu8yBHMT0zOO8fNNVm4MaNZBsSL7BtcBJ8k+SN3QP7M9eho/X6
hmCwcVVDcrpHnTLSl/cOzroiDl7DQSUHZF3dpdJEXDKCNALzUDqkbvMRJPwaYB4+jyFVFvtJrXsZ
p0Yx/qe43oDTAp5GaMr94FZwlGyT6DnCjpX7kGN00SBoC//DM/DlLkPTMB59b+ZJh/geHqPQJoBT
82ig0fxYXKe1tQQmTyM1pNI6V7lRX+Hb61fRy+x+1KwM3YUXlq/T4IRnNUWsSLvSUSe91nTGOFkd
ZXdhUxqkprkClJWL3SQtoZMt6pb5J2xlqMvRqHk/wjid3sDzMCvrEYdTlOll761gB2RAyiVt3FR1
yTPftq5bZknITcDUc7ivden96LVmPuB4iCw4ps82BvudNJrphIHF3gfIyrcEGtUHznYuoNrVP2qz
rYKVS4TRFmmG9k1pYQE1skKw7EflEV4GclQZtF813K+t4mtLVr3jQkUrm4F9deSlpOe1K3qIJFo2
qMDvMnOy9xbn9qqz8+TRhFy+1wRLawS37UcWlbLAFDia2yLRs7vIRHa5goxfvhkF3qW139r5lRaJ
6XeR1d/iTjoPaDwTQMw2ejZR8UvFOVT7XflC4B/oFvjhrDtCu9b2GBmRgPMePgJgb35wA6XOAo2J
e9MmQ6JnTCsRrvM6uLSpXcPNiS22B5wtkDNakzQLvWkuqbSTQ2HwhwwPn6g/KfuiBizzC31M2+8T
Y7X5Qu7EyWnxlHo2XQmW+j65wiaOo2XgRoIcdS+fHoaYFVtAcYMJPlQPLLeyXaIbwRXzFzKEeLCW
XVfSaph5hTuIIOkpwAoHQErt+WP+PU+39j4YANH57UvgdUg4wnx4o2V2zq09TZdxSD+Ir1ulcYvR
Jpi5X5E7wp8Y08ewl/0WASQGqsB9HEPyZtEMWdyMjC53+I/Amct+AHUtdHWTPT+Xq2wenrFoVmbC
c403p+43He0rG5qWCYcWph55e1Hz3Q5ydfF0HSeuKYfqalLQ0wkkltYtnJZbrhugR4SdRRoV2LD6
lSDS6sh29QeoHqR8Bci++wAB8akHQPowMM74ntlE+y5iwyNayW9Z3wQt36Ze9+84Vb1LHuKT8nVm
CnHViq8i8zoNr0gJItHIa1ydjN0rYxVb/ZguLUqEQ4vI5ln6XFlB6lKyoKgh1FT04QLXj8wJ5C6e
5tC2Xcr7uw5KMkqHoHJWOhLitQMmPt+CgjW5Tf2BpVXTpN+V9OoTu8N2najR+QJwX8NuiRNmwYbz
qsOxrhZjCyprGesd9GvPopC1I/ZWcmrpYIQR9IdaEIIh0hJ+Ndscxr2F9VZYZmYuwQ9pBJ5hRzWZ
kYRkM8TTqRksDjnXLgsSc+oA6yI7HxJe+ltoD2CW+nF4DylbbwDJ0AQRjDef/95MMHYjJ19M8K6+
lzH7ywWngv/EiJTSZCLDmJMq4jDuSOJiDxM3kosmboIT2B39PcHXmq77wmuYpIxcXGPmqp2X2/qB
H0qb+KpXA0Zy2e1Gi1gZzA3EfqAJAa1Y+IKkzshLxufSiQV7G6JfkYtx52clng1P6STW5x6JxKvG
Jiq2DT1O76YX8R6xXr33Qf1gBYtH+wf6dJx3SmfjtyBLlNtKhIWnLQx3tM5FGgZEgDaSuJ4o4BZb
pJnC+ahUK8sjbileBk+WD48bMu0yVabxLekq9igCSwSapyHHMqppO4bsqb2y8BHzX/Q8dAsP99k3
drYyAVgvSIVJM8v6AAGfnQs2qA9cXtQuCdflwrO42neNnhrxigiX4YV5s1hXcaTd/Lm7SoHzkZrr
Ds3SZD+47kM9Xg1hop/A5ImP2MznS4xkXULeq2BpGi3INAsVwRIBUHqYUh0tPECvM3D4Dl3WPCRP
0T2xphFrHH4GT1aHpizqH0yNySjJInTX9QsAwYos1gwGv5YR5hkb9apHvPVpFFZ0aiknzmI+nX1w
Sivb1rOj1hVi6XX80xRZhAcZba2/6FDVzzVZQCdYb2KdNzC/oN91gNWl1bwEbTE9VF2XHfMYUmUN
dmttCi/dJYat/4DrZK/9wqmOaZsH995URtWyCKFAtfh1f9S+DO58QKy7aiJAm3qdMXFO3vXm/2uD
/h3hLZgMgtGtWfn6j/VBt8/kDTld9icB7i9/8g99kPEbEh8FygS9rRT6nPX1d32QQBtqkn8GiRs1
EBKav0lw3d8I4CAC3jItABtoi/6uD5rVudC2EQc5jiN1S/33Us7cv+p0FDheAyUSWnRqfoC+f9bp
hDG50DJC04K5jOYyCu/SZiAs27fajaul/WfkkOCuIX26A/Q8Lm0mrJsuUJIBMjoVN4+wsbGKxFfA
jst6qFVP9PvkZTuAMRh1k3g449ZRJyyD9o5QBxJmHc/6qISXb1CpsvSxCR9+h2mm16dINw0yzufA
UmUZwVNDRXMqc5bmrJUQzOMxJnaQ9t3ZhX3fEG3qW25yxzKpZCoA+7VtTS5T1vk/vHCq6CecAwkt
3Yui/FtaeYG6kLcjnBjd0XxWbFs3JUT9eJlS87JXzKNvWYqtHuEAvJCFSCiG6e44CZaZ66f3XBN4
ciOgQNkq0Fy8hJ4TZtuBaLpvGWCJV1d3gJMPdtjsCjfybtzRA+5/PWbZFpbzJuj/UnceO5Ir7bV9
F80pBG2QA03SZ1aa8m5CVHV10wYZ9Obptdj6Id37AxpoItw7OTjAOV2dlcmM+Mzea3MccIsaiAlX
bWwnt5ZAhdeFboiEsk4E8FWm8P0wXc3J7A+kKw2/SqHUJzG77AkbFh83zEHYXfFn9+sJ7ONrKAb7
3Nq28RwDgn03yoJQOkSIXDJVPzz04eKLtqPox5/QD68jb1xeeG7vdMZr72L0AKVfH0qgGGeRJxxh
fMzFN+JK99jEgm6A8BGLF4laYyVs8pkykZo3SwVk2ZAVOW1IqSfs1jfsFquRl+wpWsoCwVZ9dGKk
An0znErZCDypAFJX0RDjNEjAP6YRW9CxmkmuMVzWJkk3D19RXKWngb3WhQeqS5lQ+GTseAqWKQpi
uYnrgBVqQxIINSVboNo7SEMlr2D92s08GtUdJqP8kTZZrRW95Q0/Hq0J+F/kToN9i4NMbHOfOanX
KXHHJxoeLaOpdmrOxGc1z/OJWRHFE07Wy5TyoNblIL+Z8ow7YY/NMSstIj4L/7mqBhrougSe18X3
NGqstkjVfdE20QZR5ztfidlNdzjXnDVDq3JHO466uW7ehNAfKmYDYEqyRviYXpug7yLAJG1BDlLg
Jk9oFQ71mN5ry8TG5p489CGSYSUxVwObq8WR3enu4Bat1muiUoC3aDrTZ74H8tKYynsEsuAVGHHG
9JTHRvjeSOE/O21aZpvSNm1/z/8EB1ePNgOzpM6nJwvdzyHjmboK3j5a2hYVj+VDsVaBjThJlZ7z
WqS+c3WVbx/Yz5I9NakyXIVySP6InulUPTDixz4fNt8ih3vAl9IPnmVhkkDTJhwUkScAcPCcTPex
k8QP5PR4m8X7Sqk34yzWYxURRkUU3OPo+xOS34lMQ3BC/YdOUn1NEmc4TaJwr0wC6fgGu5/5SdST
ed+Zj4GFvcqfKztYhdrtnxl1Wy90L8PBG8bpO8gT9Ty1VlljR0+db57v5A/OSNtGoGFW/qqYrPjL
DHOHOdPow9+GRSVvqVMV20nQxK/sVP2Fw6UVYsCKSo8M+Xiv2Q7fYkTpz72yolNYu9ZTphr7XBuV
xYukxroHE2QqhNlAA6BxRM6+E110m4fUfOjryNuj1GnPbazVr5RHmE81tK1Xgu/ac541Nvkjc3WA
u57cmUSaXYtCgfLN64nkcbINxZ0XavMQVEN0Rzubnk12yiitXXfp+QzTfDYwGDZbCe+VBAJTXmXW
qgf24+LRsUaGUaxX7fik50G+RLkS9rrDL/NrIMN6LRS7XylwFa5rt1p7nX9Kqwlwsp+W8AiDsa+3
oVFm6EQGICdZ4sds1vP4MATFVaQ1IA3TcAm1tccUfUFrHkbfVA9eijvT5YvLsEcle2bJCYLGuXhq
WCtSuCcElyXBrQdveclG5f/KUK5ekOxkO9NiqwlvuL+LPNjdsnXFdzZXGQshl1DaAm1hrFx5R7O7
MNQj7xwGFVYkXIprzqLijgFMCtgaHOoW6Po3Kvlym5vwSG2G3W8YXXee372lHlhyvvrx0cw8+h0L
c0Ca9T9OmfxOGy23HmILehAzWfclKw2c6afEcKq927nOER77zTIciuTQMx5Mo5CHaY6KI1vR02Lb
Jf7JGwWMF2N6n/SSMsjKuH6wQpTDmwiy8rZ2rA0xPc8QOMadcskJKmP9ngsS73PdmpjOk29Y70N+
srD72CuN7hQ1i0NMHql2464Nnf7R7J30MvaGJq9Mt9fasnDHu5/dqA+EcTGBaxjhkcLVrRE7mIQQ
WWfTaWcftwH+jZVXE2q+GjDVb0rZpXcWLFa4CXrJyRjdkGlVLPjXrnTUvrLTU52FeENCd6oYfMYC
NIXp012vCODTh77Ov9SUq5NHpOeHDZaAPXk8JReWZj2kAYbZ68I2qseqJch7rgYfKydKzLXsx+5O
xWx2dhbxZJtmQlxGg2j/xmbQJ1uuePwajm5jihkjytca+Va/ZvLMPZBYTTmuJty/SBjy1PtVAJC+
4Z4bbkkWN0hF8EigpCAhLYCsn7ODhpN649diSxi5U/rM7L+CWBG0UNvNcBhfwxBWPo/7B7PYDWUP
tFAoU1lTpV8ciNUjIADELa2r7AWmjMDXZhYkUiwhJAbOH0ZUiW0k8/GU2jXZx2xFkDQP7YQ4ux4u
KA7c7wZn9WfEX7yKTHx+fgBfTLFh3kFeqV9K2ReHyMu3eSObk1er7l6nYfSauUrv1Ty4f/Ae5qA4
HL2zJCLHlZ8XKjnkNJ6HoQhcEJG61pCyil4AnnCKe+6AYd/lWX/1XX8+WRRkr8kss9PYGOOpQhOy
satKHLVyWy4k6Z7Jd6QRA4XhH+Oa94q90/zLqlxxIO252djuHO4aVQEpVCbT+Njdsy55QTAJdshN
NtKFO67temM1cMsFmFmfpq1b+QpswlD/xgRCPVfyKGajt2XogquCHaVqB7VxPGPjWdODAafiVJaD
c8z0ROoJlJsvl/Ns3TiUFG6jsJf4hdix3Cm5YSxEvrXvP3izYZ6jsBp2ihjUS0H03yoBC7fTkGfI
NWdTmdjWNeq7O8ua/phmE0O15poaETZ67k+X41PHF8zwm1LrGrBc3xURXsl2juK9MQPfbwZulaA2
++c2rNuXyeny9ZiMyKPM8SoiunDJjmUjwGkTDIous0GHhpMG0S8O7mBnc5TFa0bJzHb7/pwoOX/X
/jxuw1SkOyeOirPQmb2YrH0wXUyPs7XWidzpOHO2LuSKQ5E48Uni+n/QPXd5iJ6AzJUwu1muzK8T
W6AHgY6fePgiO/eE6FqrmAD0e76hONxJs6vP9CHqoYgs9/csSHp0mIuTt2OZV3dRYnV17v4O4jC4
APZf7EJx8mTXVQWVyXMI7qqK5MMwVXvh2MyP1ZwNG/zPv6KuDw6ySPNN5KTdtWW88uGQw7MtIJOA
7eWipy4igOCip0pR+Sc2AlJF8MAqdvXE6dEuk0ac4DnuxUNQL2EGrpwewxS68oZx16lMZLgpwMSc
7DGbXgcQW7dRxe+lJ8N7cmmyj0H41cGWOsHgY+/BzWWEwaXVTiaeuVVE024mplzXWqbcdDqMtpq6
aVsIDucu8NCMq8x9E7QyvM0+Ww8UXxvqR+aOpLB+BkWenWAS8QDXjXP2zXYhTkddh20aF+pDZJGn
qjqv20LgGX+FE3BnL+HeC32Lv5nVHsAU7vFRSnQysnrx2j56841wEVB5S/By/wGd5cg6b49ADuiy
ytnE4SPkRoWzY1PyboTLZiJD/i4EQkTaLOBceviVJEP3nIFbOqVoLHis+/5ou6aJqb/Lt8RBiM2o
svAwMLUI0DOvdJWnR5n/APYJfiL2G8e05EdRwkKbHvL612TE013eexG4/yRH1TzAWgwVBFqfKfiu
YHm+1c7g3AzXJ842zur7oSuwRHil/hY8MAi4zP6YWi0GRyvFz2A2lBNVABVJTu1FQU1fj1EyMShO
GuqFNP/KzGDmVyEpWxVz/ItmzDr2LgPNNDScFQKW6sUwZtbI/Sz1CkKY+YGDwvhUBMntWCfogztO
7IiSINcBmkBF09P65n3tK3SdPR4IPyO9oQ8CUOkaxvU6GEjCpZPrk7Vu+LxcGWTvUzEOPFmDty/J
MSUGtrvYBqtDBjs4Ohged5g+UIj8CSj4+zY4j0XAzyeVYuyLebOY8ClPxYk9k9gqqX5Xw3gYouDZ
hwq59sw+uU+4EleEOU4HhA44UJy6OsKTQC3Nb/lRibL/mnsTXAEm0FfDtYIzORLhL4OaCdUYkOV1
X7vBno/H2cK8khfA5PrstY76kLDYqY1c9wgqv9p3tmFwC06jQfy4lYBqQwxXrwqMkOeqKDjiq0QF
e8uO3VU84KSg1C/9XVinPsC7yXPwrrnTCpGy/Aw8wwOZhKryVVMiLSa/4ApgMn9nEpbspzhMDp5l
j19egZeD0WVh3rNRRRLlFPMDUKf+lLnzSDhAMzQrpEI9cT7smkLoN8eZScVjoIL6K2KXhClv0O+a
+40jvrGPcnLU1ssG4kJbS3SsX7S37VpToESpyofWbT10EGVf/xZz1D8b+Arkqumd5uKBONoO3cSw
O2Or+ZE39kJPs/4kWRGcoLiHwMGQa99DukB1gS7glYMDB79ounijDbe7ELdgnerQsiClTeq9g9zy
K5tlfl/wdV/FbV5eQ8Kwrnldo7KYFyZZGRcDewFlNfeZbPWN4jrVK1A+06FOLY6aiksUPwleYYSY
QIO1p0jyMef6KdXUsCtKOHVQGJI3AV3M2QLDsa5yNkKeAO1T2lKiSs6iVydFYh7WIWrAYO7T41B4
1sptoH4qyrNTVc3Dez/b/XNAFfrQWQO3yZzar8oak1PQm+l3JDvuonCYr9CLoV1lWkRn+AXmpWgQ
k8Vm4a3Qe7lHofsRXAwpvuUa25n71TtGrFdBZosvJNUZMlc5j29O1ktmLWnQMHhoHVFtI4LA7oy5
QcNUkmWN8ciYd2SG6Qv3uP4gSkO/9rICBKUdGgMfygYeqvJm+47/4slMnvzaRarV9SS3Gpa6utVE
iYUUn928TJP+HSSht8GuynDVGa19DS6MuNkh8z5mmFgUDQg9WlTkd0bmUnUmKXZOo3OqLRqz9D5t
vIiP1v8Cw8gJBmV1ZmiF5ocenN+DANnKW/XIvb0QeuAKJFWGk2KZPZiKT8lsSSmvjVy92LmoTmXW
dP0W1pj3bTj0FyMmpYXb4hFTBCFRgXsHQi1wAJFjJSvKW8Mbn5IwzS8It3mxFlYcd3Qwvf3vzn//
H2QqQBbBivjfT3X57nzV/5fb8+8f+Mcw1/9XW4AGh8olLNPxHcAd/zHM9e1/hTcsASEz0+WeXFjI
/xjmWsCQLVxrASoHy7MIdf/PYa4FnwHbKGW7EEsqmgj+J2ZP3/tnkoklmAmbBJK5Lrx08c+mywqq
ZAPR0N7r0CRCN3LmTTfFxYkCotn0BATt+0p9xJlicMrc+SOh7z1bjtsRt8I/nH3BWPoSl072lsYx
1pd+9i5mUMjwOOJKCxDe1TEeqtrz3uDM0TMyg6SvzuIltautimPGBbCP/H5+o1Up/8ylbN/wyUXs
5gCP3jDNj/d4xLhfaNHWTlVmO2owC2hRbz12C2gErCy6NbPhvg7YMkYMaseNaRn2G0o9y0EK1aR3
aR7YsD99p3gmFGwWR1Dqxh2OKr4hroPFj6qC+LPYVeEL+SEVGm/DvfOCsv+sEt2SMGX4GL7R2yWv
IW6gF3rVISC+IeJn2yUx71jGEJOQfWL9BAuAHOmWKk9suqIdgvjsOltp7axSjINnoaAnrGuUb4zH
JFkQTMfrB6hJWbCCxjg9BHDed72SxaXwOevI5Opop63eVd0twlbyB/uV8RjaeYhamXP1S5uuMldM
7Hq6cnxF13hEqoknz8cjhirb8NYROJwH7o3p6A34eLitmB0UcP85bDIGu4gCzrbbQDU2zWje4P+z
d0oS+WF1bp0RRfmHW0gSJBW7qbEqcqc+pEZG41UGovPXYyv4dONuIcjMviLXNk6z4+QUcou0VVOX
mvIJxCq2VCwkP1ObM0dMGxKOOiO1f2H5Hz7MtvdOhk6ZRiHQfEBIZb2gI6wvYBVSAsAnIY2dq0Vq
bMeuZ4aFfh8Kq+SiOHURGXDsDoJbXYEBJdSZDCKX+cKJYY48Q4gaTm7bigcuIHlnp8aAZLRzP1Xc
58/sHNsnRzjxcCjpYB+S2aDkRsCLVzB1x+Aq0KbctIfaBcmrT+Ne+/bZreCrCpPwzhVKhO7YNbDT
VsWwGIJpbDm1sag8JFGHizELetDJQ/OkxAw9GkHsycgc50PWyrsjfCg/RFZt8TaVZnCtO96olSsJ
2VzpHrLnuiDxj6I8QHW78sqGmBwGCgyp/Ga2jw2JW0i9PZahydTXjwYF586f0q0YEmPj6upTaxVu
Qg8BZdX2xivY2nFdB+VJjJ2xkx08QOCGLAkc9hBusKM1YKxUO28wLLeqs5pdWUpgm7OM8XD4w0+u
ql/Mvaqr8uqnqtaUqXi0wD1s8wBortYNvjJnuCkipySb6rWZEhJqWx5aJCbot9BVPPWeRNaxG5hD
F+DcgJQmzsgIr8RgNgpQt8QDdu6p9iocLfbAgYDmmeF9q864bL0tX8P+hZSv4mIsNLfatMt9Dl6u
e2g9giYwIuc1C3hhoLCNjBGFfOoju2z91uh5XKP4F9WZEBtOE2vclrhogxOdchzv7Y43ZyVJbBtJ
ehx4kfwhVCylDdmQb8LQGefBbdkhD77Mfkid63adCQ/P91KXx6IdmZPDdhC9I8gJrDA71XJe94MQ
YH3Bg9GGhuGL5K1dd23v47xwaRdYQtebLF4UCSKPKvrattuRzo02wU3Ek4+o6tM3K5QwVlL3d8qy
yqMtw+w+RN28E2mZ/GHjS7tGBYLzY27FtBsmaLmJbQzjarbkwjrtuw/t5OLACB0bEFL45LAIq3Zd
mWFYVI20LjUWDpSVQcJoOKrfgYe6PA5TvalC9n5Kl+02d4r+SeRmjSOoQ02gyHzZ0IPJfdMx3eX9
b+5Zsi17dO1039FY5FvbCg5z5N6ZrLbOLTbb99qKmrsoGtFdZsZTp/vsmBZ+9jglVXTzGgSllpFh
yCoK+74qzpodGaKs6Z4dWbJhdtm/wC6j59UDyPkUSuhxzrRxFQ01353N03QbdJ2fySkCUZN1Aazt
ATZAQAMkjSx7RQxZXnibsweVzc5n69KsbKpajLB3wMPforibznE/YRyzornZpF1r4zeErNIgFgGI
PdOMDUgYtk7Q3YHARVsy9y6S536+q43eT1YsD8TTPGQ5TmE0U3gDrHodKuycbBkwROixvanYsU8y
VzMInHxmCuWl6U+VxR26bCTmgNJY7uROxFO2/N0AXu37tkgs3L9A5yxTe7/MIZ72Hms7vfVRJ66B
eaKtz2HLAECwC+MsGzqBlRPl+37gutd1tQNE7WGsyIbHOGhclotoYfcskbNjMIPrgfRC/nYY5m/E
dM8vLXvp82wLzndTVtYJvBgocoK9zWMk7J9mQmwhzCH7ZqhZZdu5TPULpPMcUROlR7EJqlqeR+2n
F4v4dYbBnK1urL6YsSQ8xll6TZ06QrfY2BHC+TDCPT0E2efAeQo2KBa2wailKB9YkJuEulTJ/AyX
wbIWFWV3whzqvQLL7V/G1Pypu7Kc90nYGCsZ5Tb7vCb6jZMq2hVezP5lshYqWuM4DsLbYNwiJLde
01oOz5Kj5itkHcuhiw8MXGsmiGZknqNf8Ornv3ObJr6zMeizjSM0UbXmR5yy0afrquxbWxGAOXKI
jrAcGWS46Wlmp/QehBEwlubAV8tHYRmkW2X1bJUBpxWV+SQYdqxwArOmqsIrSYfL4LcCRtQN87FA
ZsxqCModKMMgce/GIvWeetDlK6PpLBgyQXtEV0rR4c5Z861TdSXXjQ9qsuqjRYO5r9jKW6sKV/EG
iES+KYDY4BTgmaZ55mpVdrDT3CkvDAFy1vFsKLHY1fe5dMaXTM/MTbMA2VheeMsYg4Vj6RrP/ii3
ozMlq1pY/gOqeXWth2hJxErSNxO56rFnxryt+0L/FHWa7YcM+09EuXUYZRG8Y9WfbqHplT+g2sfd
0LDYWg2eNz3VTlIdurSlMLGagxOJ+ByX3bTLQAIxJmuwC5il9wfWtomz2r1pC82zMrju4Sma39Nf
M3vy19iOgsaOV1NvJHfgs7EGBosLPmQFDohgscaPi0seLzIHyeKcB56OdsjATY+TAsSxGpJ7b/Ha
m39d962JSWdx4pPWSZJrUhC2GjrEJDbjj1qc+wkWfvCV7cFkCraZFn+/vzj95eL5Z/mXMV0ZzhSd
ZGUHhXOD/JkfQs2xXgq4ARpopZDJeWrjb0IGwVEENxlFzU6VLcnFzsIfKPWCIqg0CrUYPAFnouqQ
HsAsUH/xBeU0FslaDF1KGbEQDpa1xc6eWqgHAnPBx6BnX576sBn30tMBn32ZO38osspuj5jQxGKS
VHsSM8zfzNvBK8yqovbDARz8oGMzzR0qwPkTY8LwhDNEbhxs/YsW95KZqftIMTmd0gCduy2aDLpJ
ElDNLUwHH6U9McQRmSKroXbt5zwzo4Nq6MeLJQltaNM729XelROh3boLLcKLrL4GQW4n70tAy9lS
wLXW1Jnztf6Lm9AC8kROZf1U1lZ95vtK8hJYl2lXL6SKDF3VAGESfoXzF2Wh/2ItQircjc8EkegQ
s8ifZkQv1VYPOvpADKHOsN9AZJisb6/YKopNBmoJ/yfoaubdEWSNzGpdoC6qwUYOogn4RlbVOMai
WWCYyUIdv4ksJotR65YNpoDfEUlKDKdrSAfI1bVHrJNv2kZdrN6TD34kHEDg0k4kFqRCob1IzO9I
d0Cgg0x+dJj+j6TdGkQskmhXrgn/gIgTMjwc1w5hXQGxdyh9WQObpFnMg//cTDVavTqrp+3oS8ms
hLmbU7n7IAtyMuk1KnUjZvqAZqHec2p99egvV1gly03sO/Eem4Ni/8Bi1Iru2Rn8gT2Gyq8ojeOY
hs0azxQzm/jguMkVYVmw6j2NS4eY2CexsFUKxG/7cOGtZGym14Ab9sbSYkhJxqHTzYjQdkVJbcgr
OXlu8UeQqrlJIoNNO/NoPgiGcx5XToKJYRFRv7HpyvEsRc8wT9BC5NELpl+5oh0cdnXa3mjnizUK
9wvWRwTt7DPspB13NCPfJEISJZEC3Hb99RygJpEi+gQOAVyF1sxtamvTdtLbzEPFCKaM26NE57xV
g8lA3gvnTYjPcGODwl1nLGY2Sc9u0GPAy0wPHyfYZJGPX9gjN8z1Di2J1htSkG8z9sH7AYTJFufS
fOG7hzLbDoMNV4+5GoapJhM2sOxTWjTRY4ixe++gQ1hDtegAfncYQJ0EYwxmdns3qyajKDWmfj+a
bkhUqmuyAsuzyV4bQeczrcrb+uxNXZqs0f6VJHbmco/+h02CDRDfMWT42i2oIiTzUIsIqaFhSReY
0fiXazQviKP8L+3Ii3Twig10/CLEJrxrcL65hxpsCwWN+x4Nuou2reEG6dqcaXBOwjaTR09HI4NU
254PeoQqwcUh3qKiyZ9aEWk8+RCDyZ7O8uYkJXj3Ve83NUder99Y5zzZhL/uRes/Y0N07zhgIBon
2j+MefU1a2zK6KwIQx7TdeA2wRZzWP/bmrrYojoV/jXqbP9Aj4WgJBY6/5gQbq5HC4//qqzD/pNv
VrJOXE0kslLxXnmjtx8nrmqXvNKjFQOeT2drPKA5m3FuxWawTaxa3+HLZsCgIjG8ktWTf5R5kOwT
r+2ws0KzePEpXByEKmrJlwH4cfzfHaz9/wpdM2130TL+9+O3w1c9/bOk8j/+zD+IpgzTYEwIKeGa
AXD7rwmcdIgWsz3U8/wVwHyXNML/wq35jN48lPhotR17CSRjJ9jG//YvDOfQZhIFYgLiDJb/8j8A
mrLbQS35f2I/TRN4shm4/C0CLdw/89bQyRMznkGRTnvQ3wQ2Mjynq1Bsv9L0PeL5+mBRC5nKA7yw
CqqQopm57VZkVX9gBBYcU123T4HDz8ANkgavJbXHuzUU8gp4wXlJXKT0AzLT46Qwa5WJYV+7OhqP
Bf88eOhdBGAU1kzrymydn2ycMQo3VddevVxYzw6zb4zEi6d4WtzFte/lzxbCzY2/eI+X8v8elX9G
GYkzuV08yqiQo5W3+JbJSW9ONaGvr9wR6YUE2F2y+Jx9I8BZoyq+WosLOl380J7EZ8PWg+gw4siO
Ze6ziMcuhtQEmP41oMneJw2Gb2fMciQFXbYF3IP/oq0lNgg8zp3pB5sA7aDPunc1JR4RYotFG6qq
cRoX2zZq7v4KVcHZ9Yuhu29FeykXk3e62L0ry2lIe2WFIBcfeA4X58jqTazoljuQqu41ZHN99VhE
QT7ogg+zdvBHGkXPvW458COq7JYvVnN3qRzaWk+rfDGiAx5Bw8d6eleSuLmx4popB7udLRt+5huO
sF7CTP8hU1S7m6KtCaYZVTZ8IMOLXlngDu+svZrnIOzC3+aM92fl+DO7brispOBM0D6Soyc6YFSJ
HYsPhUgY7wWFFiOsWY6f6VQNzi4LneS+8PvwzOJ5vAuIF9/WeiAg3plnP9mUOEg3BI/DdOIZMfy1
gT6OmAsC7M5+36k/5jS6hxDIHetbuB+HuikLsNCOwSTGrZ7yic/FqUhJaBL5ZxrT4gGjQHlCt2pf
sgUtoBbIwLjgBkBBdG8sqpNXSl50OZXxiLJO36VgCf4YI0YEaHvWuEq7qivJlJ3GB8tKf4hX+nQX
3gFYIhSmowyhR9vuphuKpX1NS9OElLUAE6TUWIQXigJuHXOTzM10QjQqb0oHrFyzlzEucAINC4mh
X5gM9UJnmPBYHSKEaOd6YTewkdpaC80BqGcQreyF8TAstIdh4T5Mnoe+BUP4R2zXnr/NFkKEXFgR
kc6zY5ENw6cKIEkM6DRWMR3Wplw4E4NdNZskGDaZ5z4ko1nhf4RKEXQEuqRIZV4Bdsc4ijr7Qy8c
i7nrWfBPdri41en8L45icrvhf4V/0YBxpr93ojs0tv16lrW+uSMYnsTX+o0VLYjTWInuYFXIaNHk
6QwyDK6LHioYYwjHfIwMxd4v43S4sang4htjdE+xUJAjesscXj2VyBP99LSh2yovoWwZArepdUtm
v7noojO3bdzWp6aXNaHwdMqAUbX2LlkcJf02zGkiMFyYv31van9DyaouFhrWejOoajbZRfX5ti8K
XW2KpmEwiVV5eEnquKj2pueLnCA2wIibYDKDjZpSOuPQTol3tpf6qit694L1rtuWuS12XVhxDrJD
EC5BFGjOFnCq3rbIbZLdDID3yrK+mlc1R/GHJNQpWQG8mKju3SXAHKUdVpk+Z7iHfMTDtl4DEDmj
yF54NwsNioaxexiNvvhpGNeMVN+R9emwOnSJ8WniDxbbEJU4EI1phVZFMo8HpCY/psJBpRAbtv9i
CloKQqeH90pYc3FKmAN5q4GUg6MxCLeAWufbCHgpUL/xnEI3bhlZvyPoVf42IC7rXiw9gV1Oy6E9
hABpIOvlOLNa5Mad1U/d3rfEUj5bgfHhxSMAwKyErYK8uhnHi+dJJQ5JYul6beM6uWIsrOLtOLb2
uI0sEzdvYwxpvUcMD6tusNzyKfF6KqqBPAsDH2aNULdejE1d53nxHQY0q33SsTDuZD2rXad0W29l
FzOWTis1PYkoo9J0rKz7SFCtumsY8Bg6h25wYEs1U8xwzvCguTVuCD4wR1cVkbjb09PCtGbq4h1N
tDDNinjN8U9teMVbV5fNHiTClK/ZRzE8yYgKeUwyGb51Q9Bc8sD5U01G/eUmwaMzjiRmzm7k0Cnk
pbfrhMI25nbjJ+EwbHecrvc+nU40eN+YqR2FF8lwleDy30dmLx/DzJ/9+2iBC6CzUibmAVkPO/Ad
/AJAaNp9lgets/Jo8gmJ4vB9YasxLlLS6BW5MBijLncgzUBKH5hw1MNv0+dWsYMBtxJh1mIL+9u9
GFnfSPK8zKZetapzjygr+N6D3/HfNVMhZMhedjcoCXBBsTUHrxw7JeKYMOz3CEHNl47W45IpcI+w
DfB0bQuvSN9d2fOaJXHIJ89pnGIzz0kIFoPB36nM8+qNybVyjguBRq9DSRAKmkLsA4tEgaap4IPD
TWDi6xANLxAMT/5TwSNFzVml87Uwer4xbWjmb/hIuzvOUPNLmO30xq7OP+aFM7EjIX9okbuA+Rv4
0Qzoy7H7CPjzD2h3gSPEWTDspesaH8RfjHfWxJoNYTiXHmDYfZgUwSvyLeNF6CB/cOwxwmYFMXYD
T1Vd7LwI61UZ8s5y6La3NHTo2hhBtK9970zI/BO7/DSyUh9h8jLQxSRrP7lJ7PegIDLju6jaiVwT
lOZiNQaAQIGU+pQKLDTyryTWs4Y+1oMvSttFAJQmJRF5qaUE5MOa0UMhit8yhhDwZg6hIMtlGuRj
aqdxtJMDA4u6T+eO4I8yuw9iExl2G3pWs3Yid7gLW2x4fgrjmeAchhWNjyG5xrxlpnP+zWdFt4Px
Wb/iuOUW6BGyOQTePGJjMzQopJJoJtYMy4pIMyE1ZMaowqoM8apTaAHruXMkUr3ZI2MUYV90ACUY
dGfJzglGVudhBQ1BOt0E60AeT2nhObOyOHwPvTFHyD/2ePBz3tUIXs8rjCTvASgrAbM64XNP66K5
NxlfX+ZxYbcL32keO7ATj4Mfgu2BX2btvNr0+cZHiTomMQGTaSAA8jrccDwZ7iQPRtqZO7M0O1jD
fYZfdhYtFa1JQFuT1ukNqmRowoIvrK/ZlOWrQW4S8aJsCa5ePfKOgJcDJ0u8N3Gqjk4O5hj5X1mS
278gKvOyoiBtXwNzHHh/Yygj0pHRL7rD/ODlXfCaiKTckz5kcPi11hUOZXrJJzccN4abzwjtU/fA
TatRznkmKxyVsqPal2kTIIUa/bvRaW0UYda/s3cmTZIiZ7f+K5/dPW3g4A4s7ibmjMzIed5glVlZ
gDPPDr/+PtEt6esuSS3prrWQTKbq6pgAf4dznuP3epMCd3ufiFusVuhp3B9oxYovFM7ukayN+IMd
wDyv424Jr5hDXyfIJS+Ay3LM/7dp/DfdeCwjPBu49T9vHBlsfOuB1MQkFf5evoEh769/+W/Abg/F
OfEMgevT1SjkIH/RcNi/CIm1Tvlnl9nZkfe3DhKhBuc4HSKtoi195fBe/tJBOv4vrCjCEEKv81uD
+Z+0kH54Tr34fQtJGUKlglQkoJXk9X5KjrAjPQI4Hs3O96pE7AxnBwAbjZZoDs9uXrcmLxebrFMG
qzE+G/mpjoeFRorU0FWvep7HoRJXyJmh6Q1VXa6GqGiuJBF1DzwPrEcmTMlFbJCJkouUXLYFczN4
L36x7wxkQt+tUR2UXfIdksCSrMM5DxJ6QSynFFf5M/aFHIRtjrUOaI/HA1uoYM1Tcr5T7G7Eql0e
GNvM9FKHvCgGggrGQm4hgbaXSQBTwgQs4ndzxSRsHZm474H2zda0L8XUXKfVjJGbvZn9EMk0f8WG
HT9UogLmYAv9QehmfIJCVCBqZCtHRRXKd5NQCPT90H6bBB7AcyyzBDrEHsPNFcIzhyBVDTP11kC1
uqmXTG9Li2+nFIZZYV9vnSIR69RtxQ42EQLnAXDJArbmI0hpSldlNdCo90HKwB87wMekwsXgN8wR
wlZW/ESz4yZr7YcRIF4f8OCGGTftswStQBiTh2UupftB+X/U/ABEFALj7pUeLw3hnHNaRhEOaJNm
m4UAkHWOpZIIaoPfKPHO4X+urfzToCb9LS294gu9sR3u23HGj0WOG/FdyC67qyUkBaKWncWmrQD7
sA7HPjbkv8Y9C3M2XIxep/jUB1NIuF6Jiq6LwIIWQETIYwO+1qxcBE7r1qqSV7KBPXokG5+b2/E6
zsycFFE1KAsgnSh9VrNsy/h8QoeXFXEfuAoSe/het+WU7FxRsQROrXDvszqAsIKaA40zBtKV7+JA
2eZc1qwgXXHLNtC7itTQPSZlUn1j95jA2e3LJrzsYy7FtR+Y+rMp5PwGDLtyNjL12b6Euq3fHbxy
DC8dBTRd67J9cHw3vOUopepf6im80lnV3RZJ05AAjrEEHoAJ2ruAnNTnzrM4ZSMmyl9ESEi5YQvC
bpwJ8YdqFItTM/PnbCSnx459NTnn1PEG0zyRHIeJ3bvFsi8pL3tEmmrKBVycHq1jnEzTc6im+l72
1QJLpDzft1lz8IMEnYJXo5dY2U4IjTsmDY/IEZF9xNxc579KpbzyWuq3g51ySG69UQXImVN1m2Od
wsLv5YbZazPbr4pLbt7aDWvRMCr4AYOh4l27cyBXgdvYMQvZdnJAQQLkXjoMLnGkvqJcLG9TTOBu
VK3dYnI/K3iHrJbIX/uQvilybPSeeTOwijbNkBjC1nHFm2kgZzpwo0MmPaZERY58Q8YEDcY+QM1m
Nt3L0vleAkgdMoIgshvuMsMC315oA0D04KfF3bRjqk0Ha4LoMM8J2nBCZqsmr5FSGLGq3aTdD01L
+Jpgph0KXaxLWr3wvKtUQO8HWtiZOQwCEugnm2Qpqfu8JYWlWEyGebyIwJSSCtzgzBrq5AmBS3Jp
Zw6g5qZ30VCgrpxeLW4UZ9cIt2UM1DTDG4M0jBixdQ5Ey9KFW3spZHNbz2kxE16o0bYVC8HXjlVT
FaOoSc+N0nDdNBl18AxR7qIvuu61s/0zurD8nhWjHjZly3N6hLd0id80cbYBADNY5WHzZPdCnxaS
TspVmJjxxYvi9sqNkuSN5kTnq1KypsAoK9mLmQgsBpLwc94sE4/PDk7eIS76T7tJsSkH5VgdOUok
IUM6b757Vkw+kNUOII7Qm06ndBiISwihc8pN52CNgD53FpV7k67AgcpG+Syh84QNvo7PBDU77L5m
DyfteiJCqFrwCMXeWBwgDDbHSKXlTcE3BQy2lgv8C8qifi86t0sOVdELIP6qtw/MPMNurWMXVI+T
MyNg4ObmA5/epm3i0mx+mGkOjjbrmo3TdR2Gn8XwcAIR+1Ba3G7dkqaG3LCmQaXYUYDXYRDc9XUr
nmefbOWVajJxZQOAfApbwDZ+pYNjAPPSXSV+j38mqGP3pu6D8kYRc/XUoB7m69aKy8fvRrzPMwkU
Z/TxeEKcpJa1Z7yYgpJecmMq3/lhN7YTXPIOkSmpUdJ1J8EcvPXIBfFvk5104r6VxSHyBFLjdpLq
kWdTezUWob6eokrs3IDoOxOJRK6JuibaMrdSbAH5kjs7q6nSKz1H/sus6SHzymAup4pe54IhKUuo
9Jb4EHSMi+Pcap5I8FqS5nmI7eypxoq7cWaUP7bvPvbEf99m+Sw2A+bTQyML+xE/gPUldEUovAAV
ieuywq+BPpK4itSLHgs79m/9Kn2smNjdRtXMRm8uWQmPbNZuLY3jOCa8BqrEjJZuxXm3JFv4k8Cp
er42EOq+JsQjygPmEtgv3PobqN1oZ36FUDCOPTOrIVOwb/Ev+jOtginM8pknTrqxfoVZlGeuRYVe
9ao4sy7qSaXvDH/fCoLfsaSHhg4RSI3PuOpbNMwYD4Mpuw/8qdxbjVwOEv7yrrFgX62DQLCanDBb
sDdyy7XokKmefERp73kyoq8PHGGCrc3wId9h0vcu8hhNxbpDLX4xJGn/iOQdB4/VJiec4YBqWZxx
z8VQ5OjvrDXB3+6eZTO+UTyGj5KjBWRI7hKehZwFfiIJESjOpo5WRk+noHMj9CBdl1yMVZRcx/Yo
HmxvqG+dIQSz0sckUdnxqB5cmczNeY3q7KfORfkRmOB6Xuy4v4QdDy0Yy0t+UtrPv9VzGL0NM5Do
3nfCH/iuXZ9TmVKCmQFxE1sH5NrE/9NaNZP2ocxvU+OhTgD+ZnN+F1PEiLdPPcYR1Yx6V4ZALuf6
lhaTyBSv8zFyuJ3jflMjRfOm13HyzHAhaXfnIal1bWSbXHqxXjZsx6No7yY+42qdDvN0EUZ+Vx16
pnkvRDILEArpSFx002CcLZwb4LQCAJrskNsNBI4cVAl/nN1a/xbPWXXXztC/NwJG5XHAfw4RMuNe
XeJCX/mzO1+hGZzwcbrWcEcBOzWrJhyT18Tp23iVT+NZE5Ul7qOtTfPiCl3fhoR7bo1ql+uAbhi6
nfQ8s5GkFFATtukCXqnwv5NXABenT8R8bZHWdQzJR90zBzMj2NneYm/gq0+G6Zhsg9abvzEWhQ/Y
FUBhvLkePzQSDfigLjknE4lnYFgWWAtZ7wy/fcrG88t17TVAIUb/0dW9WE1sXF+4Oc9DxbSsbwNm
P6ukKZ7YQd7nSYF6JY+7qxAJGfcsI340sZCiy0ISg2mdGVOli9kQQZ4KX2qn5QSJ6inGNuYJmlhf
BO6zVhEQH6eq7sOqUvdjoXBNEC9yhaw0f2V9IzUU6w5DCpjNPSIk2a6N8uW1CSBwA5jozXuAq2s+
VsYd50MWOmN2TEoB3kfF8XzoUch/Rnnc7qPShmdQWhPFZVyDzF0JIMTXZRMv9OtR8GU55EuAeiXh
e9QZvNhhsYN2o0igh9M0uqnYiypMn8awwypT5fp1wa91b4dF5O7GuQo525Lx2cnC5N6fRY4ifVhu
mf30X+6vh28baTiRw4K9ClP4/ZzM3QdD2+7kM4J+bKfx0mniGMtNMapvSZU2Zjt5QcLGDSJ5uBYs
1hFNCveGlPdpY08xoMQkxbe8BsvFsAOxWJYdhkEvF2ZsOh4aTVWAOhmEfLVjpyEDuOmZ7tkpRIPG
tutPz2r6w1S16aliqHl3tsO/tOGSfO8aGR6AQzrPo3NGLJrZxBcwHzp4KQiVUlBJhKPDN12si4zc
kgOLIHOZte7srOSc9O8JTTJI1rYndSRxsfhmKgDoCp9IX9ES4KRqYTezpG8Im4+AcDoyoQ6doVii
5C7reuPWBR5jHUkG9Yiv+elQHx+LQqN5Yf+S5nijnOq2yy3Y1gwwzouKQe+l3elDIEvIHRMJB/cx
V+ZhclT5EVRL8X7uslnPD26RbwbPtR7soR1IqnHaF6a4M9EwbkGpyoG/lm60rGunk/zJaFNiWKK6
7DAmXlVhzPiRjdcZcZVXZwt13iYHoC/xjagKPkKWwQs9a8T13RAWP8BXKZfbpdhPba5vrTYFSDnn
Q7VuFykv4wS14oq+0n7UMgrvyRNYtizaIJ3m88DUVTcjBUk1ut2xQ0EiNmrxvJnMBlUfuh4P+ijL
1KI1BajLoZwWrMj6jp+GMp5x83w5yqk99pxI31Lya9S6RJ+InJjpFOIn55wHnwDPYOgtEawsKKHI
RexIEgKI7SMVtKEJwKRMLjsBWLvFofi9CFBwLsbgPaSMLOrzzL0N1rCt0wskPt2XibPqFLcZTxIL
9dpdAyvqidRoeoo+kPkGRfRcru3AaW+8wXGvCJmNDsJGn0d2bseOeAZqEJeFeYYaLlAva1VdWM0Y
vfdtkDZQBpf8hAa7gYKIICx+8QcDn3P0p+6/w6x/L9OVwRI2ofBPZ1mPbVozrPjDGOtvf+23KVYo
8BsJ5Tg2QrDA+1XS8NsUK3R+caQdCg8iOXMqh4zWv+ogmGJJqRRLRP5KoFzBH/1VByF+CQXFdyBd
lkmBzdjpPxBCkPT2xylWYCPF8BBWeBiiJCno5z//XbZrXWaWNXvOcPBIU2Lgcb5ip+BQjAxunNC8
IuE44w6THKddxsKj6r+4c150ELwWfm7fRw2sXtlM3/s59bEWITvtjYLvazkWUJqmfMiAX176IyJ3
ct7YgIxMP6gs71Rtwb8QYwLF3gpWpFld+zWm9i6dE4Lp5StxPpA9hvm+8uyvos5vnRkkax7TbZEP
4EHdtL6TUnyN3wB1RmU17wQQIWZQI9vUeaaz4CnGq8bje9rlB3z+VzyAeECBJPBXhYrJMkENRiYp
lJVmBjfqasTuge8yLPCWY23V6iopgWCueKAVZ/DD/ByF8aOdZt+mpCVZEiQUNuF5OVm+J8EeG4B/
nCYA/zmutPCGezanxFNk3lWtHHMh8CjulmiuiJINLQy6TtqHK3+YDZ5H6WAwGsLrbo4VoWquf4ew
xl6HdQLNBIf1jM53XQL0PPka2p9luujDbdDsKQ+qKQzXekMBBhJsopZn8VsfmZGpj17N760hfcc9
nyn1NHZrEeb8r9KtPwYVWqdIjfZFONXwXPtJb5ZceoDc2wHhRvWlnZ6RCVzUm9bW4Q7sAcWBJj7H
sQFygo33tmhgBqAjTXtsCiPuMcd8r+soXVecKjcTPoVXlqavXlBj3MhQLUO/t3E8oBNpsgGnPvOI
ZbYyskfzH2Aws4Nfhe9hn2e0c/zjS5/PCSAGv9+OhQ2eSnEBBFl+sGsqXZaFj6lSjz52M6DMOGiK
2KSPJPp0m8wX2RZxenzSTZzfs+Rh/lmM2XrJQgwFbAuAzXtPvqujrR9bsLZ088L1Gn4Zu+y3NoxV
/GMwzQrysLZj3T1GVvQIQ3iraAMJgOsIqCBndoSGue/YsK04KN7y0tgH3Xf3jqzNNuvRrzEEQkg8
VP0z7QQjGRXcj3P4SLbNLXZxrlnu9/WYIGfuRiThK0KUwr0xXRydtCuaFkhID6MmStNhFc9tfesp
wzRUWtYmabMc/rfIt5UXTxdF6tQ7xTWIYa0bj+iu00NMKtgqTxIeZ2EH1QMNta2jBPVi615Kcibv
O+0Fe1HjqGKW8ezEnXkoYLMfJ4QAB6fHrNd7ig26FvssHYvnXGPK46cibY+ypV9lmto+HKzora1q
tAeZaAhc6+LjMk9n4QBxASTKSYSeQ9R+oX8lbKgq8VSZJbwmmcDcxYb5UW082oGJwLG+U0flB+6N
3UZEu1AI0dtO6d3kUHzMdTDc2HpBfI3V8JO94CHtF9QRk18dAhtfyapenLso64k1sc7VRmKg2dkh
nKYu8sF/x0T29FMwIpgI0gN9PzYZJqkMSy1aqnCyhpe5C9XTALP3wCg7esnPMyPL9jWuQlvvU89P
kNM282Xjy/QpRHx+hdEDMXkiF3GfL451ja1oAfeQ6xdVihc7aftdpc6FS1wewD7c1v0ovsbaIWZs
UkRJpB0TYnfEh4/uYTkyh1zhn6g/UjlMX5Q/xY1fu9MR4+Z06PuAEeBZrWr5IBwcSoDAy+trqw0u
I6sQG1/RvtrhOixRBhVY5NcBuDUzYnUH2eHqTWGyaFOPiX/p5YW+nZaovoqcXt8kNsLkyh6uBpWO
+8Lrm5cSMeyK4q697pt5wBDYwrRIHUHvTAPOglXTGPA28mle7qMEOLAsoWfhZNhU80TCjB7uOIes
iwHczk7aMv5oq4LWIwchaqDrLC6hFpUo+5sqCxjxBkysQBcxmxPplQmSDCi1V91JJiOoUr2BzTwT
EjYlrFmYUm7mxZnBF5CIDlrEGjY9owdUwwSM2Kiwr4zVn4PKYTtHRU6ql+/yFE7lFwHmGGRU7qy9
MLwrWvWZimCGEYdz0AtZbxi7hvIy6mnt4jIEJRvxeGF4uSFjC31Bxal4fg8ip6+P0ylcV30oXoKR
uxkWsdri9AhP6AyFXuMi9dgTu/H0YcUDrYkup/ZR1MEP2elTMYEbSJ1DMJ0HkCK4YaUTrsyYuRbF
YjLdiykZdmOQWStp6XvfOPXJt5UmX4eRRiMkC4wleQZdtpcWKWmKM4HURyt8W6gVd01Yf68MF5Tq
8sexyVC6E9qwKXP7ehkXiB30UZx2+qnrW3ExWFa4RsM/rClTI9g2scBAwKOnD8vvpVg+8Ky+jz40
lZUFQnubM2WnCWf8ivszPZoovk2TBp6DHWMBdMVd6iim69EYrCvSN1H/I9mlJcZaqH330I1Z+8gE
Eq1AF5Mj2ffFwTXVN9viKaSKbBOJaKt6ibtEHCZPfi+GUiI4I6U1deX3/+5u/53drUuJitr2n+9t
X766/n9WX4BU89/Xu3/5e38pdu1fQAUFLG19/+y6d6lb/7KyhYbKmpSdaei4Nv+NIf9/bfcCRz77
Wiby4qz7/d9i1/lFeoQ2Bwhwg1/Xrf9JsYuu+I8LW7ipqItDV6Jz83Hz/7HU9Rm5NzlBp/s2GbJd
QzXDxFylLKqygOiv+Tfp+D/PVv7Z5H8u3tEZe77PN4L40/7j6yGkjM6KZlKmsi7exyLTXwgZmrvR
wS1oZtKDCoxgKJT4pyiJ55E7XidyeCZYBq8FVAoY8WhhNr/72W5/21D/TzkUZ2R43/3f/+P8VPJ7
5/clAtQgcAcEEmi2578v+c9ZIZ6eYZJMIn/vS96HM1GAwx2ji/eOYbhUe1R97S5Kc7NJ5pME5nr8
8zfBb/rzb+G5DrgFm94Hgu9P74GADxUZPQT7OjXNnsy86BhAf3/881f5B7+4x0eVlOwMieBO/vGT
+nzJYLN1sHcriTp44oz008OU5iCGpm76F1/sP/hM0iWthl9cCtq2n64vPFCObXQQ7uEwqJ0JwMmy
3RL/4lX+jgMcBmjg0TEgp+IaFj9dVazOnGaSkb/HxMnHyGYwRvnA9DD9/I+/PNT5dKYhn4fQ9J9e
SLJ+++3yjVIQK4Wlf+C1AgTjlreuzq7/P14Mb4ok55rz3/7pxczgYXXvPIQ9Li1PHjjEY46AwBF7
AmLT6vDnL3duoH++/pCbBa7r8UTgOfXTb5U6gbe0fuzvG8vLVu1YhVeTH9n3uZMo4GVJtqkBC++S
nkEdltoKvUERfWBXLSFpmOaeIK1275bFuHEzhT7KRjG/Vm6Qb6Rcltte1EWNIL4kRXrQOF/cAkr6
qq0XxkrVBIy27hfy5uTZn29rddcWRXv355/xH93nISMEvLiMC/7+epxwKlOdp/4+LhNxoaUVXMyj
tNf+KJ+sudyBIGTU1MY/fBetLipR8QiOMvgXX/U/ul5DhDJeyIxLksb5x3uw1bAoIE+G+zwfCKrx
gJVAdaB7TNT6zz/w379SePabMC1xA8l3/dMrJTVgeJShwd7HL7Y2A+RLqkyAGORC/vkrUZ78/aMF
nwWzHkHcnOv/9ue/m5s0heNa6PX8vRfCps9wuZ7pT+YW8KG5VxYXgmj6xxgU6hb3OsFxfWCjIlBl
DRe4AhhMZZ/vZx++2aobpHqAgCm/ybEJDoS49fkaq8X8ELKmv+r7sbrEGpnuyzYBzlk7gza7PAjl
uhkcUJSFP1ygLAkONR0kOWhEaVoNLry2bcTWlS31fDMADUAKUMloP/UseeLCiU5DouVNKR1kjigP
KFdHI6iOg/QmgpXyDfNWceGRF8tKLkSmH0qLOWzDcKHp/dfUXbybSfDBl450ZisiSFSGraIJF9HJ
0TNgJGz7eVQXBKSlLQsZB7yVGepHD2fXq2DS/Q3zJaOfpClZ2uLAJvXtzL0tR/b5QPkOqd3rB8uu
m5vALvDYGb9GwN8abAgGQf9rTUNzIms6ek7CJd2PRRN8Qs4l5SCy3bfM0i9lLhhgZbA5LnXfYlNs
3Wu/SDakYh1cpCWHcnRcsg+pce+hK1bdyk1wimMJ7W6WEb0GGhq175o2w7zZs8cfkV9HeUN41VIN
+XGsUjarPKXmqxAnBx7sjPg7IOjR4JOE1qT7nJ3YFyUT3wmZOldJghSmygeHsGhM/qz9xEBopte9
OF05PjMJ0Pgn4QISY9fa4TNl29wDSg970rHRCg8DybZs2611q6R31YyqQJthR1B2gP2RZ7pw9KN5
IvBspXMP40sGD+Eg4rDFv8jvLbrx7OLAD/otAru2QR1FAq89OtAUaomtgjHApc/c8o0sd5vAE9y0
NyMMVAQrKN7gFP+q1+bhYXhyejOAkgxiABpZ2efPLoLg1Wjb+rORms/gR2xhmWfo7iEnxYq49WSq
twklzrFAMEcgtv9jiUkXXNlDSkyX3TOzQ0df62WlMzAQIiuwQateVZuU/pJbKCYeCYHbXiwUOOiU
BEogROshwmZCpUMP4F4bMuFz42w4jFBATwBE0TdoL8aEQmBfi46mKDbswa+zwcQHNq9MBU3JDmyV
TC04uSTAl7kuhAKlZFnpcoVcbTeg5T6SuNxexn1ZPLjlhB81nXeG2OtHYYMzSEEW7Tre2wFbQbwL
mz5kHWMX/L6m2MTKcH3kRCSiuc4HtfPxYz/T6MHFmZuvypHNNh0w7rYIod7DKFQOBarbXFhOS/AJ
y/51Jkb2cc5CwJ7FqnDT5BnfPtQ+8npKeEZmJoywBL+iPZw5bpcW3+w2BvFQOtMhcNvoe+YuMmJe
M7EB1TaB1/zED5HvMrFKrXw7zSNEVHPee6K1+YR81N+JsJsPzESKPW4dsg8B1u0CsBArGHY7JMrz
ySyOdxmJSW+ND+CuHZjOjvUxlmlAHGXQIF5bJhqFLg5orqMnIpyJu2qd+MYC3HfZtn2ILEG5T2y7
YZzEsStXLbvIcyDveS8iq0NS9Cl8h5RbIbDiYwqBcsPwZtxgFE8u43p8DYKWVLbKJilNshCbhmHA
M7uUpz6XwcB+d1po29mrx6pFu8NWDWsEoiE4BBTe4G+vOxc7BuyJ5UE0PhYbGC0fJuWJa+N1hhDn
pHukROa2G6sJ/CWc9prEntWQLeGTarxla9rZ2pSzT3h7qF+ZrcKZ7ArDEAbPdkykUF7cEyqNtDsp
1AVzLkwXmd7Eyzju8yGwdpWrpq9yKpnCZzUeaO41y3k1YYP9KMdPGCUMwwA1rc1kzxgwZucq77Eh
rVSQ5DsMx0Sn5NW0q7wQdKnDbFk7CuVd2473xJWX6a712HrlPfpUXVo/DCqvYvLlI0XSgqYraRik
cysrUqsd5Hrbaaqck1f2d3WK8kkjK/FRV60XnuD7KCq/sb1m2s0nd1vM4nFcrRqPUWAHxixJF29r
BIIAd5jc62YaovvSjootKRMkcAfeyasQX4aBRTi1q8BQTEPzHuEkXPuzU63VvNwiSAp2GvDhxKhw
Uq+lj3sO8/m8g+6XuTgoifZceyy2Kavmsn6iLsOzVqbuISfMaN+muNahakTXxJ/VK6exwoeEz/sG
x3kE+mPylm9D4Ubmcd5oQITsJf2N31SRvZUzyz4mvXwjjKwX/zaX2EE5rZb2ZUzw4giLbS5ssrAd
LmI9m2CnSqQWfbf8mEVaruIUBufkD99I6Kwu+NdBUg5Mt9MeKQMOgIgNNpp7nv0bm4fPNTdhs19g
c62FG2ZveEebo4ghKjkDkiRnnohhyuNkl6ZEVOBM4Tae2st2icwNS8znEQToJg4tUIUTWn4O+VtF
gu2uI2iW2TqwR8ZfauLKzbocy5rXPAhlP/hp1xyqGrYYPGj7AHhRHw2IlkPRDLC1Ig0BrR0whSnJ
RYFpj4zSCn8OjxQciG1nQ1ESOdiMQtwOdZ5uSjsp3yq8CNuGnUhkzfqybHlamC6sfnAgYTEgUOyw
KHt8itnCMcUxcvpq80V6q8pmcKhbBqELEjRqRjnvLCtgrJtXxcWUdj8q8EtHM0XOA/7eZtfa8y1U
puw4s0xeV6FLYJHjWOPzmGXxD7As7Tbht7lhiGtf+LKJdlYZtveLzElSKaLvbdgM105pxbs8hT+s
Ao1oNdNDdmDvbfaI79iKRY3e9oV91yxegBoJtfcSIPxeorPjM/bi8sjqGj+vEfbOcYee5bJedhVC
4UsoLYTvsRZLpzWpnBMJ21H1KYzIL6NSZP2u7PlGQqVzRBqMLz2Mk6s6UZeZN7zOralOpjLXmKe6
77Koh6umRlIWOzl64UBcD27VbcOo68D5KLkv7Ga8QIG7zyrruYwQIaHjqBFVlqhmqqjQ26QGlRwP
qngynemvQ38iBYxD8GDq+FiipH3yaiSGJRKGDeKd9ntTTgsnN0UB9Cu0D+jGpk0tzpLMSsVs7Mr4
zsFGuCYDko1bATgKNXIOx0IO461J2pd6xsFWWcNVguOQUfS0hVU/bpb+LC8ezKatiBZcjQhkAeSO
bPCRtiy1fxKLcw7DStM7CnuJ7lOf57xRTfQGq9FVYcrnTlvprvbL7ZjZn6VKD8MEogguLbhu9mHk
svrxNnDgVweu8XDfyIVgWlTroQ/xTfqYSeHDruraCo5hZfRGAAE5uIxIjQWzDUjJhhZqg0ym3lPK
Z1tYYTE0CR3tkxEOATg7dEqF/OwbGb36bPFXNQx9e5oV6evLoa+bp7mHsNaNJIxbw3OgxXiL1G3D
V/sWAn6i2rQ+g7R6Fm52KlP1EI+cUClaLPJOv+LsCyH3uCcmHoVLGj/2amAA3dTHGmVaKp2TJZZh
nftDd5W31lXLFQQpLsz20eQGn5VhXRGL4pwrx8asHveuaoqXxf3OKC7fBaJxsAMgsMubmkRgOVv8
gF36OFQpi7GufGqX4Fk1mv8037I6ejeVvEqc/A0hZX/ZESgN6aIlILNInhIgYwj5HqdAv4ECuqh7
UjlkV167KuO9i7HCmz6SYEgK6dkyTPqyNeiNB84RXZW4KNEF7iaV32vuqguQOh+MHS7UNG+soJEr
tPoEho7jptFJdFCOGG+I+ZE3c+13X2xhQ4Zm8gKfYHEE1KR2I9DbPVK6jwxo+JoUKe+xb7yz8/is
1mPVpz4RbNa7oiPvJSrkrg3t/IiVmsT1aErOpZRqtp7LeiPJ2UN0oJ9QnoctrMvyJM4gPxwA1Cp1
FNLcT97eQu6x7ya8AQP75DzmA2uhATiKIVqBR2DzjQVhRd9aIc7xHwIV33juhGdXtO9jsey6njq/
VFSfRSbI54545tcxBb0b3ieLe2JJ+dLPJew/3Aul4XePrdpeoTlsL5JkweXulSiWPRCDI6g6o+tX
7YzVxvFRvqfVh295L7AF+jWQqXY945p9Ynf4XAt3gCHPUs8wDMUtIPMDMCnn4LH53NYEPqzqpsPR
MA7gaLyk4JFS6aMPYga4T2NtmgLCf+y376UzjHt0BnxSW08YtcYb6UB0wYJdseHJhx/+nLg3ZDxS
3Sk3381k7O6s0PSbObNPJT3LTtP/HKcyojhCSStFe9v2NBiyDprXpAaoVSbRsGfE8tAMcbWL6maN
KfI6oDy86RqLMHqeHVDhInWqQBVR9Bv65tSBmbgIm6i/1GQ7W9EcB2X74mZojeA22DvIfmQ8RGfK
26TMo4AyjY+YuKmpJck1Jmfy0/Chjn7rs1wx/KQCxxybQ2vYc97a13WT2BcxwKJj0RzKedFbRdzC
yZ6bfBsThXrKELE+d8CzngMjvyLjiA3pdOM+wT/9ko95fyhBGT7U9dh+TFzbtyh91GlOcVZo17X2
pGWAnilIGZgINr6WQ1dsPcY4G7TzZD01GHxXE9U80QQOXBS7ytYWinJ3Z0PoxyfEjG+ds0S0V0NS
DxcdizDWW4Ba2A2tYiZen1GclFvgBoSktJRCSKvSfUgMN7NqTa0EVfCgmlKShKjUsW77+W0Ah03D
pLY5t+/O7gAlRZ5ms66JPG7Zw9+m5HBSLWb10feTEae5uksYRK3Hgl98mcPwwF7M2UHJATakp2Ff
4YE8eaZtUUHn2xKf7i7kRqeXKtrLCiD0VqctdSW0rFM4DRS4ZZ6sZQYZY1ywS9XLiDnBCLVHtSov
eZ0ZR1OGflKK8RBlU3CMgjBi5lKRWplSzdOAPUxou96zUjtrZfrvJnSnV8wIZHYis2pMwvo3Xf4f
deexI0uSXulXaXAxq/GCCzMXmCEXoSMyUuu7caR0rczN5dPP59U1ZN/LYTV7Q3CARjUuUocwcf5z
vvPJdVzdBUPDBDpSBuW6RtfurAwkJOncR9uWz/zY9lSq4Bi7ndi2McfhlgjuGgCOfLRHSnJ4olR8
ZZsG2hC5AwfMp4kWVBigN4oEWqxf8vKpqnonMdiBrsZE8txFgPJ5CdbPfco2HdKGSUym61d0onK3
ws0L86GfysfaYASpgrh+S/HZ3kH5MG/spnG25C5BfLpzom4yO3gn5xvcocfBlKMIbFXgIF8P4UzN
Lfl8BKbOOwOMU+eygijoBmN2pPICSbQJmTUaVbE3SNTAo/NLkkhWcsLNOXMxUxXYPqsa1mk5/xha
YR6iOZpe4kqBy01ThcLhvntgfjkcBNOaAQFIisKpr3OHmEuG1+NM0SPwvcBJj7z8bunqq0lhl1Fz
GCMnPuOdSCEcVsmF3fcJMZEMRfUipwgBNkfn9LdTaopPxrVwEg1KeWEuEmNaO+7svVi4MiidGbxR
bhVm8u+KF5kHJnNKycxEeqK4JwC9npuGCre+MWqxEZmilcWV3ZaWdm56s54fTDsCI9Xn7I4Tg2Cm
Jvep27FmBir7KOAg7FLfGjc+cbitWWJVydpaAhopLzJNWUthqRNwP7kCRVbzMrTy+bJURQALhRjk
SngzEQsYDLiUvLx64gepxyIvq5dsWTutCsJgqYFJlLV3liDEdjBhgHWlvi5f66p2TloW9nYWHtwI
UTXhgfhu/zg003yfhX3zkGSOuMQWaYLaExBFSoAJk5Gisrd5nR+sOqBCgNLSjnqMEDCmBv+wJtXC
/ovt1y9IhlDQR3bF2CZe1cBxjAFc5LoLd40XoaVPDb4CbOGYq72uIybtNm1O9edQvxEPsuXynGQP
HuvPVVf43Zcql8RUyGVy3/FQ+2f27zjbJba6C2XL6pXdweUu9jjJqXNBv1zVgRlRONfdiIhyYJSc
ft2GPZjc3rhCcMc+Qe9G24csvMwRdgb2T2ybNdUAwNqXXrJ154p1YBjtxgDXjG2SuqlLSZ0IMaP2
CX99Gm9iJu9cEGr3zeUqdQh6CDlK0Tg/0N/BrEx3d1wpQ97/RbovYgOPaFPzW+n4ZZjY/WwgB1uy
i3g35+Fzbm3sOyNu0moennB3HhpgJnuUWmsV+KF509plu8VACDyiwwmVJ5QelrrM11OcNSfHB++l
S2AbPZYeYY7YXWFVkLfCloSq0116BE/xU3tJuCnSAia1s6SktTJ7ELJmrS+Ep7q950kaBiJl+p+E
GoN9N9n1M/JHfQvyWN9FIFZf/MBPAQXT3pIj3e2sXnnXnOUGSjIiH0ZSRVMJvhUdU00UzNZ4LWeo
uiQb8/AdDZYTPnp5fVH+zuwVrHnmqm/BPe26rDSy7RA1ICmyKtD6OxOmNW5NC+IXtUwjY8dCki2E
NlEHj+ylHb0Vv8OE5dRxDc7IMM5HHUzY1xXBGPDlICQglxeAerP0MXP7cGtBQcVAj58GKhkTlzAx
fkzU7o0Uim/zuOK7d0N7J4da7IvaMq+RRfAtVi1lDVGLooehA/BwwFk2oFWuscmhZizTMfgdJj2U
Q+FdkrXor2GNAxHE1T44xMfKMlxT0fTdzeqx1GPwSNMIoQ6s/FDyoLAVG8+aX4pyJIAHAFzozN7F
PSGblgZIv9bRGq5IcooqNCEGOgCREuOpHYyE0hG0S2T3bJ3Ec3KqScZDUBM7XXHrIpyI49sMuMz2
AtIIMRDnyAkWk1miwGLuTM2uuIKAA6RA4gws18oHiyjaoYsAQlFCTXbFNK6q1pmqnUnWEleiF8T3
judICCNddbQxH291Etf32PEKAM3aXQKsABhzQqscR+n2svVN65SCWKTnuA/w5pqDyiIukYrbSrXB
h65OBq2r1A2a07jL/FatYBzjxx8894W/a97RO9YugwpZPTlzr53lxpLTwh1VCDeUBH5OdsOh16iJ
oNRBSUgUZbF+xFPKYkmZOhJy5oTOt3AXCsPg+8YezmfO9oZe8kzXtPeip9g7M5GqLnMsAncMPr2j
azvOI46kqN640ohTTtWCChOdt8FrP/kVBxmjKI8EATRGKmFCd5pdRLtO0mK2SvuqbDaGJawvGq6d
R4qVTFo+0/o780oSTTrAtkVGgM4+1aQ0tDUgw0B4SPMYkis4mExG7rGsh2BDYqNl36ncHxOIhGtZ
p/l77s3wvdMouu7GSrxQobYEP7qoeEtlgEO1EPy7HKChEFnjwgTAStG8UlfyPqgAmK2rQlhvLYXV
h0HpnrSeH7s3MCFRI/ymjW6MWaDtxsbOpuHlyWwD/V2VdvXEECl8LqKiegVHNWyNlkc+5eHMji4n
ycNUJvMzNtb4BQ7P0rJCW9GrDSDmDRVY/MhbwBt9PWMhcLDfiZYj/OyQHit5ieCrFYItpSJ65U3j
N02SA5mhEaixKcSqbX2yoRMVQE8G4LCjM5rTpRqG4DWlGZo0REtd1+QnJxeZmTSEoWsoqip8mxFZ
eANUefPqQy85zZy1OVTPucKzyJsM4Gcb76JePrB5lV89wbYbl5TZnmEDUWwpVbTlmAdTMTNIuBWE
B5nDUy7CMr/prYXgHEFLxscByJhlv9k61HXfMC7DbzhG6F3E4DmUlHZR30/tQP1LRiKfB0ciQgob
l5eth/woyFMexzDWp0RU9ScVcwwGK0uD5aDqMadfxU/yhzaAWr4hlVVdsmD49Yb+TffGpuax2nNN
Hu11bzfcoqtCpsW2pMeJc7br2R8WNVG3CNbDjWmGzb3svepLNh1xAXrDTnMXut+BkP5lqOv6HAnP
MNa21TvfstPVF+X1g4CiXXWvJdaTl1Sp1luRYFPuhtwBOb9pECIkS+u4B16qAUwBRzy0sgEdBHQZ
3IcIW/POUFo8RV5RfJaRerICVNGy5URCFJ5skZdH1oji3mQ3czdMbwWBcW+t0E47zlMUx3lI7zPh
DmQ9GfRtsVtwPWhZBCgzLJ/1bJ7SuBEFwQ2LTKYaw+RqGrWEp8/UlTUiKv2dE8X6Ik7ZvzYZesVu
mBteOkWJs31tA1QiDJsxiK59w7zsG0GnGy8J+8rsPAQ7T1PvJ10veutUHWabSLUvwppqfJP0uhz7
QlV3MU8UWFe/FY8tA0JS3jgMPzkaCQA4RJI/0oimoHWe1156qD18vWsmxhN43GFIW7BB7JkrTVOF
u/aC0v3RVYEbr2qO/BCQneHR1cvOFrjDPpoNVHujtAKQd9O7UnTyMTkGLs/VmvcJZyT+AoYJFlgA
ip7MRccemeN4rxRj5J8qGkIkSw1w2p2wiljWWVIaSXzOF8rdO/jM4bKgYNurRCoGHg4feLB033er
mnRAuSWjS/NsBwBGb0WcIJ2RUf4IW5EfPZFIe51H2rQ2nmnSXJCHzYeaPJBGo6Alumd0M11kmZGD
Rtbuy9wwdWCIweWtUGGRHVSeOZ9prs2LSYmSC+48WfupL8q9k1EOkkP+2bk5QyBekuUR0DWDMo9h
2o0bIGcyg+zYTWAkfMxpDX+ptg31nHpxsRl6ThOkLr+d3goupCGCU4rbCrOrQ6aKP7s9TapVl9PU
GRtmtdzxp2wnXHKYBtO+PXebKt5wa66/G7+HZo2ZN7mJfQk8uqI7OWqih7iAC0eU1RgPaWHF/Y65
fbwrW/EmK3O6M9xUfBgQ2FZWaZ4n26o+O+mkj44XUwZAnDVA/BXNS8BufgYEb13ldWXcRYb994wY
i/3hJ14JjBKBC4qNGzKXEIt94m8cC3FmepQENv5yp2d4yo35xnPJ9ua6Tti3Oape95aRPpp9z1b6
54YJ8f+yS2BBYQpqezbGm1/8PbNt0OAN1GE/AT26DtxaHXrVMkUAXLR3BnpcQu5kDMbNtP/Ei8yz
2nXFjmYCCypK+5HVrSQ/XCB21iTs85IBUzm6zm7gGM+82bZuymhwkGUK13MQUEkeK1dUp0EsPQ5t
ctXaPaMKiTbo4NTK192QzawrnIDZ66n3q7rM3mOKNlYJ7qAN2GHoAaqDCTLIh5FgwEoOk3XTJO5H
WoIFMbxeHxqDBT+tqKqDqY/Tj24M5+88dPa/txHSIW8GwllyRAyDfzGxFbyUePgEp3U8lNwbzBsy
slO17tLpWFpYljBdHyaHQD4zoqXDuoXXHuRbTgGLx2CwMUJHATnpuIdE0xXuNqW84WhWbbyGTkeN
ecd9N884ADtpeihT3MF//uwvRtJfX3qBZKBFisHCz+Avzrm/eekl7CV1H6gAN3ZN9KMMCHuvl86P
i9nQd9bYu5uezXlNk2J8AtXWfTHx6o4KHvthQHCTFnWZdjtAzyjxbfz5b/fvbXsB5kzX53VJvbj8
1SQYoeG5lktRHhVtrKGjEwVnMyzV3/kx1q/IWRfLXiBwPPIWYGm3fnkeawbGog3hYDL+nDK2b884
DIPqNuOYu+82F3jWyAwAhxWWm7Dr3buEQ+i4QRgHPaft4Dqf/AzbDG+WGn/9NcRNE152OBNzTsyH
Wmft058/NNavjw3rtWlRo4V1EnQSC8fPT1yTQ7LA3UMdYWuzKMw2xmuP+PYqDTMIsVxDnoLsugLh
9ZrPqGfMf8x1DJ/uNInJ3WBmmD5lGozn33+vpYUs+qpu/rpqtb/n2j4qjjR0bOpf/vkvD1XB//73
T81lP3/Fv1wmH6pqq2/9p5+1/6qu3oqv9tdP+uk789P/+O02b/rtp39sf7dX36JUTHdfbZfr/5vH
Wz7zP/vB/2QmUUL/+5uncPkJf3zl8if88z+d3uA0/eV/vBX1//rLxVuLJ0z9rVmbN9/y9X8Qmt3f
MCY7gqfVYjdwLJ5cPBj6n//JoyMNepbAdu3yf+7fJBMd+Zvl8F7GUcsBwyag+K9mbcf+zfZc1nZh
CUBHULb+EbO2cH9eNBjoCK45DKJ+WSxKu4usjrTFvkBwxX0TQseJTTETXE76q1pk3EaDMISCYBlD
PK+6ltAQOM3mYsINdqyiqNlxz5NX0IPiDbdNb5PHTDhzcH1bQ4fQRGsjsqjiknhIOK0yow8pKWsq
PR0Lm90jh1P3PAZ5u/c0hMi2MRdmimqurc7OniOcKah1FRBzC71goIT5IoiC4EhxqgNvuCzoOI3V
CbSCWMEPS958XHEXXkJMfBOmddBv2gp6rp8KkuG0DO76qc9XFWQNtITISe+rBpzOyvMp+527CHkN
Mqz+ijyfbmpp9PaDLo3qTk8Nx6qGglOOTXTE1GDFdqFfhbR1ik+2vZkRMaMKzo1c+KvlaL8ObWSP
KnbDj1xmzGDxcVw0aV9vxrak6Jqky5b+OOdghZk8ZV48PXQZlO+LNmqpEYA+Q/87xGNzAQAWEuGS
KE5sL/FsYwgvJKj2dwGQl7tWbWz8iJKQVDeURwGS+arSMnv25FQ/R0nQHUxR2y9enI3e2pRU3yWF
Q7x06bHCG5uoj87pwpPTWa69j6nYNiHw0GAwGD33Mhuv0oNhULR+idIZ8nVdHnxP1jwfckDaEdBE
Q124yBBvRp1kEiBTT2CyoLQ4MQkAIXXzXZI6rqN15yi9hX9LAfPs2DjTXIsEpMtgY/lMx7UnasWT
zr5zbWDMzcCzsLGVUz/RZIcBzg+aOnpsnSVMVnAlw7jADdlCRsbRC+7Cj66XE8kxKJr4RtqFvbZq
tSgydTXYPGwKfwEAp+kmjCiVa3EmMb1qavtG8Su+YfQE8ytBcWArahiCe8CrYKJRLxBCsrZZggum
f8yBdkVshd9T7fI7taCoYftacWCssTZU8TZEEb8jNxm+URpH2gEcIv9hBrWdi4Rqhpi6Vw5GjVWe
Q3J7G9Or1C1Oi1yh99ZWssNGQIQJbu9dInJ8FQ1ZzjGs6i1GF875srJI81CSqrkwDHNLl7af479K
uVx9htKY3mbGrY8OP1ZuKsNyvs0AqC2FHpIxTE+5woCRz+fc7SQtsjiyt+4vCw4szibPRO1TiG6j
PI6EqA5oc324sw3PFzeYjOiEFr2Kyu2UjtyfmriLUfp8Je8Z5mfDyqmNgtg9s2h7m1oNLbv22Jlf
w9QQqdcJFxRdzBElW1HpLaDVUJ4Ik0Utd6iAKck4fhDMF0csSfKDsltip2au78ZI1uexi0DBWY24
4UEJ8PT49fg0Gmn0huU8OdLSlh3rKdR7ZXfMVXJX0ymDCH6f123B3zpze14XQ8/zNMJrvgA7Oiyd
cCqhUdsNuno7qJnK7NiI7gOwbBu7r4MvZVdWthm1oZ8CL4nf0SyG9wgU4c5twukKw8dAC3FrnPQk
i5s0kICBGFghFnCDFT8MNTlM9xj0lOCyzOqc8yRthqKKfvBNikMam+jRqQWeUAQMxRabRkkSembm
QS+Sktuk9/Oznhz5wxeRlyJZo1CiQDd4n5ZSrtpj7UEvpATYyixoyb0t5RG6cnXirlTnG99bnjVN
guycpt54mNzE38ZouuRiaj88S8YiCAKG2eR0J3ltvdCszTdkV4x2Tgekom2Du2rObycGj+toHBHx
hV/uGC1OpPYkHmMXR+gFqXHYZ0IkH5UdC8jDM7f0vjO58o75sU+dZCtRV9bOXGUHOzHkJpfxsJVN
M2x4q6stcr2zKmmLpcGPIhk3Gsn3Rm0+UU8q1F4OXOpReZIrYgTk6EzXIotrKAZcYb8xK4XSzDp/
00Q9Beeq8sd132V4qYZY3DAjzB6s1oi/LEqZiLUm2M06YlQXczGmBwJTGFpKrJ6liIxTHcSAUAe7
rNY53p1mUw9FehnJYsi2ljNAWDSC9pBmRXJXIGMeUUxuSfLQN8NqCY4EZ7z9yr4NBVBhAEPvmtzb
2UQWpsZwaNZNYBYnX7dTeS1CPT6lYxV/p2kW3cFPDQkqwv/n3TEE79HQpsDJlLiyANm+DUXhPncJ
I2IotHSQY5g8CKHB5SPSGhR/ecjCCVOf22J0PHwqs8uVeh7OvTLEldvEnk0O0ApPUZQCiyYzCCk4
SXb47JwjnYER8WhL651npPmdZHCEzTaMrdVcx+qLxEHCPBVOx5vBRATdlg4AG2ZHJRmbj+OZrrBo
Te00+GwSUefZL/pXu43SHY5sAL3sYvs+KKpljfdjfBJhmK3pbS1PTebUV7Pvkt4GBWd/OSi9V/iC
SXS38G6Ad2DKazq//QhnLB3WXNq7fmiM0+zP3VdBU8yustr+XmG+YWAkQB86XuSf0AyyNzvBpsw9
yI6uCWeb6J25SnaNlM46Uq6DyZs73orJRHfhDZbFGNscNoFhdvvaSanjFhUrncHXHBMrys7M+cYb
YqLuHgtfempdv+HR1M1jOJRqjQJvr6Nyggo4Vu3dINW8gy7kPbRpsLiRBucwFxhXUU2TC59OrhhT
Hu2WBmN2ppG8tVPXOwfsq+//tcf4/44ndFcs0cb/OEZ58aXe8refDuV//ZI/DuUeR28KMwJ4ITCQ
IYT966Fc/OYTbPFZQiSaquNxXv4jQWnZv3mwYpag1qIPBJIzfvvX2hT/N7QeMJVExvheUEHdf+RQ
jv/zl5u8R+yMOzzRF4ghDuiQny+EQZcaQwaoceswCnXDik0FniUQfE6G3blMc0oWzc6+cFlRD2bh
aGwNAAq4GAb1ZZwZ+lkMwqQPk9q8F1QggOemWVbHfGmj49CQ+R47uC53kez9azPWC1jTdYfkrGRT
fYiZju+2xHF76kwX0AZWta7fRYjO2IBnmK9bbQSLByap03GTUj6ziYs8+ixJNuD47zGZb3wHiRzR
h3gD9XTjWF7Q+o1jhsrPbEs9xXiWsxleEM1UHSl8030GO2c/h0C7HtrYGK4rEAoxNCpaDt3SjE69
5btL8CPG6cexJzjZFiVpLT5ufA+GiWe9ZzjUn2wOfszduT+wk0wxrLly6OQuo/Ez3zChp4ocD1QA
vEmaXon7gPr069ijImMr4xnxnWkOBuS2GfLh2u0Lrz3brtDwPBiv5Wt6jMHrxil6yqrzmPKuk7RA
uYRZdbbhILRbM5nUucIkIQ9V3AKEJzchGUYO6XQ/zHbhYEe3k3in9ZhrOEk6DTYDyw7u66HOPkjR
zDUHoQ57Jw31/AARAchfGKjXGSiVA8+MeDD9tKfalJMIuMLgBgM4/s8kSNW4bVuzemTexpoyp8UY
7l1Mc1iJRvyJnOHGJ7POvNusMd0PEyUt2ULvlAXdzCMPjR/5c7EasCpsO9naz02XdM9+JEW/G2D8
+5jBadxYM9NrLlIi4vd41Roo6X5DB1WtuSwexahjEiQYk6hZ4ydspDb7Ytt1jnMHh786yKhJbjE2
ggvo6c79WFJqDCpjGx8g57bhKs37mNuek2OitVxmfjFA/XBmdrQO+2DkISDxT2bKIP7UyMQONx0L
OJ9nuT8ajzvNqnBNB1sZNgosvDhvxG6gjoKR2mgwRp+6JIStgBu/33Q9BRZNGcE8NR2k6hbFLNtw
GK7kqvFBwK8AoHTfrjWPYsO3YAKdwCsI1nD18cPbftPtqBf32eucMrwterRyBkjZsMtG/rAVNkeK
QyaArzgibcrLGgBWn11C6+PRLwxzXYaygwGXI3BSlCFin0owRxf3QZD4m9br/Cxd9XmBDR6bk4JF
AMwDLyoXlE4N9Ahz2KgvTLsJeDm6h3zyBk41rZk+AZA29wKX3NZLxHyOgja/mMh77prRDpt1kg3e
cDkFpbZuLYU5Vg3cIfuWe6nsh24dOLpOT4Kp0n0U48xm3Njv09Bq5yO3dCohKVS8NDs/wcmCYDjw
A5wYITc0kvodCxxxnh5T8JpyDBpMMfFn05K7IlLVTFOPz8eZRjfbcU7kRkM0LA0W7DxhkNBo4ruh
K933DOBpvYH/yDBomPJyvk6yHOccAI2gwz1Quxyp/WjEXUPrreMf3YCmxmsn6hZYkGGkT7g9PUbt
joYI1I1iooFTxja4EQoUWeZXYRv7xirKPJrkEDfeqhFTReun3GA5/E9AoMkmOiiBHcNUKflrV/9T
1sFkdnXXbGmOrzGV9Hpv1XTP/Nfu2//flqIFqMR/trlfvn3G09tfbtTb51cb/7TJ//VL/7rJ+/Zv
ZNIFuzv7KEu5T0L/D+VN/EaAHNFVwEL1Lfvf9njb/e3344AfCIYB7PX/Bra3rd9MhDd2ZoQEuWDG
/pE93vqdcfazXG8h3yGs2Aw4qZuXvyjViYUnlwFsuxvzDr4lCbJ4D90+vuZ1az7FUlvPPmagHICf
l58TZxqsk1/WdOEOSXpfCjuhDJ7E4KoZJvEJXgHSUamDeh9Wke2ew7Lr4ieyQiG4IRIqT32Yki6o
bXszGo65ak1CMfSMPHrYvdY67vprgJ9PMzuIsarL4YEaweIhgh/CKM1zrhVZ1YPNunhyod8eVVQA
NSTaQ5TTk2OFsU0XFEvHxrzW9oSJWU4ti5su5wvftAZzrTp/ug26sJ9WaeLmcJpVc8d0qZjv4F0C
5HXjubivOfH3G9yn/T1BVnpsZjFYvL3NXLA5CTvuj3aU9w0In7D+JLTS4awjecGgEbOSPtMRGgR0
v9qet2WKbqtbxgD1J1kgRokRJsueQW4UfFaArd9ni+DVwSadUmy5qi/Q6MFwd0kQqHxj4HAprqEe
lMNpNmT/rSmHqq5G9rsftB5ZD5VrLzPc0L8lIiYJsaQ4UjERY72IaxO4g+++IzKI/ui4yO+rJlSA
0/LYxaASj7WAu6WIvKfAo9bsIJgnWFceYE0nr9TpRJ9dYyhmpa13VXjJ5G1bIn7bMCY9viakMlx4
lq33ZRQOBFEpeNrzqAhrrSXO2ZyOtwCmar2QgVEkI+hSZyc3iuzHzIvjjrI6g2XbLM0TLCOKEYzc
ptQ+YlReh1NMbhxU9bruENeAm1FE5bA3SZERSyJW5J0MBstncLofXcGrZSyBf22SAkDynETpPS43
gOt0by8sN7Xq/NBdp8ZsxYgEC3Fm4TC3Sed8R3nhPwtV8CK3qNJ1fsQ1RCW0i37NBvfuWBWCZNQb
h3SU0YaLbrIHSKWpXyiC5MLVxd1yURtXJLbP3LTlLda74FWpPLmMSDHhmF6YrsSo/Q9FzBRHnGnk
LxyBAC0ZYKpBOSfRGK0J1oOL7cwyxhSY5qO/BjSc1idgY8be8+eGcqkFREvZGbXGZXnnp4O5TSpL
NHuREiPkPPCQC9G/qgVya9Y9r3ekNxmv+77N/B16se8ciOXNb7htuvi5M6sYttcYe1hZYpdx3cjR
aTiaaOH9auhmDLUVlPPyiDsGcw96dvxC7gGmPoVmuiLD6PXjGZ4ePq04W1gHpm878Q7hntw552fr
mmJiy1vVrnJfndlT+Nb8yDNCQPOdeF4YKcYVsCSIxtS6gT1Cp8ToKZYZ1DpzB0fuhmmczE36OzcZ
W7/MeK/bUTleCUyo3SWkoQEfD4YrigoDPusuBkqNpuaF1vCseXX5KxNu1rgLI8Jl62SIzYV8H+DY
qpHgDrQBaTDFuTwyMIya+wzzir9NDB2kXwMmlnNPIIs3Nvs8zLDZyp8Uv6i9FlWafeWDDhQXpFDV
kJsbxLVIenQ6WeYMJ6/1Dc7qtLchEJEL/FZB2qwL1xmiLcOBrD3yykS0rxkXAGBU4lb1SXlVllJ+
usYIAYmBTgB/WUj1ztBXEcPFIrr0CHHsT/gQi8QI2Zn5zCMWmRmPb4YLFhWVoLNZN9E69muPI0NC
3+FMRSbzYUlWY5XF9AauWCC9ltly18CrbvNiYyU14gl2cjoh8jErFY57Nbz2aLOXfSbL5wrjCOdy
puNX3WBn+N+dAMx6DfuOdSgymC0EA5EdPVxitA1u0IC5L/ppHOxSwx1v5djhBY9L+w69N0Z11BLJ
Jiuj6hg2ZI9XaHjWkSBJcqH1sExAVPNglbbzXGh32FmK/h4o9u6RiB0NGgVbZAGw1TTfx4jAmWMQ
hQHOZSwV0Ugze3PqgnNdaQOWYovbMqPGfhWLsr6GEta9mahGP5LBIqwR00/idj3nZ9WHd+yWib+H
5No+VFY6vjcwuj/twBoeBlUMOyi09wHL0rga8E+227iv7tNOjClptrg+ERxm5eUSHx2sgpFI0fYo
T2VJW7AUunfWjEm5efn5Es5vc/c18kqe1q4t24vMnfzvAFPWqkxwHkBEXviCGqCvV1DjWHFdHw4m
EvOWHIm/ye28OuCKrrZKpcOVpCeUWG6lrXQ3WfzBGh7yV00j6Zl0J30odhlZ9ZkiwrnetGquHpt8
wFAfjgV7V9nX4ljT08ZwGpc8MQQf8/pk6uQH9EFx23eTA10xC65LxYhpyaV+sDUrWk6i9jXtJbr3
gD57Qj+MLgqrQONrUG3vpDOquyKBfb/STGeu+V30DzgC5hOcZPK+3VDNd/ZitkqYGVGU5eI58tIv
Yo/5o0un2XYIi0Rf8eyVr+ZszptRaiyfSktCJIIyKMx1PUr0DWgI/4qTCzweaHgvk4VIAX0ziY/4
OJAirE5ts6Dqeb95o7OxzMS9NbEGk7TrgunW6oy5vqdH2TjZolI/bAp9im1EizYlhlVT+JtBVf1A
hVmr392mFz8w2/a3Yx4g5DHZyl4qaNXR9SQ0kRszFeU7kAv9ETo5Ll1YFagBLYV1KY9qGqS7Puo9
imWXdh1H5t6p9rUR09VV8d/p9/AM343FzDQ8ryc9mZTkpBo+mIVa3orUJjc1tKzMPLkW04gWkqXW
GN7wkqOB1BzMmlVNW+V+Anb8TbqZu0TW828qXbpvOej+SBNjfR5csKKSO9NtVlVY11tvovlR5n36
mJdNuQeH3l4kcWjuTTd0T4EiD7DivkYZnZUTyglcHBtrDIsQRz0IKUgmMR/E6QQWQaVFm+7qyZnf
mqBMxbYZnektmYzwQ7cjUNG27cuId6zA3WvDNchuLAP0Ak8813mbL8f8XNS0GSKDlNcNRYF3HEzj
zZhEFIiIxMfQC6Bj5sVqhNHeDtLqR5B1Be83yA0kjmZcT2HWY/9hmvVaVtqN1ugj5VtGBu5CkEh4
c5hDb3tABIoDnhFeRFVjyVVtyezo8Stt0W7naZ3SM/Gs/aj5YJpC3s2pGD4nseyJVCOOUYU6jWdF
+v6hCjp+N6UqeVX5pHPWQ52A4GkAYGxtEVU3rPrThlgKtBUOOxif8XBGj/T7LesO8AvR2lT4YlYh
GqsIO2abibFqsXbGqYEFn7LVUPI7X+O6loDpu7F707qSWy9OW4rrmyy7dkhWiJU3FFYGyFGYi1eQ
OapWFhfJ1jfnx2jWwQMzyAxYKt/sCh6vSSZppFdo9EbxYgZ0OtxnYxfcEKl0cgbkjv+pOVsSfMZB
F+5admb8WJM8xTlJeuxY2ieM6xgAMyjkmcjywhU1k6DfS63BIkpLebfMsQwCROVg37vsOpvajbqn
eNbJvTPZ/s0wRZzbYtm0t7mtZb8zg1m2HEmMBdKue9CaUFzc+94Nkuu0x6S9AowxXUunIZgTjc5d
U7NQH0hYwo5n1uNuZS+NT1a8dMf+7O5oPky/sCTXG45C8hE5p7J2rWm4dybRlB/VnHrJOoix+4HZ
xSc/TDo4xW7lvWYMIG4KUxnvlV+k9+YUKzJKrS4uQNl435jCk/o8R22FVx6K7yfjJ/00D+N0wJ7Z
X3i1zJhierFJVyz9vOXOpax42iT4u4iKNIV7gMVjPLoUA/TbvK1bmtqJ4BaxwlM6JSYUAgmpEv+X
wkZt5/kJwslAeUzeT8+zj1ZbxSmdCN7kNR6KaIIF36rqs64ykBHAUdR2KKPkgm5H82gV3cto6v/D
3pk0R46cQfavyOaONkQACACHueSeTCb34naBcavAvu+/fh6qW+rqltQm3eYgM53URSbJTMTin/tz
Qjm6iOhvnDp+EAmaoaDtiq2pvBhDFI2oLll5bG3fRog9W2eSTGqiiUohk8VrZRnhIyZDb2XXknFj
W6BINf73gmBLo6z6OEI22FYkOHY2lch7wJcFTSJT8BUYZXNty4L1b/Ih2dcjt0OjxbcAhXc/cERA
7cIydqWpTbgZcyc8VnFJEm8y8oNohuRUabf7GKD13LrGBE6CImAI86NbPNjsfTvlDc2BEKV+5TjT
wAwI7yJImPjq+UGnmQJSHFe4lOkEOZVOH+1LH3LDqAlZd1KzU9Nnthmi4YPbQ3sUBShi3LhZQghk
aD+TCsVpGw8p/Ztx6L3GlcSTCkysvRj4gKzBbQNtqGTLYRHUgt8k/dvsVZ9zaXC2Su1g2U65jZWQ
p49qquuLiZA3gx2td30YcquNJss8k5KidcxlYFTRArqqNepZBHnmFrv65JFcGTFA0DRySQU4mq1R
VuSXndokruPodUri69Iqggc+9reKGuN+7EhdDAyyXewBIOpnRrdYvBox+CveTkIFiQaYWM1xeA5p
vE3W8dSlj4U1hk+mVv6a2yciuJ9X35TZjm9RSbRSzVLSS0lr8XnCnH5QhAOORQAEbm+Ojc3yFo/z
C67Ra/yd9XWCHLoPmvYAEr/mBNjhKTBTq2MIXYOGShznmdFb/17OzTkL0+rUpDExfargZpYYS79L
PzAZT44jc2qIv7ghPYrGjfkE361ZtNvuPgt5bYtIOdwj2e2qVKcVH1GD+fScyatCucND63I2R+DG
hNOlRvtSBTQSt2TOt3lG/p7Jd/Pu5RHICN8dT44fDPeBdnA3e625GzDSYT1V9s4yhHoiz+lTYFdq
3W/6up9NOK3eTcqnsdpmPZ1aVP+JbFsBrAVhknR5i83CJYY0iCpcK25t3IYNq3xtSXVheMeX/N1N
g9Z9cDWIwbWQec7NpJXhumU3+aylMVjrhCLXQzxH+euoa+SJjlKtAPMI8dGbLC6JqER9wfE7gSIJ
YPp18UBeyzgVn01sFLRrLUzgVcn7cOy43ewUuQST1NsYPSb0Q5DH90oZEVamco1oZuVhEFf083kY
Bp97am6OLgrQcewayX1htPIbkaRSQaGibVs7hoDYMCN/2v2o4MPY8JTWbd4a96KZ8GMMvb1mfynv
w9Rt32QasQA0IjtIJ3qt4yI8WU3T5tAjsF+YAzoL97qUOFxQOA+VO7UMIvDynPU4iWZt5TUVbbKR
M4E4RlLGzsKiQYJ2yHLvMa4iae4JAfgWFvJ0OTLqy2Eod9FQx/whWp+EFCaxmfYS+na+l+bYXXmz
HTyZY+YybqEhHBZG68bPUR7VFyg4OYptXFkRktaYXhhubIFFCNr5Hj27V5dEuNuGKr4xGTczPLdt
NBjDekKV2LeW+4JRiDRoxfUNk4JJJHSiOA3+sHDmM5fO+tXP2bGA5aD/J7oZILtYxgOuCe8SGDZd
Xn4MhLor+lceuai+YslXwJa6LL4WgWV/pHHnPaHMYK1jP+IkXRKqJ4t65YDb/7BrrXmYmHBcjsDl
dsIP08+YzFVwqECjMPaGGVAz7Qa7vEogXDuc+BAMcNnImkblcnDEhtaE4UwBbrNcCynC2kYp/PqV
NwKFoIw9BxFVYlKh67gpMJfhzmPIg5uKx72htW9JLGaY0BpuYvGOjJBH9MbtzU2dOK27tuuye7aC
ajkqNwWpd+D+6UOCHAgUGMXyOuf6wv+bUY+7hpGpFWV0fqIuKiez3+jJgz1MRfa4TgZsuMJgi5pc
h6Aq86LxYvDLRd0X5ZPKhPc8q5whnq5D46bwKFpZNzaBD4qUm2nngfaId1Ha1UdO4umun0smncHU
NVzvyHyB2I9brEtO6OlXu5rKfa46dUW/pUfJcY5FYNe6nQt/1nM+FPoHqGeKt09UANGqFHHmeY4b
fBZ7oTpGWpWybjKsuoc0W2jWcWuld7lBByHuxQoIU83dA7K/JhMpapVfihh7BsPCjIcko9yy3PbZ
0p0cyAxTxWpog6w8xj7p0W2XCVoKgLSPoO2C8YWJqzvzm3gNWVWXMavqRp/f2lWzpqC4nTE0+BMC
Gjy44K2jLezBozex39qtpzgnJNo6qaan7YQxbvwmmWCiW0SjIXYTyB968nq7rS98t5spru64dPHx
VN4mgQLvkEUwR/0c4UPbZ7lUtBhMbrTDCpbvUWvTz7zKJOUnE4PSNPkxUmvIJ11H0A4eK9+Jn6rB
pP+9m0DFUeTkFWqdkJ/BsmN30Ibw/edYoyCDEb7xKmalvfYfcNJymx8ly8+kRPweTAOD1U7KSl6y
TmDz16agorVJnEwcvZH6Q/Knfm/RCk7V0SaKR/ejZl72LVWS7uSECEK2SiSSHq0KLrXDoUJ75C5A
CDahcAhLZiEs/Uabj3saZY1WypDUu4rHCE+Oy/rJgh1DLF5lrP/zJsEFZG6cHGMN8QeBYKPCrgJm
HvXlVZylNEj4UzK+KABrm9mtuheepFpe1iauEV3qprsswbA4C3zE8jeG1ehPiGZxuINQEi8JbKol
1mxLrCtjTl3Pt9jq7YvZL2b8NB0UxPXANkk6TFEXTsiy3BqycRiUluZ0OeUGQ11ukYYmBjtWegvy
Ko23EoPerYTVVe49TkY1Vya/2VQmz/wW0k1wHkYMvmvaOuctRGYmzQOjKxZU029pQGPtBECYjVRO
DRDpp8HJq7Wx2NIpByrR0cB2ICY1rmIdmEPfu2rmltN9ys7GFUyBxwjiBTbjkSMGxuZpXAbmoBGL
poIfWC8lGucGl1WwSzPxvU8M7672XIHyGCu1so2CDgEzXCoFnJCAPKYbygu2DcsmLJe2Mm41Vw3v
UUY4y7TqIy4wWF7ZXERPfrwJ7Og77JfpFR8hzrk4ktEdKq6NSS13qMYc3OguSb3p4HoMEHYhdtjH
MurKEzho/Rhn1GStyMHGN2mVPpeGFWyLyHWTY8wmsg2I3dI/3uIt60ZgbAx0jM8iKqeHGB8t1RAF
gI+Vy7I7nVK2QqCZICRJwhDEIUiyaNlJ739wmKvfzdjLvs3mWIN4KmFwclkLLzBq+t66LZbfCGef
tbKUojs9TO0vYVQDqMPJggCoqxOSjo3hilB+Y070GBpZYWHRcof5QCxY37XVUN4FNEfiT8ASSGxQ
y/u6alizCaK1D4knxXgKq67czegrejcPbh+uM6NBiRLAMOddAOEhApDPhspj1FtLriUcYBuKNJl2
8yz6+bKEmq8ODXQQxjNh64FSSqQ4kvu9Jy9IlGwU0xvp161l2MWmNKl68qo5HT4YyBDCxOf1zJls
dNjb4lDdJ1xNIFMlHsawWumHGvf7A2dRPa9NIosUDjKKgolKO+kTZdXFd/gGnEWtGh1g7TVm9iUb
qp7WOE7STa5GxH5cC9Q3yZGCgYyFnhNlrbL9/+az/wnDnniUYJT6781XN91n9xF+1fX082z2ty/7
x2xWkn+1sf85eP3x6f5jNusAowdUT0TsVwcW/+XvBiyiFLakBJw5BHR1aROl+M2AJUzA9x7ZJ9Jb
kusYNeJ/z4f8Iefye+7lbz+x2/8pQ6SoQid/yAq9nP08jF4/B6l+n+/jo34JiEw3Hg2/WsOaTZfM
f1J1446w1yXlPh8//aV++1F+full6PuH+OCfXvpPzi9JNjlJzKbaEmCnhCbkQBeCOCuT4H2oOEP9
9av9U+rNlaYrsLtZDo0CtvwB8P4pMhYHfUxDej7tqCO0MU0GdOMSL9iMnkx2U1M+mzqO97zT1RaQ
jbf13R6LTmk6m151z0sqn8bhZQVNbphonJ14BEOZOojfwVNVBfA10e/BYsUnYYHe+OufXvyLHx/L
nbdUFvBZ4QO1vJE//fiyztiTmHpunaQtDq5lxc2Kmyij1t6eSKHMDtrf5G1oDR9vcNVF93YAmpcu
lE0vPTBBXfWczCiSCGVE8MEGW/ZeFlRQQ++GqBXBxyHVMQ78W5nhHckXOyoAjz2RTvZIb6qOupLm
g0GonvrstD4wSd2wqXCLu50Kcx2H0bZ3wjsbgISehncONqtkgH/aUasb9O1aR8kt+Yy7Mp3u7epz
WrIeTOpex2ic9+5EQqK1Mvdc1D5nGVEmR98DGClDle+bRhHa8/hlRmL8di2svUylflCJecuRFViB
zytbFPtdSi5pb3HWQn7343HPtlafuIjSFIqO4q4UI7AN9WTR9VTTlwyLgM5tN9E7x4WD4WA6u7CJ
nlx6HpFo24+bm6Gn85BAAWc80LOvlildzK9Rce2RAID8V2rGKEqh/QT+1hlC+U4/cv9Vdq150YsT
FajD1WDOHCJMr4HVaSXFzlFyvsjhvKJl0D/c59QC5275GUXxZ6QLdaR5lY5KyZYIUP/WaEoayacQ
UlP6gq34osK3rnsFrJi3xmmmGp2KLwDATr4xC+JNmjXVWXhyO3bFAzDP/NfA3B/ycj8/vJIF6A9P
r+eYtq0U+HX6HsAALGGrnz6PPsHiimOA2HZpCmUZEGIBwKlqGSuz25Z7akWthyiS4+UcdsZrGEBu
WwFd61dBVBWXnmt9G2W/nqlfPQ1d532NuTfdW4mZ7hsHuK3ySf0zI0yemqoDRzMG5vcfz9Rvqbo/
rIUf/8v8ff3Y746f//f/4N9dMnv/flO7/oya8A+O4t++5LcNzf2FDYN331Pm4g2yWbh/NRt54pdl
m7Phttoo0PSC/GNDk/IXh40OS5FrEtFnV/t9Q3N/wZgkFF8jllCy4/83G5r75wJC0oUOQTYL16OH
nqGWFOLPn8yoV5VnF+28K9MCBx48C4LMOH3Mc+jW4Zb0h7/rShFs/YzGi61Ms+CSRtN0F6RjdUri
WGyDkXKGDSW1kOzgg1JVJblYr7yABMeeyGp9HkUUkkfgML/VzMIE3tahvuAOWT3TA0UbqizSY2Sl
4SFL4vrQZT1dc023aO86v45IKrarSre9v3Esm/swhEaI4cVkI2VIu67zo/RS+xSNUYDZsYQFwmnZ
OA9xnVTM3wm4rjJ/NL6Cpquz5XLgv0c+jaGmOaBQOnF0UXRUSEN+pKTQcyz11GCaGLfI/yxaScnZ
EnRh3RM9szq9YUIQP1IS8DLMZnSO6ugBMtJMm3TWH7m31G9KzXRAS9yKQd2qezXb6dmMaG8b4b5v
iVUzAJlyOBaTYSDCmeQs6hTMYT5vff50W6HjkHtWDdcpD4e7OkeuTnzv7BVjepK6jda6ST6lLp0V
nMboDoE0PuaiTLeO20+voJxoTsRFTRqOEj2uaYpuP6y4lnWRFFE8Q4u1GJ82XRnS+wWf+2S0mvg/
f7QFZZOKZfUZQZNibnC9b0LP5o2amvHO72F9HhFfJXskt+Nr9k90CHLHzVvhhkN1HJiTn5QmmbIy
iyG4ZiCDoEkxAKScrOYIcRpKkSKRTrQlrOht7GBIldq/aagAsNaqdW1vl1NacdGM5FyCEoMr1lEP
4r9mehjtlI2+I4cFBUPt3lWE1/fV6Du5Cxo6z3P00+VX6vGwad/7VraNs3Vab4Sol/XXLYQX3krM
rNPKHj2SWXLAUAY1L1yazSz51DmDeiyojKYjZKjF7VLxca2k3Wcbpw6KA5a39JD5NoznAZjqUwuQ
7h2rcXzbRNQlc23TFffMaULG5Ffqd10qCqYz6SKhKxXdhRh3D3hPzYNCb9khUwBEYRBaHKrSXchI
aQsl517WUYcK3ZO7CR+pLBmpc5z6q67lbywYxL8gFXQ3TgFvyLFx0nt1ft2O4ooyYrGBKDzj406X
WQaIXkXMcV3jezj7NKXhByOSxlM9jcxzahjdmJANTjMlYAZ4nFjFZzBPI5YfrOdfbhy8oHXVl2iq
+Xmo/PGoSyxtqxiV49Dh1sbSPhYX+dxwGOIeGVzHDRksrAtsVl0Ezm8nBxERKDMj9xZUTkNPdR22
jCxS99z4on4epQ13WtRk6FcugtHJKYNuPA4e0hXzWcCoxMYsb3q1Td6ke/xuw6ahOfEz9QcwyFiN
lCrZJSl1RBzljieeDB2O4zGMF0Er1j0tqYVlgym2VBD4P8iKMUk/brStW8BeGDrXyy4ig2+/NkU/
fcOgLjZO12ZPQo52drF0Yu/x/i6cHzzDCI8dy/SKJRqsoet06VMUjcO+8xFp1iz2j13lD5fCapsr
YzDzb2ntQADFYofs7qWj+em6sbtvyB2eCRTidg6NYNe3S8M0xmzruhDj9E65vXhJ6zFdu3XrHEae
IlbYUiNwt+XDEEn09dScnWlcp3ZVfOq+LW5nWwVfsUFpQILA91kPI4MTafKNRUBcaUv4y+akpy2n
eYhAZ3l49htP4/QkH3c3NZXbb90GLM7OrfinoNVB3S1NAMM2gvapDoFcuguzbsigGmVuKY8ZMmC2
dWQ0QP9O9PyA82axQIY2MxwORuBtwEqhAEkn1z1Xcz85jzgq2F60tSvBtlBj31E6JMug2E9oXlzw
C97KVF+noAovaw+Hv2GP47gybBRyyLE8r0NTXnQqZjbQLZieaRyzs07q4RvmKs1wdeH5ELEuX7t6
ofzUCY/EqhnG0tm4XWWdNC5Ryvl+oIGyH5ig5AcyiP6a6cO0q3hCYZ3897AyGPiXccRlj7KJ2cJY
auY+p7YlsmxmE4xRO3JsaBBhkd41rtvQzZjCwDkFygqjjeo6zfCOBT66dguzRrQMh+IYz5h7hlLa
wxkw+3DACsxT0BjZqSDTiLDMsRalmXlajJUC4Sxs79yxo+Mirc23qp3vbPBXS2ok6O7NMUHWQl/H
8NbGtUseOu/BFsk5UW+1nsx0k5Sjeqo7p/PXkD1jfUBK7sNtV6mZ5lMC1xywEZvW5jRMXyRhzG8O
trH7FlE72RT91N4ry/RPFc/wajSkfSeayn4yGj87sWDbF82CN3TiWm+GYTrPfgoMuVMh8p+TYEia
L2TLA/sDuvmZpYVNk60Fn5UfEXo6emHWIE3zVuoVM/d62jU1pLC9ndrWd5SAqdsBCs+mW0ub4Tcn
tPrlu5veKRGUCe8jDA7f4jFmvXMZeWL5AnJYb7FitNeG2zF/M3rpP5Wpnx0EjpeCKZtZWQemYT2Q
NyPgQqNCzmsrMt2Js2mShjeaqrY4u26o2Wi3Xt+kDCMB9dQxKQGsbh3TsxryK2cIH9sCnsbupaKR
/LqTs7EpqJ8kUKid5r6ZbeNtuW3LtdM1LskazSTbNCF4IOfJqlrL1M6u+a2riyCEZ3tQpYnZLgm7
5qtJQ5ORhh40sQQM6u6hmFoslHUHxWjpFQUXHpohC7aahcEIqs0GrgBmOdP32OLl0o4oP7neOMma
bp/iogkrsMb2UH14hKkPJZSRj87uZ2yBY+AZ2LSpoV2zM83bsqgo64hjU78AyasvHQBBT1B3UO/N
CaRaL4pv3lBRBJPieRJbSJPOKaubeBtnfdzhdcg/TVsGbGVB/TyD1j3WlKbxYJEtuhqTkmwHAcwW
KxfzuIw+EKYKCt/ILk+66iaOcGOvjKA1BBg0KlFWDOe7l6hLIOBrjPqCpJocnqcww9lDMi7WW4NU
9MmwPf2tI5D+BTHEyvAgDGmxLbpiFutozvnojTqroODXJWVMkkHpqmpQKBFFoKoFEip733XBY8+g
gZRIWO9rtdh5mRgDMiA5M0/hngPpIaGfvlnVMaYRkCsUFJmU5aySsS0uLA8zBlNOm7y0yxIYZUnz
NEQ+GFzdjmv2fdaThE/lhfas4NDqtLwsej08MPAe1ikDog3okPHFr1QKH7Y2q3eNJRrbaBhaH2O2
QIOXst9ifgkD9dVHQc10wNSEoGQvVt7EuAjzgOf88EFh7wgyxisJGMv9RPxt0UFq81nY7EZPYVWA
gZ1Hy7mxekJ/M6EyTLR1yoBLtyXlVQPmKcoSYRC+l9oZUVFZIDaDXTBmov7EwBdFY/iBuhvqg9kD
jiM9f3eFHw2PQYs7GQqfHPZNzCkTevEJ/k5orBBRwulgNJmHZTXPMSvm0h8esHRgxnAqVRDaTbJ3
V3BIkFFiOxvqo42vmuYoTp1S8b1Hr75lBTLlujOtEisdMNEbsxx8SPwC+ysqo3+TYJq9N2lUAc2v
mLbiHcqrVxW5tE00JV0aGw5o04vHjPSj0y5Ph9viHDjx4HEwjKCivvmqax5AlliXnW3Jm2wUzTfP
8pjDWGWHOdfSamKfxXW17iPD32OhGQ98eoYQNoTZfdr0JEeHYo78E1IfNDezoL1hRRYSKcKcLOxd
cdMaK2nK8JBSNaUZurv6GaCXIp88oKilXbqM5wurhTqdG+LN95ruQqgBHq/MinQ1ecsRrG+ZrqbZ
LOl3MkFykqdijDH7U3PJTA4vTYWF2oAmFJj+Pszt7ItFIn6Lh8E9p/Q3W5tprPItfzMMR5RXEZrH
2UfqKcqDYCOC4rFRcX/iYbXXEdNzUJOWuBAWfnuPQScesQ5kJa0UGzR6KTa4okHmC0q48fnPk/4W
03n1qf2SR7smM/o+UsR3WZfUk67cyKPZu29q8U5MEb3RDLEFGtBakesESAS6Ows5nmraNXDDJPGW
bFl6bcVzfkMzOR1NvaHVmkQbC0tZkMMHMLd2WCTf/BRBq/A655Wo6Pw+plWG3dyb9BJ1i99LWUDO
H1N9zzgWzlOQmfc4mrn/uewhVz2V6sMe82nDmN2VbbLmwTLlrjUdsAtRjWzGY7Eds6HF3A5ayuNQ
kOf3OCzhhIT83re+K/Du26VFtpCA0WnSeZqtu5Haria0wsM4c7jY1CqdQ2iMTfiprJLDIgmBbeW4
2R5n94zyBt2GBiy/u1EC4HrKG/CAIzC9Z72gBNvi1+BkJBKOLnQHtAMb7sQ060EOpF55QwOuXy9u
zGo7+ra+r4r520/yx3+iVEOkQUcgCeLa5JXtP7HmSseBGZYBECIkabH3u/AYx0IZJ8AXSHipH+Sf
f/2KZK/+oK5R5EQXpkP0GrqXqxYh5WcNg+FiBca8nfdJLeJbACjtlR0uHJlcuBfRnFIBu7CI/vpF
GTf86UVdEyacC5CZ91tYf5oFyEgUc+AmdNSEOr3kXNPekLiBtWvG4QPs1W7HJVAdm2Govn688v+k
uIepBKL19plF+SZq2jr6aH8eFCGEMcOBa/UXatzmLXvL//aWf/5tE3X/+ot/S/rLXwjl8y1BP/yg
bPGh+S0EyMjItRT3uwWBpUD//a7Lmb/wXwiaK2zu5GuYJv190CTNXywyXLDszN8GVP+NLuf/WTB2
OAzadPPyP1uwkPBCP3+ky5r5Lqlleyvi6Hvnqiu3dval8h/igDXBRHXDlTGC3w0eMFzflrN6cWvN
9fM1hIgFmkufKIJ/TDq1J6m8E4axjS+J8F20+H5GFzZ70J/DwXyspLVPWr0rZ2cfz/WBIE4RBlvK
7E9iMZ5QqgVrHrbMZYoyZ1fpMVHWraqdKzpA90Nl39qBuOI0LZUm8RHuptJffGj3nlHez2Ow5QZE
vIR+Aaov0vZ9Tu+nRSHJ5r2zXDG5+7ild4SpfClK+yq3x8eSZHzZ5jfKMbflNO3TTLFN0lIig4cZ
pO/GC2DeKk1PSnydBdx63NCHrezUhxn0Ntf99LbVFAmVCEiR07+2tf9gevVzbPMn06a9twJ1rDCC
eFn7YbTWpiqzSxv000+fvH+xEC7Dzz8sET/eRBhqvsWHiU8NH6Sf30TqnCS3KjgeaVVtNEG5zM0u
9VBdU5B3Te6qWYUMAHDibY2OUwPvzF//APafF0bHhyDnKlM5/zpJWvkeNSxRsKV0aS7L6BJ+0A5T
AsWGmOy3SSiBzSRq3wXzTVzNjz3NbZeOcAzYSRjo3NXXZLX1biYptu4Ti5uVoEAuKOZLmtsOHX72
tQIzdjTRbbKZVKftEFna58MEfLkGB+MNdBpa/rSCsYjhJnAOgW+dqrHGQ0AV0JZzN7N/gqjg5287
Ck+ALYMxlOLJquQpwBjvxd0Jwnh1UQD6Ov33C+l/Bin8t//q/0cGyo9l0uKz8O+HFue3PCq7+p8X
yOXLfl0gfZuhOlloi0ARMMCfBhc+SyeTCd+h4BQEofcTCkU6v7AJu8SubIayDvfZ3xdI65dlzEC3
NEML9msqff+LSTxr7R8fLkAsDi/DKM0HkCmcPz9c5BDy0jAT/xDXUXYgI0FIN2Ic2XJrL1stNXr8
iLElRkHoUwcD2Dx+yzhh35MWfaq1X52NitQK9VPjyQWTcdf09q3IM64QJFJXYrCjgxwLkxNXQ5g6
rINHys6zc5sYx6amd8ruvO6UJs2dkSeCttcxfHcMTjh47vI1ZWs3sRd7HtUrDDVWzcIgtquOQgw3
8udN6aj+AROfB3qsJZYwTOW5jm2OKU41QbpfqhLAoMR7nNxACXJME3QW++N92mXhc1SWX8nMEHSj
AZfX6zGKX8lyvQ++NA+RbdM4itMqCbEzDixym8ayAfba03fGAdnGpk/witI/RB8jyO5YL1GGExgY
HTHfH8mUOnJGiqoGse4XnHUSRs89NeArZEcktB9Ew6YZKvyl1tEUsCdid8nEmJ3e1TITOMIktuuB
4PedOcSfg9PYGxSWYG2F048o5tAsBp3XTIwYnZuAIqZJFprqGY6kPcJHaw3GPQCO9LZPlbEnEAWV
tbQD85bTJX4gWw8hLYq56M21qJfvCdOC+29SJ9YqQTDJD1HbTrdoldg8CWIuHb41B28Df+AhLUNW
rXpO0xMe4TaG5kdZ1doemwTwTBy0WMGwJONbb7qnFm5MfWwq1YR7f4r6i4rEEkd6H2DMpgfjxd3W
NdGQYiqlKWShpOBDVdb4iHU1xz7nNzAtbbeqALFlWetvJwMuCxMAumOzytb1GnIQ7vNhoHKRAp84
em4bVZ9nojnlVhQxgWstAvs61HmGEjughdRLli2iBAojaE7PF3XJ4nZKWsK0DOFZ7U3bTd3tYAuo
hmBGhuEOSTAID8RruuqCT5hFCsHDbLxp3EpeGcaQfy/KKDu5NdLUtsXdV+6ZDVLJG9NhzjA/gSMy
iNqhiWTwbxltHKFCqpVE2EFgAvxDZGXTU+a1slxq/2zripnnc9q4N2MMyTGNuKE3UX0IW0J/JCHO
aYk8UVjFXW/170Fp3wP22E7Cnq4iH1kuS87Z0FWXsQ4oeS+AAJxVRlwM+hBVSFjAWrJ3cP0pCGyz
KTtqM7FuyGYYX3ycNwXdSH5v3sg2ohJ29G5Ns6KibUG2s0Tt/EyWG37V79Z8m7UQQTmxbIQonzOq
Zm8b0zyWCt2W6QjhktDFL9zEalMkxqcN6v/ex5C9UkZz42HDACkPvXRA9ewdTx9ShxRzZ4UPmUWX
b5JglxtSSx9IRicrpTKQBRT+rERWNOtpJpCAQ8V4s1GbV5W7H3NwkbOFZbIvyarmHjClqrA2ro3w
hbncKjaByItlmqhe/UnfM5CNNpEnu/2AfZ5HJt6RHvA2wiLFgILlfsz23GxrMW2FN0IskjHs/8Cj
pzgNjr3j3rP0nXW89BVXk7xIYOq3mQPNMSUaNEm1r/yaqhav23NW/kwXMuOokIeT4NpCxF73zBt2
8H8ejLkXX9x+k/du1r+6D/69gUL98brlkdrgJAwWQ3Kt9FARl//+k4MiLxmd9pHwD4YuKaDOCCUR
F0e40cj51yFToGhtzJ1Tbp0qac6gBKJngHak38a+V8weYf6xTraKp04VgX8Ty7Lzt3pMalzlUYSM
XouElFSE5P9Y1Ln46KeA55lJ4BCs3TJ1EWCymSYGrKu1XI1l3V8kgsz+PtRM2I61cFgs8jI4AXDv
+53zYzUxfqws1Y9VplkWnKVDzjh2UGbkgeey34TMr1sYA7ax88IkvmtjY6L0oTJdpNKKZWpQ+kMG
JUfs5Zwequ4yDZodUV1r1zF0Wllxf2na4XByzBzzTkI+A9ftNpYgjhLph5ss09hjyGijulp3cybA
MrGcXSoIQ/uqkrQA95QTCHonNwsWyspzCfvVbb9oZKdoq9fFFg005bOKnx1/USKoN6B7xe/WlJpN
e6hLy5TDjGs+3bBVirVdiji5jyYCTCeyc9QwxMRWQmfEY+MrGsArGj59X+ePYeXPNwRYqR4xMQ0X
dYwwIuybDtgnglKg8xcWBeZclTvvnIIbtlvMNUQgmjGv+7LzPnVLQ1iUx7d1Wkg0Dm6Xhc5iccZb
kVwBhHCpvKxbwn2QSOboMkM4PIV03l2TJAbj0Ic2WbLe2AsjbcnHy2BFcan+gHHM0zrSu/E6IfUg
hfWSaqbOvMU1kW4KId5twGkHslTZlj5TUmMyq2/SkBk6nQzcW4ppLypxYQ54f93O6E+kVGHbj3W1
HUJ0qUZuohrzXtVOl2XrPCMTjVv+ck+pZvu3E+qkCu0j1GLuZzYmHjK/5SYFTRlqCX07abn3R+sT
a/ywU5XxUVERTaKa7EpJv4nlQpYV8SVlO7SFBk+BBr5GoJu09HskFH3t/hVtA8iGHRi0ce4+s5AJ
clJZXwVd7eekA0UiXLPeeaPhHQrRvjl4si5CT1D5RfnV5+T7wwVycXObFXI6No1Da3wZeYxQEm8P
4eKDw6Kzzh3rs7dTf4dqq9YgQbxNJqLoZMfGyxxmeo8uLa7QW8+Mnqe1lXSSqhpj2lgunGhoU7Rw
ksRf9aATybh03SaHLODzZiew07atV244JeyKsmnPM6N7emq5Nrp2yRBjxOcM2veMpyE6wv+l5UFM
isOHIME4uuIWhkJzw1hya/l9BJEW5IgeTFIcQe5GF9D+JB4TA8s18aR+C96FbqGeSQzbd7EjhV7A
EmD8YWXk02QEjQTLWryH+gZFIe3k9DLiyWjoz57kk/v/yDuvJbmRNEs/EcqgHOI2AqEjI7XiDSyT
AoBDC4d6+vkQrNlmsXtqrC92bcfGrK+6SGaGgPsvzvnOpEgv6yGtvoHWwC7R2ShLikTKH+T/AE7O
CYFcS5wUQFUILKx22uKV2ZR1k5/C5Y5ults6vV7c1fUSd64XukWmC+Ls60XfXy/9+VoAEGBKMTBe
CwP7WiQ4S70QL5XDv99L/W9kwpv0O3+rD7tThfz4/LXT+vOv/DmHcv5gdkmjZTJyMhwkWP9nDkXD
hNbIh0P5+xwK1rswDAjwrkc37ixywj/1zqaPSpqxFn+Reajj6Oa/02UhQ/trl2XzeNJnWaaPqI3/
2b9duwvqwMF9TDig6ts9N6SisyTSftlY3cENak9DrU9Bhp4fr7VHZZcX0aEZPXmCA2msFaqHF6+Y
xDe/0UEG2K7GEIGQZnOQ40lLC6odW3NWqCPCo50j1IrG+cNRNsbIJLB4fnhy8pPGAwgK0XNXbonf
r/EThC4coOwsX8zS/oY5YW31Ij+S9ljvzDwz0AjoAGbqCm02Vq4E7YJrPGcigbxd0xgdkTYUN1U6
zbdMifOvKkWUC7AdMlPCAoafN9yCcyOZy9bo/ipcui+AqAVY5J7dKaDAoPHD9IvIFTDCmZ8aYoHF
csTW61uvk/CBICN6tUFrH7RiqeAccPd1kd9DRC+BHHBAS4O6dWi88VZpngcYXoy4IFukH1BRRnUX
41rZa6lTnMpoUA8EtNGVOYUZr+JOms8THVfUjONjIq3o0sY2B1XYlzvA7HcIavrnjqTG73WWNG+J
M9j3OXI3El48/y7xams9NvDDiY9LHnuZm0B/J7q4vr4jEs1AWlqLg+K9PnV5mJz72CteBoR+SGB0
azW2EXKsKF1ToMiPoa6SSxx7LPrrxDD8VTm4/SNq4Jx88vh7aOMBn5MUtbxy6jcHkzlSjqn66swQ
0+XkzYHrj6+xWe3TWBwVkP9NUhnGfU+DsUk8md5Jd/DfbGeszmRA2ScrJ2VPKZKVUPQQyJY27N+w
LorLBJfpUswVazAElOJrJVSNuzTKD+3INiSNm+GY63Z4GUBo7FH64ns1PPA2hWbe1JP7PWxOhvlm
SX7ygnV9RIxRHjPRtsHMfQDJXqpqQ6pqFGGOqYp5xYeQ32FrSi9+PLc7X5unZ3PODGyQCBUjMkBf
ASNOl2zywyDS+yWEqO6DiFX/GlLTECiDD4jtmOkv/U5TYq6pWoLpQlx5Rd/hpXJ+KFzNl46CbFOD
c9w6HXKwmDXYoWMeeXF89xlUWB3Qw3fbJHG9LRpn98lnt4ysM88+nFirV06bgE4QDq1LCOd0IxsW
1zU35XYuSCEbJ1WutUmvUauU+saeyTyPkqm+yZ1y2pu1cncZQCd82tRNIy2BVWBD9ObqJmQeGwjp
rQXXFg1mtZujflUxSGlkuJ7QR6wHs/wUMdWQnSUntsfeqlJ6eo8ehQD5xWOZsoCnWrO3DubJnRkm
xckzde89TcapZ2Zb9PdGUg8PTlG9207+WczRRsztGeTpV9kXzt0cpt6+0hp7i9At5PBZ/sW88az1
YJD/Vs0PQ2s/eEaCbiNjmIwJYXqMfOCw1oDdE8kP7rsENIQoL01CGca6v1gbytEeSkqO13jJC9AB
y+6a1NFR8aCTKafCOCGD7I7EN9ob7nb3O/1PuHVKx7pBnsHDhM1iE7IBfbSwXGzs0YZSNfnEl/c9
jidRzrD9s2LjGRNiAARB42uU051Ru0HRT1HAY9Qoj6OrJYtbrN31JblD4LWxchno/A8t8Z+7cBng
etEstuyu21VoRfiWw2kkN41Pe0rBjQkYTawF4m6X+mRiayGZSdWkcDUogRnZdqzPShoICae0nM4I
A4x1DkgAkEUZvrJsntcYsSBW+EN/1OuxOGLz9fZx7hefuAK7E0p+nfFNqj/wkIPnRfAbrrALOMl6
NAfr2UlKF5LclFWbtBgVOjaAppcW/hfoebqvrewRmox4Rr+Nfv5sDXXN8D/ZaWA98Zm2exRSbsCF
Id76QrtX7XCZEl55SDwHhK5FhkMLCzBcvkEgnJFfeRJGAuDyspReEDYZU2hpMvW2mrhdtb7i+e9Y
1jNwTnZdIYDusxZJdbYnMe2SVoRsErDyKCkUKRWsoYnuPcm5bDE6eI/F3I8nUXJ3M1iyu0cc/Mmi
ifuWsgPfD2VkBOGyYimSe2k5Nvnd2kgGXN+sk1Zf0kOHeUfERrWzBCe4IHqAQaBV4wXGDYHg6j7u
3WfpVJ2/gpPvgIOoprdKcmysmFhKse/JoV+jKwrXOvEUbRY22OvbRfEbTl8SHB4PugPbhH+dQQ/R
23303qWc+lnyxFbzYuaUlRr+dfDMdC+dpq9EFmrreGzjc6Pp8jjCMz7AHq9Rp1r2q8h967215BAk
tZceuCX2xDxWjxFZH7upViENZN8P1LBxUb2Nsxudamaet24+VadSo5lENYtZD04a1+CEzDjNi23L
qJjQQeIEWgcgEN7TjaOrN2X2F8IQTmqQ88XII2wusck1SwRCiKYJr22dlASJSA5VYLpHbUF2DFZ7
Ro681Px0S2QTwrW3oC3iUzKWmIlaWhWZ1VB7jLk7NPkALserziZSIRTD8jvwA19snQLhF2oms3m0
2NWcK++7O1rDj8Sdwks9gucYQmGeBOblgjDlpGMuVA7dx8w19F3OuhdUbFgALsTVkiIx1lxveFSf
cDHjs9R9SwswChNEMmRJfT/1OoutCo28NrXMfrvF0p9gg37h6JEspsJx19YFyTTmNOx0k4HH7DHe
UeAR1pMRO48amGrCHaY5B+c8hXFgxe1ThbZmbGvv1tMIY1jhdX9hijfDqKZEifTqe1aN41OVuxlJ
Aq6zVXbG7W1ZuX+PG+BldPu7kqRGurD4grhhyx4QUJOl3oyueW6w96ysIrXu8d2V28LHJsa1598U
YY6rCaWh+yYFfL6SsoLR4FcZs3Iroz3LnVOXuPuhGxQSQRsnzGyTcsqTRTYQGQ287XJTSgH8Uq/3
pVB3k6Y/pHr8lQvtBaX2t1bYu4WAcYHoUW+ZE/hrRzIQElAAuXepwsJ4Iwg9CKQzTzdVaxNth0Y5
sCa7voQi3mbo2OJgGEmw82NbXdgHkuZY1cQcaaiTAil064nj1ztPc4tHuVtA/JTwABcNqk47vuhl
mpxwLmtB0gPvr1l83VPFTY+lzOatzR7vziCpG6rfNzuigM1HW50UH/S6ztSNAwrqqMWlxsJSkAPR
muS9gIk8hmbSMbYzxr1Fys4aLtmHRFEGeijLzshJlpCS2gFHijCWuewYlHMszu0QGneU3/UR+bO5
r4CdHetQnnJtrN8VrvgX8K5eYPao01fppBH0ggPjoUGcceuHhgGdtPzwsoLf128IPOH2WY3ush4l
OKStu7caP0PdlyJITCzhU17vnA5wTqgb2qtIcu+tyJcwcviuz4XdBLmzOEDEhHqdDBntO/5ylMGM
G+4HNPHrEVERejQUgkfwONm+q9GQq97ZW0Pn8Kbm0RkmZHXnelxSUZkFFrnbr0wz6jOchua9TErk
7aJe5I9MPDh4FoLekMIfCmvyQmQSroF6hOsh8rUtYmt/PQub1Xmvwudiiut7PTK9gIVi+GA1lXWB
81kdqMGGh9LMCvZCDciSfElhFWJ6MDW21j1BcN/K3HB3pA8WP3yUQLtxqGwifKmgK1faZxZoTH1Z
yOQfWMxhjvazBM2BgP1ECmXyGEVUeYjz6uQFvC5XBgk0gUmq9sXIdH0XWbl+MSBtAB2PLMgCbXsI
mdPt4dBHXwp7BpWGDiyAVJJ/Y4nkXwDAiJfJMLQVjgAmmpZq3/22jh5S9JqPzLnNIxHM0NCkkfS8
9WjI2NwkG54YuSYulcu1iO9baW/nRsQUbG37omKse1o7DhcXhi5j/rq42C2wFEbm7mYOw+9DgSVi
Sf5wtkU2UbqNVrjFJ+m9G2ODnrrIrYeBAKbN2Bn1KWJmTv3psFjqhPhCy1pvZkaR36suNAOfBvAQ
k/B8y+g2uRCXlOyF3VGQ2wXbXhLSuDVsfwtDFuGXmdylzD/QzVKZE2VpoNU3UF7BlbuYc3Ob67G5
6kZBnIrbEaQyp9hLK9M/dK7BSnto0h+80HoT+pV7AoKGKTPrwIEN2fRDhPPXLk+nlQdqGdeHFwVG
MxKa4hvk6fbEh+RZEaKniC59mlI5Gv6NCcg9wFvFICwVyWuyAOeHOXsvvZ7snUi6N5VCoS5muS0Q
iK9Lsx1Oi9gEflHxHTf+DkwmWTDEqW/CJiZSmynpSxybRCG7I8SqmGcuyHq0pES0FIFSjXG2KcHW
tWkWzxEFPFNKvX+JdOGstFp/lFMUbu1w6w3hzkjr9Bjm/b0cnMCNBg6XiZJc17ckr00X4Bv1lhUp
o+NpvJV2+8nXk1BBdnEXyDVzQAQSlIgOVtlAMuGumTHpwoQoSJqy+KJmIYFOjXRuQY8wwNMvEefn
JoO2vdQGyRYjmbbpK83c0OeFew88RpDaSXPfV1kCzqGt933rzxtNLHlHopVHo0cKWfe5d6vmyd61
WEuYGkY3vWvBg6cajY7JqIxhBcUIgFoqgVUbZdiyOPXNV4Kx1uPiY6izhYhfZqS5VxoKPXaacXlO
PQ+eZdQPZ7yeMI09bewfWyGL95y4bAebghF+bcJi1lZh7IKp1OOakEe9l/d5Y2gPoy3yLj80dg+a
i0S6jjJT9JAv0+IiO2l84QZsLpWW0ebGDb+4TGtvBd8QgDAEvzdlzeGLaSggiz19y4o4XvpTsugJ
EG1SYwdPsNsBtHAemmJMj1PnqIOYSvFgjba9U73ZfHUaidgW4kjyXiJrR/ybA4SsKh5Gtht73hr/
FNZGeej4Jfe+OSCwdmwi68u2w9Hc2G/00sNLr5L8sUNZdElds9zFbJLmlaM3txaf6T3TUX4ZcBAv
kTl8rzJpbuiEkmOs98Yt6W5Qb8dl7W1ZPXMDsXgpEKHectsaG5LQU1qOOF9Nk3aG9gnYFVQ1+h6g
075Ra4urDGIME1JmPDOUpIte+e6jm40a1kKTCPKizG+IkNhgQsKZFwlOrJ6hpjMRQ+03EMmYfT8R
DPDRVMPNPCXaSg7JtzS15cGtG9LKGhT1KFerlTW+tjQ/Hs+waxnTDRjRL4T6aUdwK/H9/5W55/+g
lEsuEvtvJ5oPH/Kj7eKP4i9DzZ9/68+hJrk3LgoRRsoYVC2X+eRPbZ3j/2F7dLpIt9jm/RSV/Alx
sPQ/DGD4WFpw0zENXYyy/znUtP7AQIsdVlgWQTu6EP/OUNNzEKH8RZdlmGzUdYQrPuGbLsbcv+4S
S70aNRxv7VbPnTzbaeFCoTEzQbXX+tjJsWSjnsD0QUKyf+XX1DjQiyBfsDZt42s0OWbknUw0UdvB
Gq2zA2UuWdPpwMRxhwbnxXxl5UiVm+rsQ9BR7sLSSWt36HZTYzGJ6/sKJDI0tmFN6Ed4o5qhaTAJ
FM4h9rGwb5TKc6zhk0zf52QcB4rDcYw2sLWpAMEmw3XVizA6j17vfFr4IjYRoeR4TH3vbiZN96bW
PG2TE+a+9hlvbqpapQ+9CWasN3XtY7pShvQsdD7ztCveTBb/DbNStdg+RRjH5PoAKep1l30UIhLy
BK4Ao2qAUcjWLB8fWZSrXXLlHOnYEd+nqQqDap7Gd1RFIzChQq/gl2JdgMh1ZSZd+UmpacYoAq5c
JefKWOrzBLNr34CaWUWFVd1y8NYcKIby36srpwlmOBuv5MpvGuBs4BHC+HtxbEO8e7CVoUkNsYHf
wec5b1srI/XnSobS3IUS5fUAfXct/hPjQFhis4Z5p16V6hg6mF3Xmmed8woi4tjk2xp/76fVKUxL
hITeMZ+zv8WGMT77CoT3QrbC/jKgkT9W6QxA2aqGkYi8oXqBewAs7cq8ygUhQHj5anT5Oovpl/gK
yKoriPj17CcLzNEuHwwnkjWA4HZ86YcuuyuqOr4HwSybbQg3bR8ncLishcglf9K5gPC5HkRQBbbL
WwhejJ365ugYg6Gt0eAD+cJgMZl7zYb9JVqAEjivFySYgd8AVwVzeD4z+EhIIXT9qa17nB4hSoZq
RXEIxKzi0gjBLC7kMf8KIbvyyFQ2jO9QQbwzIDrUPTioYZf1V44ZAZZ4fNoUaQgL86RAGfoTdjbQ
c2+6KwRNL7UeKL6vzvRj5jLB8Z5T2dINpBQ7nP9tnq/9Pp/vwitcDa5hid+E2JlkYa8ZoGhPYw8A
b5e1BXAvw/CKd+Jq05N7hbcZZeN8rTrdDRBxAXdj/tYdk3ByQHaPqBkbUQwb6IDOux9Jlq6sIA1G
cApBAVRm5QP5q0xYi7BlD541ogpi6KC2egl9i8AgDfocfX70QBy4r1Z1LP03fUjqV6ln3qfTezZZ
cX2H9EbjH5cL3M4uvVfVJ2wUS4uOYuoM+wPwO+PDCNqww4xqIeX5CzSvJr12wrer7GPTQwFcwaUN
5ZYWRb2JMm4/YxnRU2ZXGl9zJfOZ6aysfTqZEPsiR+cnh5hk1QqDC8ZD1JLoSaFVYZGPweL069Hx
l9TQn0TAdKED1gk36TSPthGYlQk/0PewFKwwHCyQE72b2HLqPrxBHGL+R2lryUd6ZREiKsi+MfMx
tnJBFRY84fTQeht/bRynvLguUMNR1+eX2FcOIMYQ8GGzIBC9aaEhjlcyYrRAErW5sCDas9839NI/
o36KnvlGyQWyzLfyylrkMpneUzVlF1JPYDFihLKJKUsjc4c/sQAj4vZfZYOpFXFKDWYbqGNx5Tsq
aSjalyv3Mcqc+ZHDRuRPWOnDD09q3sW84iId6odjG1XpG/oh1ktehwIF9GmuvdYLbxJKl84Mnvk+
dLEKICWlMVwsnu+zrpvlNyR44CvTK8oSxHzqvdhXxKW64i5ZnE3uzr5iMAfS4lpQmwses1lIme7C
zPSu+ExjgKSZ0+AEdrvgNdsraRPkZtTB3rQWCmdnVuojW8icaoDRaS60TjEK7dHmOMtxx9TYPgHs
4TEmscPckHbUf2BNtJx9slBA2Qjgy++xg7Dx6KCELrzQjsyoRWc2eBujsspi34SdnTzqdj4K/myY
vDBtAD+qYi8jWsm3DulootpLbXbt+Od14xtzTPcWi6r1RdP6/M4krJU0W5i2WTR6yV0es0Til6em
W1liKL7IhY+KlXi01mqAmgqXMV7HSVN6G23GYb5GlTC4T9FCWwXQZ+K9zwlXET9xrC1ZOOtQRoSN
sZ3pCMsIBTuC0s03JJ1g7hL9hN9bzOGduiJf3SQE/+p1KMdW9kKFbR34sIOVhnvI9frWzP1sbS8c
WdKWxxOBWuY+Un3MvhvebGV4/aYCsQBPplPv7cTIZRXlCw/eJuAB2yHPoYap2y3o+xvrFlbfgwLq
HVhO/VpGeJshOWvgmnAGlYkIT4nVKLbyrf1tjKV+iADnrU1R1euur6bAnhKIu7SvYe1+hxP/2UU2
2pSE1LclPZthNCNr0qqi0X7tUhquTUmkMRkKovWx+5b2YB2I+2bWy8hLVofBJhpmhTWX7AJLcwTL
p2yycD3iVp23I9bqcTXG3reyrEtY70ZnvMSVp82ripQBsR/g440XnIHFtxCuBabDfpFKxhmyUlq5
8mx3khWSr8s9iGJtY6IY5bvC6BlnkxeQvsSkLbMSeSgRLW5iEmcfUgHUVvRhFpDaBh3cS8wfXhJ2
75lntcE4T+2nRmoC0njHRoWnY39e2SLEBcFmhdzOoTDYIhB5v9KbInXOkyw17dkGb1+vcAAk5drD
PVoEZp3086VeeBWbnC9MFOQVhkPMD51lbPomGg9VolmX2ljMr9loIXQqDWVhuqPHPPiz1X73FlpV
7mQD3x2vyg553vrWmhOhdyHZ6t7tPAMmJQKj8W+GufLPOilHE2tFFX/mVWsdRdNo6SrEQfxZmZ1D
oeKX0xcdyrAMCCUgMI7t74wCDLuwC6PUIHGm0yHXHyKsYGhjBM7klHf5xiBnHCZyarnoLkfnmOZA
JfCt0d6Wjtm+UERB9UjxvXxt66l5U2UXH7NceHFQmB4oaC6l8RJBjOImYR+vYXcVobFqLUPeKteA
m2k5ooP8rsVzYKRd45xpwfKDQKSEWZvDDvBts9x+NOgAl0mc5XRHFXdDUkJirkfEDEEuMoZ9ZN++
YJhxXcx3SXnwSEt4k0Ot5J6Ix/q+B4VcBh6YkGmjEv7JM/uhKbltjDC6GWULR91Cc/nBeqC+N6vc
eQjbhizY0HQ6NiD9zCg/Vybfk17g9EutTOnwaGXQMP8IegJkhpVGYXovIjGcVMjbsya1dl5i92bx
kg5UxRwZMVTYRCfpY+PFtpe/RkKW36GHgYlM8WvyR4alOpJxNYPGVl32QaEQPhBbCd/Dg7+sr0rE
WzOPjc8ahfRfF2x6LRmtcEBPxGbIuHtJQ9tg4cUdfavKKTwVqu83PALN91wJ42FI+7gNjMrP7tGo
a89mrfsvZj+Kndn7/ndl9frzpHnDyRNCe5/I0WMlU8v5fiileuf8pVyw686017nXSqCti6d+yHXv
oBMC8FomE8Z+xR3zivyEKA8bgWjOIaDLdFcyjw8pmi0U1BFKq4xKWWfvo7N388hiKsJmz74hPzpu
DxSm7GPrkLSmk21rncEXIwluN9C9cT3tQpZkyXFGYnkSyoaApuwFepnIrNYCpOX+j56dwte2YTAJ
L08RCN7SS73YcophbcfD2Bg7HdDGEgTYkBcNEQi8iQU2W27FPAy9tWJi4WsfBDu7+wlar1cGqECB
38SFnPFUzz3tToDIpvTeWBMY3oMAccxanm9aZWPLNoS7kqH6EGCF2yly5HboYA8TuOluIvJFNBS4
tnOweJ74Ys7wBs6AYytIA5bdW0u4NwUrCRN4PD3xpHPfzMc0nML71KcmuMsUQcQRN4IfmWeCyQhV
itnqZ5vci9QGbauOG8rK+55OJYOMxBqsiOu6vonnkvKIVBiFNMaocvvSSVIjj8Jo+/jWG1wFhYZ0
5GEvW9YEBLEX90jIaw1cETXJ08T0bd759SSsbTuixjywUkyAYkdVk+8h17DmJ1Fiar/k86R/+IlE
B1tNSoRfUicqYN2OkeGeI8zyIRFdyQB/BhsugGUTnGwC53wi9TmIJlP/Yjk9Jtima8iCrMNqAYGK
yT9zfdfDPvUMdbSn3ID5LVpjX+pmuuvwu6OdCJ3xMS66PD9MCclW25gBvIdcUUXyprTdwV0z8y6J
S0nNdkukSq8FXTQ4O7Jx/PBoNWhithUUo3rtF6EbHotaTSjxoa/ryIRKhwwATXOy9n1MKberepzy
m2zhQsJSAoeETx15cnUsdKKm9qHnL/5YkbvxC5eU0x4IhSgoc/SBbOwBSxf00qTt8+fYmWz5ieOl
L+8jhLugRCsITqwQ4GDordPjnfL9d0lxB9t6QgUQtLwcWNtNMs17I2Izc4o1NgQbLxSuzZ7AJU/b
bGqHSWKjnQADvPuSRcmqNiDExylhr7kdVl80a2RgDOHlTrbRg+xrXUH3Tsk8xW+KrXi2esDRo1MB
FwiBVJuQH6Ddg5L5geBGMw8G9B4NTt8ALqvL4unrFDWWhSnVYM2AdqYlGAkqvzLACysnsrj/BZqk
3qo1m8jR7EFFLWdTQUzCKRp5YqlaINIFoTcxn4u0qP9sXU8tKW0YdriFmnxRHtDX7JO2wYjd9lP0
0kZWxOfhLTuRDErE7eRYmXmDQKyPAv62zpi96HUtqGXpF6wNkaGuGfoulJrC/VZz9CebsTbb5xYB
CY+XrJqPXHOKA3xabZ05bnhGoN2qNfpehK1ZJIjpm3Nh3Yossh7YFdv4aGR+kGxWZ+LjeDucwWnw
UY/dE++8v7f9iPTarkRxuhnm9lDpxfgRtXr0Mk1J9zqBH5M7QxrmsbcM96CAl6Fu8/BSR5C7q3UK
mUFfu6Wh58HQi0oPCiJDsouvFGIdUtvyRf4ajy/kj/snj+Vkji5zCXAuAKURJ0+zH2ArcuqgI3Wt
YX4s9T4YyMjjxK5956c58f+Zifj/Q+Mbs0Hxt663xySF+/3r1PLPv/Jzaul5f/j4zJA5Xg3B3j/G
lvwX3dAdE0swHv3l//9zaGl6f2ADdml6PAZNC7H2H0NLl1hQ7FaMO6/jTEi2/4bfbQke/2VmiczY
XsxzlBEoSnQseb8ZgrlbdQKtaUzsPibkvhmwu5XJjR2a1dEdB5IQavLDbAryzVBF43MypNGxMBD9
1Dq5iAZzFIaWvccyvkWawiH1QJrGeCi1qrvJ3TH+qQf+Lx0bf/Vr/PPvyxvzq19DaJPTJd5k7AnX
HvaTjVax4v4jsTtk3c0UDSEbMSq5Hu5+MTLe/UTi/sratK5w13+gcv/5R/9mu0WqmeNesqZ9ErUk
XTPJuUB+8rZzPZYbqbQyAE3E4tSABZia4nZcIPFMcDEkuD7IV9QY+2kuBOGXQ76CSo3qlPRVNLLw
VSvePccabzPuyZuwIzsvcdHqp02h79s5eah6uSFmksmWzowKQjks0goBzluaaNMcTPVQ35VxzvKl
y9Vjb+kRZDrKiTQbk01Wmfkx9/XyBkZTctMwFHqP1YAsQKvKc2LQ0k85u7um6jZ68XXqY/0AT3QH
vU2jLYpp7QZDf7aHcjy4xOHsMiuDGTRGyVaSySMbv+0YBprqDVO4DvtDk1tIpJREBG9vmliUZLfJ
Z+GEt2oa7ukeMb4NwZBpb3Zb+KcOL+Nxkv5rO5vajsSKUzPZejDFjnmWc3ST5/QuFRq0wJsko0aV
7KwBanvvuR9dzmIRbUSxYmd7ZMEM6qSfbgF8iG1LUs5G6aG11mKGdlU/Eg2pWBKHWXIpoSjRpuqg
ZUqyNMdjOE9IKRtE/wg/TIj3payZf4aMwSy93gIsHjGI5e02mc1+h/rL3pgDZBgWbkQxTDpmFolC
jYz6js7G0b8MURNtnGjokC8b3YSqLbkflG8deWpIqlKncPLhGXsmcsp4fBpxIt1j46EMw+uHNFgx
KR8qNJsawYgjmLQG2hfBkvT8ZRnf+op8sd6ysjOCE4jEmPdbzwnBKDr6riPB7WDbFfnpJtavGrHh
mhRcwci+SoJ+tOYnlBxHpl0brez7dR/nh9lqrCCj2yV4hm/zKAhVGSrYW8qD9oF9YjoNUayjZ+xI
levzT7JHn7qUmg1AOoYfb+XH3hMsjaB1GKSbGe+loHpZgYncO1ZHqEltuevCBciYmR4YNlWxCQ6J
avDFXvBprihPdo7A4tgiArYYFMaiQqyRKYnPUyPzKZPAh2uUKq6HGwJ5hVHo+kkj55Wbl13GSAOw
KqsODEpZpY8w5rRgcjHADfbjIm8MUkwnbFRi3KdKXhxvNInfQwPRlYxjO+IEA4KZdtrQ7ITJutl2
ogdlIixFp4bCND2QDPiQeKx06ml86sYEpmCy7rr40lNkoS0iQwrQ3di+zFl969aQ9FxdPcSMPmjA
0mRLBvSm0NVHSor82omamyY1gykvnlqN0nb0t3Wcf9WNYtNRagWZy4SVCiVeowS9+JMT74wZM5ms
iefyydI1bkc3OsqwMBHU1pq5oiJ3t1HoFOVigmw/WVoJ3vdCfxwJN2kBNj9olB/bMBl0nu1+ZGsT
jQBBGyen+7f8jzjD/KXzsg7j3JJElfn2BJSSnICwrhhkTx0OlJjibITcuG8qMmPN1CTDWbVR0OSp
uPdCvE4ZWUA3Uq/VPgOaiO8LAw1otGdgm+bC5MfApQ/qqfFJsp87JHxWpOlQTww0mXT9tJqFq58N
d9QPfq2ahzokAHpQVrVPSpMcy0HyB5llItZHq9OBrmNdFt5Cdjg2pjVthJM+TYXs6KM67ofUfmFs
CXm2csncxQq2akwI4ZpZNRez9tRa92hEOkJaiCGEvC1TyNt+2yaHaNndS63RdySqJRsXTy6HXSve
clZCbjhz3kEsymePGcTgSchQzgxDwp1XmlH+cKNiz8Cr28G1MNcaSo996yfvFpLijZ2E925ioQeO
Q207IpEha4O8lUGTxoGRUnFBXPLw9/cYRcXvFz72D1MYrKhdiojflpSGZseGli4dlF/elwkZdLmk
jSfY8CcF4b+8qY2/ejyu9+VfftJvpUXajUUMxdTa95ESezv0vxtzS2Ibo21Sv5xPx0RtNQob2uVy
8lYuHry/f63WXzeyP38Fx6DGEWADYPj8ZjPBZTjIop0RPPUAJde6bbLLUi1Y08xF9du4aO1qI30k
+qbbpySlXMLlJIkZwyHADusT+B2Y322JvUA294DU/QCxP6d8ZBTFRbhzuE9JFg1kn0V7Jo0F1v4R
WyyyxaAl7LqpdW+PBuMH0kGNuLslrrHJ7/k9NJDF2cffv95/9dn++nJ/AxZJO8tgfgpjD2cvfGgb
5uCQADBfMnZd//2Pwj70T1+jnxRp9wqhXv77L75ZY6Ct7Jh77BPl/ugY+K8mYX8BTVcEjaje/v6H
WctX5bfSCxrSwqz++dMox3/9aVqC6GgspbkXSX/H0tN6tUi1Psgh+mYkSGNqJ+3uGA7HR68z532n
scQ0UzDGnhN1N75Ue8knGTDi2GVOPW5lq7oj0mIwiiNg/CThI0zFoAcYYERgTmVxB24JKmfaIHMe
Df41JIAMNLXzuBQl9VKe2NQpf/86l5fx28uk4gcXB9TF45UuX+df3lSyHR1d4x7ZOzVpfqkTAmyw
yF7OfUe7g0gMi1DVWfrffJT/6kH9y4/9raY2u5LDrURyqtliIf6Kb25qcDM3IdtYxrnHYhovIXaK
Ozhx5QapQfrfPKj/8lfgUIL6YQC+Quj+11ee6QauxDwx9lZCjG/LlZiI9gZNBwjNTqDyqZxb/ATU
m5bzhVP/P6g7kyXHkSzL/kp/QGsLZgU2vSA4GkmjzW5mG4i5mztmQDED+vV9GFFVGe4Z4iG1KZHe
ZERmhgcJEFDV99695zbb39/5v3mccVz+6/N/eXOGKcAeVcXOvi+Gd7tL59u+iuybsoHCsIj4H7j9
10rh198ZEJTLb2xaLn/9+WqTCXpxX5OV6tpddjKnfCLtjDTP31/T36wG3M9/fcov19TZuMUKt3b2
ZY9iaeICEVY5mx4p7T/8fH/3SddLMSxaxa7l/boYqGCotPaMKycJdYZvfim84MA+8w9X9LePyV8/
6Jd1gPpj6Am9cNhN8MSkU3/JIHvtAroZkM8H+zHH4kr+0/V4TJIcpYDq1fn3t/VvSmbHgEXDK2qg
K6J2//nXi5J5ahj92Xu0N2qvkY8/KcsxD3jm7b2y5+dagZKIR8wy6bhwfIuTJmSuQdJiKT7AtOTg
T0l4u54uqmMel1+81kbZn1oveKfqfyiY7X9/2ABSMj8FkXH9xoD9f1pUACbmEXwBvloM8mgh2stM
ICLVusCYKPQZ3zzm8MGAuQ21PZ7gtVOEim0KRXXtulVBwBzLaTtWB46p0SZDKV0qapoOxzPRIc0P
pab4YDQlRzisLKYcG2L6JOXZ4iO2E2m/UbrmbKWiBhnldys1zNUyNWVoeKNz6rruzyPO/1gPiiPO
t//Mqvi//x8p7CSWYTy1f3mc1x/9x//6M3Ti9qMEgrcbso/2o/9rr+q//tR/aOyc/+NID+uwhyqO
zsk1ueE/RHY0pcDQYSk2/0tJ95/9KqBOrGQ2+CaWABPr8L/6VVf9nbySyoj7waVpOv+dftXPDzMd
Lz7B550LYPBaEkjAzw8z0LHR60hZ3fTktkHhxmaIw9Obb/9yU+7+XIr/2uz5eTu4fgztMASLWBw9
i+v65WM60GecLeDGIHYd32kh+1sftA0ahz4fd3Gpxn/oLpnXJf9fW8Kfn8i+70BGxqtj+r8soUGp
c3/II28jTXxquBzJ0mOAy5QHMo2NRtAr00efFWffR/7DMBkBlFv+1Hu12Ey3WOxuOi+htdCM1sbS
AxHEwF3PZaz1yeRN/qdF8Ocl/8/vy0/usN7DWjDk9Yf6y1ElkyJfprmSmzyqy89pRJbUSZP/zIMq
WNP6xs8USyDRqV9/trWhP4fZn16WOEOiPtTOj3gY8mfix/sbnNn1j9//fta/PyecF1F1ShOpKM8k
z+Nfv54MGkNllMubAfrfOdVmPoPsu9qluyk5LvhX4COYqj4ymJo3hoBufBWu41ORuA9nR36xlri8
EGVwBN9zoAVzzyCLzls0DrjRvWbM32xCUHbEEnEsqvGhDrGZM1Vv1MPvr+WXvuOftxphkM0QnqAf
/vrztfipnox+sF0W6SI5MXz2Q7KQrXg9K0KIJgIdco6Jhksjp5s+K2/Cf1CUFVPmquyh+3sBvsZ5
7t88Ro0CfVt1KnPhvs5mvu069yzb1FoDpSA3kEr9UtnDeOjrhFI5zt6U22C6jNzXwO3t216QQ14t
6K3Sca8WrzzkbeHhpKuakyMiTfs1+aMVl5rRNkFyuspg7qAXIrLPKibMq8pIPn2vhbWPHkIdXa/R
5z7D4o6azDKObWmgMc8sEfT4kObs9ff38rrX/fKW+cGVi8BSdAVhXp/qvzy1bTFlSlmNuwEdYh1t
UepP7TXeyWlt48GaO57Xqp4CpJeGgayJKfX691/gj5Xjl28A35WKFH+ISa7iL++5kiXGjm5xN6T2
lpfayKttnU3GibS5HRX7D5FN2PaXdL4yRvyk3A986R9eU7RfHYKdzk08jfRpGkseproo1hKgJ9KV
SpqhiGxFD7ju9uPYxfMxVuXyGQyT+TgQf3AMkMS/mnYen6B64jMvFAS2JTbmE6KWbNsPnvEPTy5L
+7/dbpaG657kU4LzLv58u5VvqJFEWW/T5c14G6NZBmdnCeeg2FfuaOXT7UK8vUJDoO/bxo+PtnKR
MIP6UXtTO/6z27nL93aKjW+//x3+ZoH3r6s8Z1VgFr73y4NQxEvJ2XhyN1ipCCxu6x/JuBwcKtq1
nMeb33/Y39wGShry4mAYUN0Fv5xaazYofHY98Kulk69GvdTXZSS7/P5T/mZF/ulTflkm8CWnXmeT
RgpQM/1u0LQ4LUN1DUDuMVL+/rP+5orIA3BoqLD+O/ztzz8sAwxkZQmm56KX44sJrhWLtZb/sAtb
13/NX18WIqQ4OIDyYAln4iV/OWlbLLn+UmQeiXbtg+pgL5bGsstwns3lEwj4Czl0oT1Pn/O0hJT/
4qIxnKzYT/x1ZiN8ZUqKLDJx6nuvUxM6zh5e3/zQIVYnKSiBA5vGzNqH5KAcQoJXdqCxGkJWvsLx
fn/Lfv15gLa6jsNe6ZjB9Vz1S5ENLQ11udfKDW1iaNkDNCMsKDhVvVqsf/9R/3bbwLNeNz7T4wBj
uv4vD3eiIwvtpQg2svBiLFq52EtDj8e4JV/L7qJhz60O/uFDOQr++lIxSOR157jEwiYZWv7yc01W
71qlOUUbVJZPLjiSjR377S6I5unVbmpwu1T5DzRRD208vUEYzLYSC+FHFpN40xvJkbMPod2MAQDp
3nWKYTdrC/E4MAMLCGgAHdO3yOre6tFEXkUKAvmAeO6xW60abHcrOc0HNx9RS8jOuAs8wpSuMPYg
XRKo9y7DudRYDEgOkUvmFfK3mKaxgsK0ZdSJnyiii22r8n5okmBFPhCWH+NhoV/MmnvIHR+wQz1c
tPfhKP1ZGbq7VKgB1pXrxq9dLYaLQKK1pTEdryOd/RFPVa7QFGW7AoenAZaxyN4WLcz1PAD/D4O5
Gz8tJHM7J4FrQiS07bzNqeVvA6N8Umq8a/3dwHWmWWx+Qw7TbtyoJERcxOU7QW+pRn3htlvQdPmm
IidtPxduGVpLW96i0czvzNlDwWllTQ/wGT+y2Q7W987OfUZqkkGWecUJpDkgOpTc0UZPniwBAdr5
e96hak87UJOAGkPclo8MBFCKNjYRAxV6ciiZTbIcWztx7qME6AQt+81sG5uAfALCKvXOKux95D0N
VwfX7Kz7xQp+LJN9yun6ow75nnG6fEmvIUW2rspN4I9fSoC8XTl3W/pz4zmyGvOlyTL7fsxblzx3
hTdutUAHomMcrAK7uS8D/TLHg38ec0nzRrXtCj+EQDzrk8xjin68tLOeGZoU7l0/+uUn7eDuMrRX
GQ7Oyx+kGgS7WEegUbAu33eFb75WjDkI1LBJ/epryCfZ7N/VdanuRQ58ZTWTE+OGpdXAaMyIdCpi
3d/bBMQ/KysLwka0y5NIQDBQ5ee3QjU41OdWPOQctG6HrIHEdbU0mk0p+WRP3UZaDJt8muEWO775
ISKzPdRe7d5arSJMml9vr8nSvGfm8rUd5fI1u17hZLhi10bjnRE7O10/0agAcVwuFwgk50jIbpcZ
2YQrJa+/RZGJ6hi8N5kjDE9dBCYg23LzRshCr/u+6ZldIzmu59i9l82UQGurNQN1xCj10lY/fKOb
twLp4Q0z8PJSuf73pHHfmL2RjNeZtYoYp6TzF9nJeg9EVeDXA/qaYGJa0VfQB9xFxHS28ZdWdV9U
MOFi7V2z/VqAf3uJ/ZwxRNCUu8BeMBQxzQqpfLpTC7Zg3Qatt89aRk+t8MGz2HwpVBXVi9NW4pzy
rdYECfIP5xWQkJZ0jLKZDmZvexv+qXhnyekUdeN3242PRT1Dp80C5LKVYROAlCb8A8ynHkdEppuR
Gew2J7/2EnUqR7wu/Ed7WL52vls/FBATL9gcUIuWFWpAOx0PqGDvtDLs+yEp+U2sgbCHpJuQqpkw
MAKzT7ZJMOHEQts7W7U6wWxIkJVem1RLkoV4hJPn3k6Y9NtKHw2DiHW3bkB4uqyOrtMtbBANJnoz
wTw3VAPCWXe6TXVU3OPlnM40R8sNYoB+nQCkcJ30jflht0WBWJGzRpOpNxi7jcG4ngU23DrHF7GI
2fpmT9lAq64BBhHgmkrzuLnDlh7Eq4jSztvapfNiR43LGhgjVU0wC2NBuAgkxLCNl6NZjogXuwNZ
GU9RnldcscrvbQOJFRZu69Mg8+KqWuCk70/a2WWdhRyh1RUD3Na7tBbwkkolet/M9iM42RDcibWC
LDqupBx2wJaGTdBaX6uxOSamuy6c/GuVOh6pKaOzm5Rn7cCJPAKPWdO3Gs8Vuu/TNDCzX7mG6l57
NH9r8AtV9B5Tno2rJCrlFi5UT3Wt22NvMsa0SptRbR7fDqTMhb0FmDiZbG0huJpz7M/IhYcU59eK
kFkYQoFDjPoU3XDsQNGQZfmRPPXxToAQ2iL3Jc63rtWN63X1g+M190lOg6wuEJamTlt/6NbId2Yk
05eoQjvQz056IlvHfuVb15tuyN3bakwL0Is+M0XEdx+BKbKbxjeGlfTYOVtraXgvVLAf02EIFSE3
p6XA3d/FdXlQtpuy9BM/D6wYDO6khi1skoVnvL1vzR95Qh8BuuzSPWFZqMLOTNSdhVH9wYtz/4jF
cDlKLbOj4TA9dcgJ+lLpYHkdilyFgVWYDzinml3lOuyFiZXtnLZP330m3iHJmM12bHz5qmLDOKRJ
UN9kjHOh9Sx3BkTH9ZzbMfCFAH0JV3uaiLM59mPnniJ7cDdJNBpPlpGk90Xa24cWC9cJ4dywMYIM
s3bp83ddMN42MvtUZZM9JW5phKkTG3se0Q0Qx68+MaLAAzgvIqq5ri5BkhBWUiiO3Vp6QCSda4pi
e6OGi2ukm7LzqssVlbKK1ez3oak8cPaDL8828UAPDN/dT+LeyldJ0mgohPOyRMQE1Qm+8arpx507
jW2w6jXyPQNzIPlxXnnT5w3WTttpt44U9jo1Msb/om0ehTsi6Zh1EZC8qNzkgBBCbY3FcVaF2aAc
ckoe/KhvBdk0leccyBbUGEaNL77TyzufP78aZiHuqyArzjptPr3OMjdkkNqcgIu2eqza4VZgapOd
86Py25s41/GdmwfeGtIV7egpydBfcp9jmbphYy94N6Rzxp60GeMo5KAWbduonHDrmQt50cIMLpMZ
DBc8hPEzFZ5nrqoiNbeBU3nJSnZje+ugn32RrTQfAFAbZ6uf1I0dx/OZQL0OpkpqkLnTJMnThD/9
ThiO+x1rQ/DNT5MKInCabcDpGGeTcLB161UwIFIOfdvIzfC0si4sH1bQyROO1EUgwqmrTRvI6kFV
sjokTTZ+xzroDavMFuoYJ/6462qFgF/iwHsWEWeSLMGTta5d9uuR9k+N4SIydohqHLbKoYme4Mki
+zALBDndBDF0aWzgKR1AFIUVz9LMZazi5RrD9tpKXaBv6AomwipJIjrh4Js8MMpZcJsn+bi1QEms
bYohJsiRcN/ihi1Iqqh486xB7gJXCFhx2GxX01QGhGZCEVxlSLdxUuoMLY8STbdC1a4vc06Dct23
nULQkHRnKFYPpadR3GRfhtIZtglWzBsIpDGYE/06aKBinYY1tiQ5CQq2rjdWiUPIv243eEIkp9tW
N9cW0byuUIqsEY8NJ8tuzW0SDclW2ll0Uwq4IKu2jObDmExbyINrGAsBDBQEb6Zd4u/okFQcxZyq
l2rWGCA+AYI++JP11PrjhwkFluCjdzfvXhPLYfIUi/K+GZmBd0YlQ8co5amAv9evC6QH69owEfLX
Wge3paHaNYJIvS8LMZi0oizOSb5bnQO37R9FByHDrH0bSpaysM5VKdJf4v3cj3mqyC7jKwx3TeTG
90UwP0Zzae9rp6reZtJqSWadDHtPa2n6PkJhf9SlbHaEi4pNpZTcg4SNEfiw7X2SgX1FzAHBiIm7
hNVqqx1vMsYCsOD3fpxN+5H4r7eq7hGQmCTUe3VczWEc3EAuUvd4JOGBmQFa5hEh2EFiDn0x2pRN
x/eRP6/S2FUkmmlqViMl7A8LSfqDP1NtirZEadksgvA/jjEk+GndiZscSQmQybi7SLKnko1Dq3XT
WkF5Gp1EAHXyarktskTuQDn0LLlObYfMksS26uCJiVlSMEiahs+JXuo3CnbjSIeg3mH6CXi5hwBZ
C85zJ9L3ZjbhQCJar6fpuJ3t3vjgHUYcaE/oHAZf30EQGjazDAqOwUAFD3bli7ORAIa+Wpzzc4F6
/dJy+Ni4SV6FtVnUpID4oMRtxzyWsf9cjMaNVXb1Vz3EqMiSJnl0RlE/atRm4aBg66fA3yjqAu8+
QAf7nrhF8DDg7T5b0gBOQnjnt+tS+F7is8GwWDYoKs3cPLYZvFyVieBZ6r5/knmQB+uhT7+xsBS3
yTjNzxPQnIzgMMLfTYIe3q9xbVxDku+T2Nenok8h5+gYH1FL9GydKfvA1Ky/TcGqI9u04i/EX6Ax
smJSA7AAHCfPT48lB7Yv8KBtvWrxo+w48ygFlMMRJMHMwb4Z5dhfuwzphcbc+JI7NOZmsZQ3NYnB
ARaDqbvH5Sppp+h22Vec145e0XvfJxMwI1gLaG9gEdV942fkO6/EZFkHV1IfJwXV5B6VaLXA+52w
z2R+tU+QvXzpurJ9azKGgxvbYHCAo0gjzeNwnj0PphusLWS0G6cUbcdgsqSwgWdpnJpkTG6J+6s2
plur/Ri140rYpqIMTNo7tslsS15YQRhG2cQwkfzlRaCFeRapKEIsPS5wMR1RHFY9NJD5Xka+5OEf
82GvuARkYr6qfvBfSUXECcDRMl98CXlNNFdyWuy7D2Qdp2vZZpxCIit3wiaIu2f8g/QrDYPzHf93
860AYbYZNehscyxxKgkOPLcRFNUPN4myt8oVFUZf0+1H0iqdKX2wEyCFBVwnYy30gquhdjpWhnh5
4EJpoat2FhRVpb1jU192s/TKfW4Lw34po6j7MVq4S0OLxl11Yzkl7m8KAzxgRDd4OCYiU4KrXfJ2
WnOSFuICP6f3jzChi2kzu+7rUM7lXmnffii0HexTkUJRKsca8yYn/KzmbXcVnsu6nHB6Tg1LgdbD
DFMzDYj6q8gB7Wsmq2iOfLXBGb1YJ7rUSES81GVQBcaAiJAJsPvcuPU5t4PuOR3dLJwEDgom1tRp
wp9/YCXEsULtPd1oUZdfXVON204VbJELOyz5gfihTqUs9RcL//SPhD7QmSxg8cmlN29DNOFU8iPV
37AVsgzw2zjVZhlKv70lp2C57WoPqJsPfnI7unBJ6YbFrOcjrvT1iN143US1uqRIrG5rw83eKS0p
F+XU+F8zgtVpbrNwf2nQiRCkZE/HrE8Av09EtjIxnzz11jUBCCNCO14ZKfFejfCnDDiQjyRD+6eo
deN8K3z7K1qojT0hnXR6h+EJ/cwdwLybPJ9GbjYtsBVonvghXWTxNGMq3doGUUAKDPkld3P41lk7
tNixx6rbLhVov6VsrA3z7LbflFbdfrEzb9xnbF8vcJOinhU+8TKuxOxuWp3lHzXHpc001dixlREf
ERmad2RHCW/FDnjVvlloWkOsIlEVzvMSdWtXJuyS84hw0jQpDKiGv1pu4x/orsZwQebvnTl+bzvx
bFACEAGTmgdkfjBpatvZ4tAVsD+r4aUFY3fjB7hGMydOv4/kQqJYx7F3S2eLnaHkYA2vyJJYLhFd
bVRL1quelfjeBVOkVszWfnSWO3Xfrh9RgfGc+uBhTpzE3XgWTj74QKgdVshPsEgZQPBWyhwJ5Iq4
OKyIlOD6xW3b8RpDBRUepG0O537uL3Mk77CsusTd1EQZRDpap/3c0dHJ7eE49o0mmMDpV7wdb0gK
CBAmNNYB5ShzAHELSkyWiHndLvrdH+jDxbugdN4k9syL0Uj7tePSb3y24WuCSX9gxlVv6C7ZL+xO
+LpxM+DTW9xbYc4TYZfEPU9FDrgNrElCRs+REIERyVGjPpdipt1WDmIXKWpdMWcqtJupR5FULTK8
Jj5yC0330HGkjVeKzWpa9TNbMj6zeUcgptjVRlesS0Qd4EcGS912lqi2htPKA9TS2Fix0pmPygcw
QSsjC9ZT5kOIIpr5oM3uoYza5M606AsGGJKoAQf7HEW4iTKew8VbrsE2PhBdfnG01doCiEytzROb
QAAbg9dJ2PIl0R6O3qXFSuRrzMlY5Ncue+/NkHn22R8Hb+1zXHkdTQ+6H354YB/g56x5nMJ0BJXh
AOM/z5NPAmdviGVDMCbTOlwByb1cqIoBE47HVgbpt7jVbMAQQ0Pc+PMlT+PqGaBT/hTHg34QIpYv
zOvJJ0E9g3HfGRp748dkRxZehsTOqXqY3oQA04MtrMd+qUiXwB4YUgKpA9rRbqts2w/h2cCaa/Kx
CkmHxnjgzGW6w6/a7dimMwJsJDQHkcOauaIYY45by/jOMtoAPYMNFmwDoLt6Fem0PzCF9nW4dI0q
tx1Uiwe4zca+4HhP5DTtEQhfswVaKnAncZ8WS3bbkDd24zdlv0tq7GDT5HqnGbYcjnaz2vqNJgB+
7KiBusJbt1Gm7tK5vutK234252hVtdZ7WnvEhgbuyq29+crvG5uNl4C/XKPCDoHZnj3EifsYsf2D
qlEpNpXt35TLVJzTLn+qEhJNzWJMfjSoux9l6zhPgHgiFEg29LNmfIQ/Bo8s8qaHqZxQ9hRuTiiy
E1ZDCQAizoaHSOj40dNlueuwY2+tki4zDV37POGbRKus+u3Q/RH5yZrvt8hhAbLu5ggTX9HK3QDF
YY0H+QdOFP25aAPIicDNusB2mV0tSRBUMMtVeUDtW2zIq813EodQWESSqAlBd2CjbZ089cOw1YxD
7abiN2ZkuzGW7pvTlfoYT5N98YcecmmLcBzGKitpRf9pR17TsK1zA/q06i1/g9mmIdUXfkauSM52
u2GbLTDCVz2jZbUxGuzHLWoRBRMMUTU5usNbGbifgy/i3SBm87BUCJrIaPBIi2vDuvNOlu73AiLh
qoaTcGyb5ELvt2Z2UAJUz+5r4RpfsW9PLE2Uw9ZEKEowj8uRBthzHji0FQwZMngAMZjS7BsHdbBb
INVXrXjfzsWn3UcphNL2Xev4BEgW626c1jX8ZQuYKrN9i+1AuFvlUgJpNz1Ia+nU1TdUYiyumGRx
9JBHV8xYJTQFskd0I5p/90p9hqOB6Av9lhnM7xU6ymM55tBKa4+ifZi3GBTBgxIdNK6L1P1aY+5+
9Jq4gvWUWLgEJ2GRvrNk/b4AvkQer1MnN65ICfWzS9N9a0eiID8i/gdez1Z51L2B+WQ7Eh7ONNJt
y5dxA1xAKSzl3kb7/hJsGVDQysC8eh8JJ3psFFSZdAjqYCd9QPGuvY79xroh9TtlDj9O07IfpU4/
8OSyK8qMR6olHjV7EqnOGDmadhJ8xDhUQWK6GEsMYKHR0UupT0LyBczpLQiy/D6IpWsfmCZnRYgz
+brApaSXwNIMdQ7GeGqgH1xtZaAS2A89YoCu62mA9DNv04cMMMXj0Dustqwb1Y5MYHqaU1S56EBS
T74pkOwfS225nznhW6vWCYZyNQWcmzvqutCq52KrdW/B9VzMHjAh2z3eVLoRaTxSLUYKdYkv2lca
xTABLHS3q7mXN9Jz6eELCQ6kd1mtILITP0T921zszDp0pfpIDNSyzLkuLvt7XFcXm4DOLiOMzjEn
IC5OXMX3LgeSM09c8oa7v6EiJl+ti42TXMzP1p2Hq/ta7bGcp0yXlmZVZsFuLIP3MR4f3GZ+daJu
hhdPauI603ZzmHM+y4/7K3umviWRD1Zuy4NepjQbY9e6imzM4YG9G6+bn9MlywpVbigDqFR74YAY
LzDUf9ejW4StY3chx54DSGB71cuImskBU1uhYwFCEXTTYwCZ+TkelCYzx6ZJXbjNLaiyO6PIzyiy
o405S3Nt+glNiq6OolfqBXh/qNKatcxtfRhJtn6HbdKVYUuuyVH3GGDCEccUB9+UsXDTs+mWhMwx
qgh9+gVLFgf7xTCHtUGpY7H+lPWtgbP+sZkCk4MW/dPUEAxH3Oyti4W5W0ZWXHqr8zmt3XZtRbN+
XSRVG0nMBIFJEDVeesHH/DpNpn0fa4AU2663l3dlpPl+4HR8doLee10aDdShYazHkUiDWsoWDI1z
IYxmJSW3AT2YgMbQxQRl0Rr6Rm1KFUK63G06xhWNCu4fd1IkV0I8NIhnSrgUCzAw/AU6dGkaRycQ
zAu6MX8Gv7ZvBzVt3XJ66TvY+l0dPzNA3ikMq/uCWRK4Ati1xgI6Ye22Lj3uTFzsmJEi60r6jLW5
QLCBD84dedBWBdzHH5VOb1UjQZuQ4oQjfV1NRb3x8oktm0Z+qP2UDnyiNolFanWH0AUQi6XibbCU
15gkxCje2nHTr9YAwAZRo5r2eLbaV6MK6K16TnNwM6v5rHL6sevZ4gGZIL2lq7IJxscCN8gcNmaf
7/Mop2rQWp5k4pfP0E0IBRho1pGN7pBSV03Eb8H5j++TJr/t5cDJYlTpDZMTRg5WWeznNoBq0QJO
wapXTvpBk1cOQNecIO0mvrWHgFkUyIYGxglLlr3ijE+/abM1wwpty6OnYNFwLlQ4xYgkgSIkx7s+
Z2w2Er61Yd0QRxhMipKpqZ1Da41OFXrulN9OnGNuCAuLYbh0ymGalsxEwumi5mXvDYvkkp5bHgpr
eIEtnlB/aH+TemO7Q4KdcayzDp5UbINT4u7cjhPUiqLUOlPBEQfRMlUEmd7o+0p9dlkqvtc51rhW
DuKUX0+8k7bSB/R69S0RRkNYl0V2lyHz3vMq2XdorvWLk1hy4wfCXcOnraj33H5l6c4KXYJGQifD
mM8sLz8hM4J6IKH/RhHGL1ZcWEyc5bYDq/TOs3Pm/nV7nYw1EeJx2g03EVOgtcqJGSM8FvARaLtz
btbuNxiMoEXo6rF55BnK5MHBIJDgmbq60gi+UCTvGok54N4Q/WuLs+nR5Pm8T5TJoxTbUNccXT+4
KKVWNXOokJ2nW2cssjSoRhglIEjopuRLuvZzt3xMS5Xvhs7rvzQRa11tQPHeTRXKttViZFxxKYZk
DAmNY7IUy77byDr55qCjfXNHP70sVtesGSeKEE25taoz2w1hSI6hZUAycPOiDrPKXkA5+Gw5cT3y
60x143+ISbxVPpl4o7TPeMXveKDo1tNNgq7fZ3eJMMthPWRAXNeTk5TzLdmRqtgpqt5hhwqd1Sxp
u3HPY91wfLzSEqbSTw4gPOJn2Rjdct2IRmNdB8Uyh4I7i2RAB6dqNKO9K8v2mxXj/KTnHkm7vzSi
hC1rzDLMc0HkQD+R8UloDDa2mGbRI09X+iWvlPk6WXax9mQXb2LhYjbEbHvBkliEjQTqhUkR025f
mMYrqsv+OQd9t4aT09AO1yYZgq3V4MfzYhILNOD7yMg3gaeXxyZo1Kkqq3LLblFsPAnvu5oNoqu1
MVqMX8w/quQhBCvVHEVG9WXFRXHj4vc7iD7oCRlMmZjowscL6QBxotHSH3SSi488jr0Xu+OgTQpY
ue9E0tGHlcmOEFRsm723Kax5+BRBYx3gmMA3klB+izAx01Okp/mOJ7LgSO20b7U3Zt/sAKRES/Ta
o5TWOK0W6h21Xhgfo2Agf43oZLK84B/TJXkCskzoHcMNfwYQ3HeP5lx2t05eN+6t4VfjTb9AVqNH
PQ1g6YJ036QJE3SdG3eLnRC0IbwST7yZFBvl9WhUrsRLGWTyKRpt6zZRNQcRU9K0KayJ95lXD+QM
Q0xfF88JbEq3EUiodFefRS2eZSW+20g7n0olmod6gP8sSD68nmrrMXTS9MUQ7XhZhlg+2XM+PogF
rHSWwauHwGU52fCa1x75Z6BFX0WU9JsMIcrRrlM/HGQ0EKGoXr28sM+LuJ4PpjK/tXPHOlZFZ+yK
OCH7pk/zEABb/jmOxBI2EzkgbTmmlCoGqwMCqz21YRqHDfSrJET+4R4K2TW7sfX1Wxk3ZAZCULK+
lbbgPNYpAxcR5+Rjdg1TA8ZDX9YhtLbzyC+I1WARInWVRlSDz9IEvL1UHn0fr9+1thxu1BTVYeKZ
5qsbFPDMfL7VlXRYmvc0W9PjqHt7S882498qZzLjjPwQQ667U7LpNmUQmGuRVP4RkA+i2OrHRL/G
m9kziojMQ47RQbtabAfOWIbDOuqyat94dI3JwX7zk+QTldJ3n25rGDPFTiNzi+03DZvOy3aqqb/n
Xl6vcIntqrQtVuWSs/gtzjopxxMm9NMkCV8gC9yftcQizWAI7wbpHnGy4ZUNB9NZj6k0D8WoHslW
3KMYwrY8JsCQqiJ0p/QaOxBxCpxmBln+QLunhFEVW2KvjeamsJ39kC0neCLFbjE9JkL8K/edP2db
p4/RIyudUkwOQ/Yu1dKSVQyax8cJ82gx/3pyKyrGWsMu9cra3P1vTZoUnVTMJpIM+Q+RJM6ZEtjY
aj/Od1WXdv+PuvPcjRzLtvSrzAuwQPIcOuBigAkfCquQlJLyDyGTovfukE8/H7OrpquyzdwLzPy4
QKMb1VWVmYqgOXuvtb719NMx9/86MfLfKAvCvAiASGDR+9dt3ee34C19yz//nAb5+7/3tziIZ/1m
zrk4bOiOCV95Tnb8LQ7iid8IiNgYW4XuYfybQ5t/xEEonzPxhTJX/p+kyB/MZYsQiW6TrzBhvvFL
Ov+VOIjp/eJEneNtnBNszjJzoZ1j/uI5nNzG1PsRBM8Y4VrInTfkbQ/AEg64EEj8MUo7DHpa9gQN
wF5ZCes82JvpG/B15xS7jQF5yN3GFoagsByuuWAPIHP3KZCZt0qRmxXZaCeC+R5CwJQ9ypDFdIdw
uhrw4z80vDqWsVeDMwvlaww72Wzs09gA3nOtaB06xEbb3r9nywCjBLuJnvg11ar+kwp9d1PT+In6
Yh0zMdpvDiiObZ94tH6aNhY2bzoBwaO6YEA/TFk+0dnT7DqYbZuBYyrGPugjWMYYqDq0WhYD8UIZ
zqoLat4wHqSNUO74Bj8HAvNDmR2zzkA6MG9RZh0KNqVLs+PuL8wvy4gU7SE+GkLNQmzLDuAh4rO9
INMWm37SSgSR6AmqBiu04dhZfJheW4pjPPIjRyI5s73bVljXFpCGT8LCd+vqRbaNVPtRmuN09r/B
N2RAq9CTw2o2SIXpedTab7aFcAJkmia+scpktYS/+wVvflp5aE246FfKxeE+xo/MdfuwzMxV7Qy0
InNkJjEcoObEO23s7jXT6tdB06inLpqsvYDbyWNdYW0q1uNcm6AcrHhZgdkrz+pbKKiHtliZIGCk
G/bv7jIuMnmxRB0vfrYtjz7rizFg2nJb+pBSnLZ7k6z6I0r4TSSVpM1dyA6NPBwfAF5zBIewWm5b
LQ4uyoZCYz0JPW63U2zn16GmDa3tKUXW6dyOIVEk9jPIzHMal3AdO4U8MdQ8rps9uzkOuMHzEAz1
AX7LaI1Ye7rmXNftV5I/sNCCUuLMddbwqZZjNtJWipaneg4P8PPBxmpLJlAgImZ1HhFhCDfTGgRE
0HVdehTGvWr0Jz/7ZlLYg5sh01bKnn/veF/xnqzTUn8yoxpZfQTZC8QHcFoe5mQS3MHYVj7kCMt4
Y9sfHSbD+0pj7yRoqEffB4hQXUXLOxSjV5GYt3oKjde+RqiCsh2tZYcojf1ukzMJ8OuO9LiKrMa5
HQr6bYYJvyXHmC0LT2r26CQ5tHUStUsiE/YV9Q6Did/wEpe1+2axlYNnkgcHzCruPjfqbp/GfvrM
dpHjtQvQ9Mg2S98DOQa949TBY+Ogo3GpNqD4oP+OCYF82DnFNbSpVnScPP2ejL7zMMlo4mycJEu7
zGn1tQvvUHqRvTHsYdi0hhHsO21StAPI7HFqI/Xolll3F+tl9pTVI+eV3kSUrEuPNJ7fOwgMYX+W
gzcv82R5THp3uDe6XJwtY+ruMOkZr0acdmsnKNRGFSzsqtRO9lR4WJepLsIfQipeu0021ligSIrD
TORTn7ohOsX4KY+Wn7aH1HcxgcJz0a8uSsJtEH11NnzTIPFThE8jX9apwlBx5FJxjkIjeJLJglMx
AhDYsax0tsCAoIvxA5KFR4yPf3be/+kt80/SdUKfn8p/N/a7khCOSQSGtwDRC48ozF/zA0lC25Cg
Ym5P42x6LnHH9fu46ZszRBFKSXwoLKVBlHg0WcGQjwaqgnd3bSmNBvi2e7L7RtuAR8Vl4QAuXLRY
UFfswPSNDeN+SVNy8NpC+lFcc4F1xXsdH1pqoB3fZg6dm6FLe5a1fDc9jcF8Tq/CJ3io6MHUO+5A
9GfL3kDoDEfrsa4BmHYYDS5QbeB7DGPnP5bDAKrIs1jXEHxD7V5RyVZ5LIJDD4MHpxwsjDhrlk3k
92qrZ0EYrwmLFa8anFJE0Ln82pqM/EmwmXgl23CHs2jaaCbpPmc+x7U5gqy9KonsLisMe7jJUnsb
ZTQNM8jtQCGyF+jErVTtkeLdB792XBjr1IiA+GSBEYGHy/1onRhRsuAMPNEgwILOCLMD9W79wa+L
oxNx+0eQ9jcYEzYDPFtagkGnogMVC4JFwUfYWwMD0SCpeJlhUCwlzwXVATxjOOnPONtbSZxoVXZB
hotywObkZ1xKE3MwQ5mtH4fSckiixM0xsjTv1Fl6+MTWxjwGkV2dE+KFt8KwdfCEwjSWXtS3B75r
dcxLOzqRfPNOhk1zEspW2HxCU+klA6kIf2QpM42qfbUhgpbsx/mecee7B6G+g/rEHZU2bncX+kqc
kXPVfVlFxNT0nPczy69zOfCqzO26eauoQA1gwstmk8x3sDffy0Bb1KPvJPljP9/pbNKDfdmLYVPN
zwFsN95hxDB/KCXtOT2gda6Dyn1w52dIND9Npvm5Ms1PGDk/a2gzbKgN4vkzzU8iLD31ztNKfQ/a
Mjrmgc0jS7V19sz8Atoiybx92Q5YltsOxk1ru29xao6H0tfKOzyVzjXEcjKz1afuwAHE/iA5y7AK
SX/DBsu+8k9rl65ixWAUo1xHrKp19t9kgpa6Tznsopk8TihgffmxEdtToNuWEw8b1Dk1V8QpO1vC
c8SQkrFc6M855WVL3aowyE2O10wr01OWtzMgOMV3+dQE5bPpOcDPTCsp23mnkbS7IqDm/WimOoyh
oolkvehaRMe1SHMciHWFu3ahs0CVC6acMaDDTmGBziYajmDDWAhLNcbKhNsgLrZu1QpW3L15cgNl
3VO1bmxST8BbiaVxa6baSpaU4mT6trLDlDZK+MIDSO+C7tik9N9Fb1cDezEYIEREplBbs3flBNTH
Ezgjh8fmy5SmEfuBMDd4trDO87jE6Fo/1qI1YfdWfC55hallRDyI4wFf6lhiHM53DXgKaGjtU9sf
bdbkwKD1E47X8iQjYFNmq9FZGkHCRFOgW9FhJjXgf6EbB2qVFSVrFokNhnag72y9BpzKw4eRwyR1
6Z9x6UG4+no1nAHrmkuWmO+R845T0LujICHieTOa0Il5DYgCYSR2dNS24l56xi0uHI+Rz70aPiau
MHPga2Y1UQPm1ENrK3uXFn62RDq8w4Z5KxKsMHZEuRU+B3wVU/mREm2Zv6MAC1ApWGkMV17nT6wY
oi9LDuG+6aYeGb2YDnFCh6LC8fANFXVcxUY1fnmFwTXYBVgzl03d6qzpvIgKi/8vE9wp+qhJvn21
/zHPhn9P+f/HX/7qv9ecpxu2TdjvX895/wvs+9tH+Jb+j2v99vmjCX8Z+H7/BX4f+JzfpGGRVXQF
kChWn7y7fx/4DDrAPeR+6x9wldTvMCPyTxPTIw04B/n+mPfs32xLd2f8hAlWgAntvzLviZk+8KeT
g+PqgnIdy5YSvi5Yzl/hGxXZe9IFYb+vI+rQdmyskovTWF27omEBP6VSXRrjIc2x1jplHeIkcfOu
WhVOaO41V8Zr26CIgxscW5NBlXfH65IOsEUD9YU+nBIiHwaTsV5ruMrupoKMKkBlOnZnD2lwLiwr
iwDljOWrneqEIgojov1kyrnIF7A8GtRofoJvzRBIloYOkDW37Nf6ONCQELnynRobwlp+JWlJ1lC2
UhjqeA8p9mFe84wujnaKVfi0NJU+mqQj4nqLMxRJRwNz7V6FWcEfk2WJU2O0jOBEjkXet4MigkPK
1kEWjXnlEkOqOBgJN9O/wkgvpjUlF4SqpdTkLaeRj5yBnwUvlUzNbuu6/vghbK29lnHqI8hkebeE
/zx0C1HL/i2MG5J1rkVBJ2ux6JVq9YY+B1a2y6HQ9XsF9HY1ZKa9N2jOoMRTEtRw45wpVhAIfGzB
Xr8YQ4BdK59MrFKmXkQ7CKjoLWKi+XiB1pxh0mrYdM8ZwtOgJo1C7pRyxPksfhYRs+uDWRcC3y0Q
8GADfkl4zzSjVPuxwlqwTj1gc5x5AnM29xoaBTlp0NbRviLlrl+QRAYyPdUkGm8Tp5y6HpuQUtFF
WzPw+XZZvphE49YNu2k+rHDftWFOp0Y5rPll5IFUeYXYMyesDKVysqhOSIEZwIAAh6SDYhwPcbUy
fHxqstPVrY30r3is2EokCcJbY/pQUTucRCV5xRrrBixKNvAoPNOZzXu4yERkLcZJMgIlxpgvAktZ
SK32gHDvdc5D76n9UGpGSabA9zjiddlaxv5DE7vBWaT9s1mKGGxUfqy5PnhpWJ8GUOy8r/cDxOOt
luoZOpAHUD+Po7WY2vwUmCK/s7lsbhkOjr2tsGzFArEprSp3m8kMOhuZls6ujmGgyaXtSpbtvnvC
NtacKHVl4O+z6kjPq8O3KsNP2Tfp1mW1+hy1FmYLQVseZXMxHukCXoyH1Ic/JrgkbulwDOiKGwYW
yrFzIu8ysab1RMkWL/+Qd0yQqoekRVsc2yTYj91AR4rjEOIAdUFRUOGvHAXSQBbxe4Eo9VBhBN6g
eYMyCEz6sv0UyF6OMkuhq7HoaZmLjLY7MVohgvuhXq3j0eoe07C89mW97SkewPBjGTgqMLdc/BB8
vTWNbb20IkFZCCZay9z2FQ3sY3/DWkt42NEe8rz80XVUSQ6cyWk+SDDyti2FfY2Dw5q7LHC1bhXO
nQg0/eYv0vBKHkbikSqlpRgB57Bd/UwZexkJvas2TfqPGuPdoi7KQ2k73cIYbJyOHizOOlFfDsXY
XcaeuBo0vvlSZMjXyUTPIKugKe1aupytGnA+iVcRtc4G53dzjEO8BLQhpWQXUecGB7NGOlrTi8af
exPH/rQOU1ltBWXMJzdMWLi7Gt0lVvFgtxzxiJY6Sw82/QaLArKfVJKsucrvaxaya8NhjCrtbDpP
LeZekJaKlkQoBwgcWt+t7Jg94lLO5bwjBxdaI31z/BaRsGTv7Q9nqp9KFGIHpSe0rI+2qr/KSqDk
dW51R4xVbEJOmqw5yGDBE82uFmCBRdA25p1KRfJelDnWOivW+OFBUFxlizKM2dzdcSXMI6KmN2vG
Nfd58Mzgs0zoWP7bGYSjQfCj+CdzLYScX99Olq7boA50B/mV/cu8rfwTX6IomCPZ35OCMJuelgZj
yOxVGxXjpWH398TBSPKMKwB7DqLChpvXff6YI70AyU3puwnguByJ9Rn0kLTWtMOFw96knr99DIcG
r6lBHwAZUoJOEw3LO2pkc9cI9xb+2+GiZEoAtsBy+a1BVCW6rOeCLKxn99ahjCb3hKU4uYYufeyS
DuhmoccCPbQ1WxovhIl50wrt56QZC/Y3yUhnKA4ka4ERky4QH5zLyfOTZj8MzrjteL4fpoD68TT8
GzNe7SysN4BnULtckz4jgVTNbe+332BxlSsbjXZ2yEf8GXGRLVvOIXTHW8TAFe+t1i0ospET4zM1
H+MOTAgG5UVvDH26hUVDZlK5er+r9dHKjo6MXAKCNpuyjj5gACrjXdOYcp8GGN2ZGnQSt4ldrlXR
WpdsbMS1oUgCA8eI86xONlEEH9DIQeWwVTWKS8a6jp2R5l6s1raeIScI/Mpz8oOcziZsKcsO9BGW
lR5iFQ7ch9ByCd1Y3/N4PPRe+0YkBGsBK1iz0eW5jN/7vr55muEeCyM0lpYGW8CN4+YW6tQHh0yq
KecNPHl6xXNlkNoOLmxEiMYy1xlA4kXnoPtp+c0cuuhMfJEMjy7sK5XLO0f61p7XSkJLu51+q50S
kQVYa7WfnI6V8lg2lAsFwJC9rM5f4nG2e5nlOzF3a1mz5FhYk5fvDK7NS+VUxgO5lA+nkOpWhNx5
Yui6c9NaLAU0fDUaphiSqvtZ1YH+3dNu9ZmOsnyhigIZ3iX0AoRN9taZPpPe5KFsWerZmxTbGw+5
7o2e4ISFTCanB8vXTLpMkMXGpe0F1ashgvDsItqfSYXZ70PsOwtsfJ1YB0RC3vswaahAtLGj5kZr
bT0NViM2aeTzLLYfhNDaD5Ga3iIhE/Ng5qoLWaIl09aCjr1ksQzgRoX1qSs6Bmw/ovjYytzgpuMK
P6Uxz5uKkCj7V1bKtmTZatua+1gl0sC8Iuw3TrWJw+sEFsVuYPF6F+Gxx+DAGkdfNKmW3Ia8IuEL
skQwL7Gs1JcJJUbxUnLgaNY87Mpqg8+sXAU8scqFqqeuWjY0556zltxQzruR174zTWsDAultLOLs
mVeL/EFXT7fj6NWCKBZzy1JJToCWAhN7oNvlAHi8iaefG7mAizojZ5UeJ6dkTMS5kFmPd8PzXjpa
eB6jTGqbqvaD26RhVwFrUOcP/DGSR2Oa+HYrFMXFJFP9znZx84aVtAoKdsjehQlqIYBnmDm2XzS0
qJqvY5nT3ooDhtDPmMRkiiLnZfSHr77sNH1pGH2/M/R8g3mXV9dgxdY2SUb1vRZ4iMCGg1eAROhm
b40e9g9GmcoXn7hFyTfaYw4IGtONZrfItGMRJL5PSQUIQsTaK1plfAMt5L2VTaUeDanyIy5mkSxU
bjacS3ID0GxMImAt9dTESsk4u8EUa390tox3pda11VqoCdKT1SUd79UiCgYc9+34XXdr7Tyw/hGL
3I8Fq7zcTw4a1YUn2TkDTjCz/9QzqpC45xr3GfB03S5iz9TEgUU3Lp0IQ8eL2Q0j/KVSRdmy1Ora
xtSGE8St6+wBQ3GyH3x45DIgPOM2ndRWjfQxOls0uwjKfbzmjodeg/GMMqB0VfhVNoIsGczvrVOO
yU4xcL/TSwU8OvPT/lTST7OoTD+jeDpxmungcsbWiWIHh1HxeNlQgO58BmFrHP3IZhsWmzVWXGFO
39o6NCloawEuU/pFzXpjhVeKpNz3QhntQ28wQqn5kmR4ShRWPY+u4yUOa5IHbsU1sqxBpB2nvoR9
KAyP+UdlAz3EbQB0w5UyuLYE+h5bPdIuILd42Ds6q9k5Bqt9tZ3MY/bZJpiAptGtMwYfm3EhFf2p
mvKOAmgh3gOtYZnOJV/9ADud7CkU8RPqB6vgJVdR4G1INbOKZ974Ag3XI3gHabXO2ig3VlXkUJ8J
cblf1HFSfcMUO819wIo+N013wYX4Ls2NtNdg/aWfPAHtSxdkg53mEru+d+Pzyc9DiyixYOPyClXA
oGll3lCz/zBLOOhV+ZqBiMAz6bY4n9FDADsFUEhqqQ2zUzYeVrFFZc4ydgqux7hUxUXKMrp0kRns
Kk00cNIkjOQ6B3i6TJ20pz2bNQoAhEg6BYbw1vuW5pj8MIs7Twa6/TtzjCio1Y5ID1c5QQAuhag+
16OCjBC1nrqO9fBi6vpDr7XVY9ZXWDs7lRcXOlH04tonKtz1k2m92RM4SvBcKRE38Gf7Ct/ZulRm
84I3v/mCdOFmK20o3IdCVxmqSBx8w4XOmyjp8WyCMsb4NLF3xNds5MmGg7B2CgrE4U1XaoR02RkT
RhThE0KneTcir9YEf6mI2nodpNtFQHDjTJagvjiugg1NPuNmR5nCJSebvUP95atj6Oqh5rilVobS
/D2jkh1sDCXSPSvirCbkPmarqePqxGA1Fs6lMtKRG0g3dIyG/bhlbybe+jGv912l4+MEBoc/16Ep
RdZIMsyTJSewsKlZAnuVpq5aPWSLCD7UhyOC9jMoU4K7Xexm9Oh2/Xxi5TnxxjhLKJsR3lmacMxW
fa6BEFLW4HAsisdvBO3YqfIRUyTmeSW4BVGGuAZxYnP8rbixscv2k1hpjlvtWUG2j9JKY2MlESI4
mqUCeEWgwUMzDFmdXJyz5NdsgBpup17KQvjJJdMym2u4np+b8LxGseJ5Lg4VoaLsCr2YU0DPJBxt
VSUJFuoOxdypx6loLMM5HkVTJxdz6tHKV7XBx1RP4tC4WBrXbgU3hdMD0SYSLG6NrTit9AVJUADr
Q9priDeOV4drNA1MrB7HNp2K3yeFR+uHRWp1r2te/mxZSfjNy3s6KHtTH7YDrlmYJLLd2thf8N2H
7nLS8u4rwbDMRCwwDS4ROVIMnI3br0ayxxtanrQtr6Rq5SUjc5zOMJaZc4Y3YJmyyDB4f0hKOrsF
XaTW44Q0sc5NhsjAs+8A28nNmKZiTSB2gvMx6ueU7czK1GbPDOZmujZUXNwa2/M/iqmk+Qll8SHV
1cg7uyFMQOGdxrzYiuhGRbuzaVSYPmOi7c8ppRCPRUkendGxiTnNFvolcgZ35eWlf2pS3brrueEf
x5ajf62l4w6cPHaCSOVfBVrBxTJr65HLnpNwLO+MqBF7ZfjtS9D28pDZxgSUwVC70BLdvgtgUmet
yLcmttbGsR44k9f3g6OqQxwE8hh2otgluNJfdb65d1/EGIx6HXmHzTtMIiM5ll0eXRtnXLKmkouw
yeD5DCZ7hsY3weHI8MlXWrqTVrnO6lRsOdsNQC8Q3kaBcNiW7auH13NbJc2w9ULaVMOiSlauTaOU
N7nPHg+sU46XYm810YeBV3PeViRrVHViC8LiPGB2d2boU8EOAf3guzHlC3kYLQNDpd/BduWnSSJi
0x1X84dMm11BkGDXUvC40lrKAvh5GkQKKbA4bDGHe/8XUtcvlGF2jJYElqtjIzYk0Bz7F3VS4/Gb
DzxI9mYf0SCfz6c0VxQBihFJ0qXFJTQuHZsAYQnDcJOMnbMfMgHD5E9b2n8yT4LN+od50rENGJvs
VvkfWGh/nSfrzq9URr5vP9Y24cWmfQ89MUz3ZS+95uK6uWFfEz1xxDqdsuHWY6KtsYzFmAHGnvs7
lP23QeHvee5H9OgN1n72ZwJ8RvVmE9ORK9lo1nPVmunV83w+eRq0XlwyPawl5oVcNvTGuwMFCvsg
U+Mz6w+KCtpWPGBp1D7qEB8zwfDgCX9QN5cFBdFLGwkq8cDy0MQVsRRweygWdcCFEoXqvirs2F2x
ifXWxIaSgwzbekXOUXCQEMFlKOoCC3vd3hwnGyENKHHq0oDXYW4BL1Ppi4lyf0/p6x1BS/pN56Wl
M68vcUizyexVyxNS0xIzXLNytW7lz7Un0jArUKBl+heORtYBpqycTzrc3auykvpGpMN4toVe0Uae
cMpfpPOBXbVWZ66CwI3A3Kf0dIeC6zT9ebo3fp70vZ+nfvVzAoj6ZPywcrQVplT3Qislc4LRFmIH
jkChUVeeuRU/xwm2SfZbNBF1g9Dh7jXffAqssduXqsbP4vPBJ4SiFkQCC2ehzTNL/3N8cedJBpus
dbLn6QY33LSFR92Ga3fi/RwXCEqxMTARzbORO09JIbTxVV1mtD5WNTvKeSO65Gmivac/hyw1z1uw
7u13b57BzHkaGzXW2xXZfHwpSce4VnqwMB7IoySvFpaRN0LIVMblYyvUM2IaH5JVpNa5nZgvtwOd
KZQAYtV9qf3Szj+10O6wQoFO+moFPvrrv79NzJ9L/7/bCbhhwc6hSpiWiT5hgMr8623S5Xbci5DX
ScRZ60QQLTgWVGgTehDJnrCru6/cOkMJ7Ap/reri4qJ5HUNVRAXG2UHd2W1QsU0jDrxiAwBpLs+S
4cbUA85Jsid9wXla0gVM/uRBDhWICJMYVzBGAx5kdclSH5bM0FCFNRj90aDVvkVQUP5Hrs220Ki0
9zYBg3vTs8BTKZuiIpvgpwgvuelfPRoGjqA8OjbA/sbQgwfucXHW6T9lMCNdo0kdbEyk43NnX4fH
HVamvQujCipMa3NA5d2h7/rSSa82BYhXURi9XBfSCh4Nx863AVaRNU0HSHh0wuAEYmxrzjxcKuJY
gL0aTjItVT2lBq9X4vbHaZEmd1OlQxTpjBqXM9D4/NPpmmo+MHccJK32akIv+DYFFKMWIsYWbE3p
yqvwTiyM1PFfQ1SFV0XvX07qpKB3vk1C/AsVrbWeLx00i7hFMR2DXe5a3HKEjG1+vtomDJDF/Wfm
e9RmpfQ3bZmE82ilyFPFq9CsZ6IFnUE7oib+PfEKGnENioNaLLFr38+1m2IzwqYAxqKKrP4ujZGB
TT0yzqwWJ65KDp14ltSBeIH23cvTcs0vBwdGc/NbEsWzS98qqyd99LkDAsoke0qcqEYo+3Bjw6ha
OpPVb0anal9704ge8YqbkOqyfOfT/BziwKl4NKkhvp+adi7FkeJg8ZRaSsdp1wVaA6Th0Lk6oRE/
5XqT8BQl1BktXD4Z+kl1SbVna/vHMZn0re2EOve1F4tjmRUP5HHLTZ+yoLB/vommsJH3tlYH9AQr
GAV1rc+cVUGc9ponPr095SwiGT/1JKNVOEH8nzqTPktO2Bl/GqBnJconskoSO8LfsbZz8934qVp5
6FfmTyWrEdSAdubgUMA9K125qRF3LqKB6TPi6Z2veLqVr0QY0mgHHtkIaDYtyZfP77FP2dHEyvRt
ulDJZrUtLvqBlEat+G8mA2GfoqGr9zUFzMTmLWNfmTSir/pKzhEYmn+7RUugL97Frk077MgCAzoc
icCD6ATnCSLB7HTVvN6lBOUFnh/QwDaglz16oceCGwRq1YiP8a7yp2mves/ZlEbRzX/qZmNhjT2o
EImo0Qprh3+6efv3D6pfEKA8pgwOFjykJEwfnIGztvmn7TBRso5CYc4VXmCdA+9SJfWx7O9//ib/
JSvzf07lpmac//wqhP9FF2/+58+/zfp7Jsn/5S/WVIXj/+p+1OPtR9Ol7R8thPM/+Z/9m7+z6R/H
Ejb922cW4WIibxx9tL9K1I7p/VsvMwzvgnLOf/6v/a5si98kIFkLndITDl/O77K2+Rukd1dw6zmI
1H/xMcPCFzPDAHCvbhnOXNTxh65t/OZJG/Oa7rp8lQ4g5z8+gN9Pdnx2/1I5+Ic3mCUhv3sCYCuS
tsVk+tdLQxnNlCcg9XbYmwiek6HZDhY8xDo2zqJuvD0uMu4X+KhW0P2g8dY/BRabqn9/gWLQ5vf5
85t0/nOg4TuW40hu0F8ptcILtMIo/H7HHZHuWvw1UiSbYlra3TEMDyiglX31MziWEdu/kQXxwgz8
U8wZZFHV4rGrHCAHu4n3QnQWen4QsSqXkTsHWGltH2znQAqLiaMH5GS192M3gsSjkMkqbR2t52mg
EGW0QKb4+TrOmqtK1GVI/DtTsI3S7I3fsBzNggvlzVBMYAt0kajXjQjeJFQfIs3wDCyei3iDg5rl
P7/RiqTaKHlMvTRN+ShGtaFZeRcH4jp4vLKlTPDxYodCCXkJbcTCoJj0DQLiAljksc8zY2OFwXI0
T4VWbOyKlnb3WUsm9qvxQ2U3d8C2d6Zw7nDILuMEQcKpHpSyXt02JSKmkrMnJfnGoLeWShbuDlDf
M13pZ4xed7ayfhRhtHP179SyPbG5RtNyTjXAY9s3tnTzEG/VVoMJB4j2eGAGyLdjl6yhBLwXaf8Z
ARnDBoFNmk6tL+zJ/r6xTHYzk8h4ImJ9UM504Ixw0jDErpwgBB1qmJzv7YcsDfa1fmtAc9koC6tJ
Dg+VCq6GLtkbsq16FFDkcWqRKly19nBXxeIpo2Z7odPjazcPVa6++syd3cSvUyNZ6/OiCofyhRqR
zWhFBxOe2iZTrBD8Yt063hOX1yKxNjwg5UIa0GZV269HHTq45r/4IDB7W9xq2B24tbsnQxQrw/gs
suzc6P2h6xVr9S5YFQqdFjVArClxWyY+5w7VMju2S1O2Eyiq9IXs2aIK7SckMn3h6/lnwf57MYZQ
x5oYj5qurbO4/dBb8pG+TtMRaw2Wn2vW2kx44XOcGY8ye3bqerrEyZA89xPGyQTYrer7rTvOeyO6
HffStFdOnxwcag/sKt+1YfICveFHohWncbqU1lMjM8i7lcbQUer3vEk5dA4TYKn4WRr5gDherPo4
vE6+c+xVtQps5nU6huV4X7vlydE9fFMh71k5FmARCQB0uHM7m2Wt8tN1QEhfMMmyd1XWKsqthCjC
tQ+MY15wGPD2TU7DHESHBY+DaxShdwW+ei7hG0yJ/Q4FYx0POSqhZtSYg42aOydJl1gY1yNdlI0b
vSOlbKrkiuS/HErjnjpOWGxyQ4H0NxaEu55eqroNB+o47Ge6uuCspFsuDYcYppnhtMa43BvUIPu9
fS46447UKAffCT6RCS6qc17Z/JIpZHlqk3geRw4Zmbo4ZrM1CYrmsHoOtI6ugyr8sHuJk41dmgzM
i6d3A9AH6xLhzVSJ9z1Pqn3UWZ9FYuxjkq0jIV+CxUW2SdIcToo+HNGe403hKHdl1PGNxTjgG1+/
BIJFaG5ca3ta6o3OJ48oF+ja3i2jE++tYYUEPQCJ6sEiIGBqtnWl/vyeUCzuhLx8xGa07fHVUDMR
UrTUlO9QA1dytL9l7G5t/o+VGSebtLGSFei5QxHWcMrqi5+3r92YlWjl+DxLx/02DeODMyBHKe+k
nPZQBP4CxNUj+7QLxsJXkM/fzdZkK+Uf9bF7rcbkORmdbNuW/Bw2M4JWrOsemdOJzNsotRs19Xv2
CBUZ/PyOxTuZj2TESiELcxEC2to57rAfkMpNU2ynuvwSSbbNqZJxgylaoGewaQ3NU4XoDPyS1nqj
cn8Q7fmmLIV0mcg1quqmEjifQ5kSdxNYjhsj37mT90aEWy2qxuP6a8n22dgWzFh7Mpn4Fcv9NXfY
mXTjc+Xl76PjVGuZzRbVrHmLE4cbAwdK2A6vvedfc5Q5DTYoCcnzRO4Hki9CdAN3ziyC/RTIHxVx
04VeB+mKTdpx4mPVfP/EuXCDyYg68IJdPnTseCZ6uoRjA9RQ5a8FiwhuvX2L/2KNKHOtcfrysAhg
AMfaSeoWef8g+sSPsW2m9Ka3acPHHMCL7raUQdX/m7zzWo4bW7P0q1T0xVwNFLAbQExMR3R6Q8+k
EW8QSQfvseGefj5QYp2iSjqnzpG6pydGdxJFZCYS2/3/Wt+aVUSV0kushH0qXWObj+auq1EOVTsR
NLgTKSHkSBM4UeyE9VkaMe6LmpzVyZWPUo0OZJkzCam5t2oCb11UKL/zh6DOzlLXvmsrbdsnLpZZ
c9/VzaZrC0qlEHndFuiaI7ZqCFomjppZbF+XXrcoGxTiIaya5m6gWt8RnI75FT6bBs+1Ode7dhOP
UItsdx02XrwgL3AzKsG4ILT4ILzmWMWcIQKzj3eiunPcamElVFc7emOuvukSSTDnSU/tGoUQAJus
ulRGzJw9Mxe64RmJeybAdfvC6oOXYtj7rb3MbfU86F+J6z1TLYHeBKuRarw2Xk5LjnxXmWh79m9z
9vCvoZ49B755bojmzBDVBjrxAQndEoaeP7Mq997BPxPJVxDS83Jg6uSMWVvVGbgKBmF+zxC5LQdr
ZycP0CaxZWUP2HgWdRydSFWe25GYGzl0Dd0LTi0mLZALqFhySkr9mXSj+VCkEGVSEINKQh6s+eja
5Vkr9U3eD6ecMtNFExnzyNU2KfiKTpNHOcr7gFM2xqFNrEVU0rNHPF2Yuk8dlHkZMbMwpInCDYrT
WmCkSUiGjWj+hNd6ujOYFIJuYTItyxHjRQqzTEIITtedcTpGzrbTk3PVheTltGimwOOZHutnThW9
R+QC5jmI1dPcxxifuOWJb8aXVQZfbxRXEid/gEItTJvPwWmWnOj1TWTGC6NUVsDI0CnUSLgh4Rlt
eGuHNlWnUV9mmJ+76MKGkIDhM+m7DU3JZ5MjcwCtoi+5gZV+YqY6h9A+IaA1xHmV7E2E48IWt1Vf
PRLa6i0b08S51ga3+IuRUsXNOO+nJoEmzMuOOv1cBDVBwCo8DpHTpsiBiHVQemNYLTTBCOkxrQso
PJ9pqDzpnryr0YKA2UhntlndVjGJu110G9mQuqxuDpps7eNOF+OhpWkumXhjz5kbVnqFbDvFVos7
1VraLVZ8uMKd5c67oD+h8gmwNZ+73WsSwOsIL5vS3XWpe+E14XlERzYcFiKx5/1VPwarvF4FwIPB
2NULRa8wcgUB60e4VFR5BS4agRMn1ahbj+6Nb+t3fqdehVJlPnDWIafRMF5TB9/I0MQdgA+7kie9
ml622kVq8ADVBNqGDwpOu76EYJxLxAHRY9c1G9HpJ2ExsQ7Lfte70JS6Ury62W3A2IQGtuuQf0VV
vvFcDhKoDsKGcO8Bd6BzEJ2/gqN1DAnKVlVXLixPpdzA/kEq9l3c0FAcyttyBMsEQlDqe9dR5uGk
pjLZkvae2JWpuNbSQ2stffwEIM0JdXEnURAojTS98RHCzbM2CneunZ5IEs/ZWtYjfrAsPi0ckT4p
VkD0sT/mWzrgFXvIym3uaTjmt2WDgBzispy3STO8wjZyLtxIdchGNtrntsvjpRm76tqyIs4Oo/AQ
cmDTRiDcLxHkqk8iS4JLx0jFHoC6hZ0nFunG1Yv4FvW7s0y01L2ivMydVJrgIWU3vEnCYip8Kpa2
bAofXjVhMXKONCdY0nhjwCbhFqajv0GdqL7wks4TrPzxkYabukmtoVl78PSvc7L7VhrBIudOMFQ7
NYvSvarY1TXnPfbHbMz6WVtl9WWZxsbB4R2DWShZW6Kg26paXUBqMyczGc0vbCGscaPSL7xBc7Y+
9WOaW23iUv8qytMsj/wlaw2NZ9rqW8Ut6lM9s71dUsl656IWItNa4egFsoT7TpXptDFtMCT6cJoT
Ms5+Bl7Fde40NkhalYp5DiQhoswELn70z01yUz4TDO6eUTsqbzjoMH6c2k8fnUjIeyUxLJjRbRCd
m21jHSw3Cq5cQx0u684tzrSOYntrRv15lbtEbJm3LWpWWnjV2h2b/sqj6XejmObQAiod9M8W2sJV
XxZMZVStLsk1kBBPALWQcd0AfQ1trJrS2WtR3z9GcOMvZNI1F5bW1JC4tGibhgPZNpYrQVCGAZHo
jlyhmqVlyr5+JowCPUKL2d7A/jbPzYhwgcAv1jj2mFWAewxwRBHixgkIFUhS1p1Bew0OY5Q+RFai
nxW9NBCT2NoePSZaJYTFszQJL/L+oQ/klBwAVLpJhnOazhP/Lx3a65onc9Cg7QxQwggUXchyfKKn
S+EVJIcFyaI9gEi8cTJwGGX8WYRTpy3dBrk+NycPitkgLhf9voSNTW9WAHuAPq46/sIkz8VCkUcP
F7BfucWcok7G/WeRsJjp0dGsYmgy0bwFf9mQp5Gxc2NhMC0iPAqc2meOb6prIq3uCCI4wPbchqpz
luBfNbVxHkQG75j+SXymq9WtpjXuslDq+3HE/DYAJltWqTi0ZnvjKRpMajRmVBwBvAN36ZWt7wzn
Tui320IrzYVFUu0mzcCOQ/Y4Hxz0IjqBITlYYLcMKGp3NalXbMpr0GhSN1dt1ayyWtEXxbKWd4jo
Zk1e793AQeTrrPwkey2yr57/H9ZcDPGx2OGYwqKjo1qcNWn4aar7TdGFPhk7Jkt0G5HccczHy9rL
/rzv6AArSAhwWWXlWZ/74yXzU3DVhcI6QJGKziuYZt0Mgnx77yBFfbTfhko8jZphGj/WNJKCaUzF
0+iii1DutbcRN429fPTj684AGzHLGZpyGqPONFqHadwm0wj23gZz7xv1Dvy+svM9xvowjXpnGv+V
m+ORSsfyNHVrd93JDgmU53vONvLiYYER1rvQKUSu6BP6SPKZZcZpvvE9Zh61oVFZmp1xsK2BeUmr
2Z/7wHGv1Sivr9W8TveOLhBZj1Vz7o+cxtxpptM9izlvmv3ENA9a04yo+Ln2ok+zZDU0IeZsGupF
GWAqmyZTOc2rCsKSZfo22crE7TZD7AQPWcE+o1AH98qMsLsHhBzf0sHhwEDdlwJKgK+uHLoAB1NO
8I2r9EvITgjgIhb5t0UAYq+2hq1KtXZaI7xptcindSMK3eFVndaSalpVqOfkt9q00hCPxqLDt5lv
fVyiS1oo6ZMzrU71tE55dhJs+z4/wVeLum1azRDP34AYQbfjjPX4TJFwj+QBUEepa/VtV6XqvTPI
BqBLmOh3g2VT1EqlPnzu3N5n1Bg0qwufAhR5H+5SihbEYsoGTg/hNyKcPrPrJDsLgiBc6oUenBUU
qBFAlauCQ9tGKJOVFVaodzRTIhM3BAaPHG6Qma7wM9hoUZq3VyS9LJ3bKWo91mkI7jxMWRDM6zxP
LvIsEkegevo+jZgk1gSRcV6l58xOIUVb2s1sIi4fDbW4hM3rksJOgmwJEt5gX8JpYS5p11DwSoUz
i1CgzVSr6JcIiq4CTpubTjE/VxmlHKm2nCRG9pVAy28HnAksNv3SVbxDFJWHpAlIKemiaoHWI0Vl
lzVLhwP7C4eYO4WG/KkhXbAHhXmDupUdkKJDSkAowwyLQAS5V3LldEI5cUilhQoMKRMmUHiwVXAN
oqmjXSDEAS7VASljsI9KN95gVQXgk6o739BglbVBT++mb9n0NEmMslc8hPh/NpgvX4dBiZGKjgG7
4lgudW04qdh/AEviv3c8GMi32ntLavkus1RjlYnenMdVrq/LIakWGsx03JTm2glyCQeqA0elltaK
YiplFbU60sO6ZF+oz1TR0/vQupsi729zPc2uO6XgOOYkwdqUsnXAxMb5SQC7cpHEfr5uoC8uO0XT
wA6KYuWgEkVZ19arVmes5Q51TQ89+UzxJ5BBXz90WWtvBy2m4zFmD+Df2EFYWBsS22nWqWvgCqAN
wWMV1rMyBVpZaZM4HmjQDB8K1KWC+iIh6EhDfDdla1GoHOcvrJKYEd9gxzQEHPkDx8tvc6/hGx44
tcIVFHMCOg78nrX1iVBg2dUN86Z2RLZHf+1t9cJVp55KeJp79rNW1Okh1pWRp4AJRQE5zynmNTLE
IUDzMu+1EDeJ4iOjzotongvuXeIGz7XLniKJapb2sobKhuBzomA+DoN+3yWfkf+fNsCQgJwhscns
i1HL9cUQZ6+iHq8GLRdshSXwm6QBYK44tg5vG+R7DXVtYURMjprKwaPNHBar3KzQQOrqjcto5/Sq
PfWgv5ZWGd3YVbKh/+8uFcPpOBkXiC58LTjxbWM/2CSJobn1Z33FIpETDrOgIH3WehZkO2nn5SZs
2nwb6Eqw8Tt/vI+c6ZDpG8NqBKXE7+EjHudR044PZHOleH/MYG7LRJnT0NXP7SYqjlEwGFsfTPs+
6NxomzRmfe7ldnPR1l52gca6f/SYf/aaXtqbftpRtdPeCn+YPDOm/RbcK3Ze0x5MVxp7i8ZPWXhv
uzNmXPPGmbZs1bR5k9zxf75D9f3e0wcT5l9rYv2/ZdWkJmawC/mxVfP0xceneRzoLL68Ndi2z//7
32g8fv3Fr40s/ZNtqRM/B4AgveBpY/Oll+W4nxzNItIS3oX99Sd/Y/KoglfHfOgIVCYuDbD3Xpb1
SdXpbyHLpKGl2e4/x+QxvskfdHD1T31OspodTDC2+a0cA94XVkFbbCq3Mv2NXsa09B0eu2qmEWHx
3Mcg2RqBwmZrGUJem9pArpfotGhc4RYxbsh8w7bWCIHvG69PP0tDBRqo1TV9uU6VwLghFgYWdtep
KCAVpAiGlQljbpPhRWXYNCN3w/LnxGt1cCDGqcDLthQNKINbfuAj4qUrXFs23pqWuWBOQV054L0s
94605T1ZkAAdI8ddajBGgS87V+oIQ7M11DP41S1gzqIE3Fa31VOJvB9VjVGjlODD+idE/rgNklJt
PLECuPoTmY8JQSbO2hzhytmS/LRSD/WNZwEy963RoFI34IY02eEQRdLjLEwGcdkFhntwctdZd1rc
cYRO3Hk0pC0hlaTsGVVKTrt00WUFYq630DNv29zpIDvnfWFTcM2vNPACZAUX4ZAuczqg6omOWZwy
Qda1l2WbIBz2s9z0T8qwoVzhwTQzcG8nHPjdjD7QoiaXCwmkQsoH9QVmpJWvDXTekxZby+WoYcE6
r3zm+EsNuw0nc7X0qk0cKZXHXtDRxq1UG8QuXtu5qPUiT2uXUiI8WxltkNy3CVG8l6hqKWZrIIId
9L86dFAqxjFZnGPdypUn6nZtN6QGqzlwxXlapO46q6R2a3kwdhe+6vucJepXl9qUVDr4sJmjn+TV
ABTQUJWN0jvtPSpJMnlU74LIakCsUNyRqfdk8BjkNZDZHF4CyQAeoiYpgV1eRMHaQqxKskH9bKSt
vYHSGYTrkMqMRnSNSsaWKJwDuAQcNgNH7WGRho1znWjKcNJ5sGNwktCMqZvkuonBlEhogBgps2Ad
+0a+U23Ic0rt+ks1dHYQNyYxnDYePITeK6Dr1g4djzELImWNkp2qviPncV7X14MZod7SRH2u+EQs
d3EHKxpRFcXApBqoFuWBDZYO9ZK/JqU1ObFofeO9A1c1pEl6UpUmNSWUpuGBp1XuWdEQp8PoBsYw
uGG0HfyYCKjckwv8tiyXxJ9s/baLz12HDnTDd0s0Tu5RvEQvTmlp6PpenY1KhyipmtSpKV2BMCT1
Z4AuiAJ6Wbq0idDzhM9oB7tl5djFNazdGkKBjLjv0bAWET4g220wbymjPC2a4SWXkgZvMeiAg3uv
2cRKFK2IT1Xie1RK4rrL2eQAM4nth2LAwsBukdSsSZcMygmmcYgXdilAoy6ttpQrtaxK6nF2R7kf
6nBKxOUq6TlBm/QKNkS07VT0NswwaX+Kn13ee2pNsbv2kwvfNcpdXUTZjkqzS6GvZEPetV7zRe35
Twk3/n9cFm1TA4UqVDhyHMfpME3ryY9XyJPj8zH+QDD47gW+rJSO+skgmQwxHdl8hmFN+LgvK6Wt
f7IMUiIhxyGsRTr4O7zOsD+pKEHYx9N/ZgmblCJfF0pDB3lnO/Q5DSZZko//qYXSmeQjf1BbKLpm
2ibSRS7zQQhkklUba3ETbJLOTleMM7wzmO19dw5FCnWh4WbIvpWM8FfEH5BoLHvHBB7AKhBNdNYV
I3VZyLBWitUuqW4txcOu5xLFU0SpC+afZmRBxyuNkxl2NfcKMFx9aceq2c/tKGWHbNikgUDP932l
mhfQXpFQqEQe1ERL+I90GZQCbHZuntbE/e7QJ3bH1huyxyIgvXxZmVGxhhkP6wUw/STSa2u28d0g
xAOzkE8zIXf7YT2oDc13PYEtvgUiQtgJQ8ik1VNoAGlRcYWXrFWWP4/GqmQ2lem1dPB5iFiCCgbC
ID7rQ5xe9L02KPO+1WPo/hGIFqxl9PZnhhWoRBxheEMtrqBrdePGvuqzkJP2lCH3FFlKv3OjFGG9
9P0rSwGOXzqhfq1bkbwDg2NdsJ1Ir+wUsL3SmO7GTIpx3ap9hnNI2N5JSw2Jer5Fj8qn16KLTnFW
LWu4nPm6DJ7cDvXtRklqKgqJLlo0nHE37gtFGK8d5KdrCtLjCwo5Fm7PL8rPI4lG564cIg3HSURW
Roqp5sY2J+OPlGlzEXBSOoM805OJ1Bec+CVe83WchBB0SAXsbmxNKLclG6mE6oat3uDKDIaZK+gD
LwlhAv0lAv0RGXC5rkb8q5qOeX7Wq359kWYCCzlW6dRepoXn7iMYPSdRFlAZKY0q29hRGdZbk2JL
NSPOonlIzVih+WfK+sWHAHqw2hwuV202GAadRnHm0FypvNCvZEXIMxLpG9fU13EZ1e45xVncWA0Q
UeI9XfLKqL8T/IZOEQ/EjHU3N5f05hRjhTPUfskiw4NZCnob8nuUFeNSlDo1CMVN8T02VlU84FEM
7tXp7CtSLBTnqdWjgWXUAMYWGJM6mvw2iX7c2F7OQ5qT3L8WU+8chWoGC9AagivCVEvU6LXw79Pa
8F7DqMA8DBkX1YYnmg0lEqk9FRgn0llQCa3FyeVBhee1mpwqPXGtF+xdtBPpBhkhcUkCsrgjLAdN
Rr9UKiwWCzVM+Xut18qJpoSUqVop3QeTsKDooglaUgvNHgtv1A3pDc4b8xlhb/i59+lXzSrXswuw
1zj1NTW3VpGqkN0xaUW2RQDXh30BLKdZqAgyAvWsTMAy5XGjzVsyM1fg4imME/bmvLhtJfRFXLv4
1uzEwujcN/Yl6tB624q2xm+Vyv5aIf3w0SU14y7Cu35GG2BcWbJu8kUa9NR9isptL+mX13eU+Mni
sLp8P44aiZ+JrYplDyeEVNbWa0lFcklRUPLApKCFhQeGysQqH6O2oA1dx/tMi61gKSKB7irCOMQm
36czCiWA7Cqeym6WEOtNMd8CO9hGNrlWdd4+EU1M3USL6CrNYfo2p0k8xZa6YwDMkDQpj7br0K+n
5v8aO6m6tYu4y2Y6X+PnCor+M/Y+XyBiVYdT1nnlVKKkOnWRYkAgzE37qkuL8LptJ1Bw0gptq3Zi
3Ji1V12FTtee175OfUTvMmXh5zK7n3ZZZI91war2POgmeOvCOcHY4wqlUIJf0y3oBjYqOgbwnNED
yWz5eZRU1rIu/UnJ2/db6VXjs8TX65DZGEC9jePcsJH0ElyykHEB4MLs/OIzBZAYD5yvdzu8Gwa2
3N6u8BuqzQ3fDp45Fbb1OYA0qmYJVridYvVdPeuc2nDXuRPlBHwrMJ3U2mBj5yVR/phw6jo0puQh
LFVJLdLvyugBRU9xb5UdwqayrICn6BIk+soUI0mMeRzF2ayxcb+uUTEVt3WkRfGV7uQp+IDBYNIB
a1kuDCVT9X0QDSphX9x+PBdho4A+LbCzbvSkM0Dck/BinBdlUZ0iLwHa32XuEKNM092zqrSTxz7w
g9dAqfJFUavhwddJGpu5CUeemU1Y0zoqgSTP8fnbSxplkE78zA43Ju55zBM5vVGzLftgZgxespNd
i6LHguiNuzJvcP9FOhVZzSejvXW8/qKDMjEuFCqA6xakxlaDGwhVUCbmHMmM1SNrMaITo9IUiyiP
xtioyPaxmZxXsgfTGUCbIpakbseTIULWLdOU1Au1NFUOjiKN6A3E2RIv377rUTcThSH5rZx3eFnk
dn1nJE6HyZ8dB3aChkiROgYBBg4Al7uPVGzHsLHyu5RDRDQzm3pjC2fd1AmNrUFLPidO5e4bkbJ/
oBtL0S5zk11gTI1gLarwZYW1Z6lTxGbGPISLrtKuDKe/1LXcnWFTGZ8TVgMW6rA5JFni7CmP9wBF
6Zpz9mmuMk+2ryaLzxojpLEzXCC1xGBPdstkM3YGp/umrm+M3jI2wPKB2MBdA6njYF+H7UY7DI2i
eyFJM0OC1UmYhLZT7DC4pUsxhJJWtQaKhUSWCoBQGPUnKJwaaHi5unBbLz4lB6OXk0CtJJi2p/M8
p5WjIAQXGkbgoCV6oyYhI6J9XMbbMeTYizUjgQlC0jxe6Gg/uqG5l4FEu0R4Y31PHdZd1FbmPInB
w9siMrM8N9PEucIpYm+ipsm0uVl43kzvFf2Z3oeOMF7LLssIMWQJs8FcpjEERtVqihs1U8meknz9
BPME9ykHkgkPHI/1LBQkfGl2ZJ9lEDieNHA4UKTcLp+Lqikemsq15mNTNodSr+sn+ALFhaAqcpqR
fMixPY4oTFo1jBzYVaiBVSq2SlIYDXsu3X5A3wnNEeR8fyPMiavH2cV/8cjTPE89BTCvLOx0nmD+
xYJfNBoLKGeqz6052AggABUqpkHDuFQ9/7NN1xsvbtj2D4rAEQG/pQqp90f9beFGYh2A6kFsJ4yd
23fxK++3usBuOTy6o8RCMxYDiIge8nhBr9tpDu5AKucsqrH+Lww/xE4hrGEgPrVyVjbq3tsRafXK
LrP06OqCrUZRc2CdNbXXNTOvajKMf6Xhr/mquhPN9xtmB5KyL8PKELRwqAlN7PuEmUrP+wbkvQyq
cGdHiiRtFJyTty0AzeHlcXuRrODqaGd1UZh3ut1RX9Vr8h1WYZu2wJ8rx4ckpFfOPvRtUMsgMOpm
Qb2impJg1NGYS71E4uANXfW5a8IqwnEQkFkWjol3GkK5BjzaCCB4WuaO81wPmyPODha1znK0K2zS
3H8wlGY3oy8tN3qfJremGZRXRZmALKg4D11Fg+kuWq31yfJQ7X0ISxDGlFRfQoR22ONJH9eXrLsZ
E6BOGxw0dGVd02UhD5aIKUZdV9VBtvTDkaquhp/YvKAC11IgaC1zQ5ZunoMbNgsqLBS3KcWwVLSn
elgjTeJb8P15j9NsLbTGuUoSvSgXo9s544xcCPM1ShUXhjYlnxvXUoZj6Cjqs+MkUiK+GVnJY7DE
dOH7KMtmpSwRfCdRVKBkgcuPHtB/1f08vGpGKvmDW2jhij0m8BvTCZEo5tWldLIapnPFFJXRMVgN
7NoixFCaDguIqpCjEtI2E6L2jm5X6ldqxhZjya7XJa6EHK9k2ReCvHaPiLJXWk8jezR8JO7IB5+N
lFNWipf1y8o2GCYm6zLqrR4Sdhmp+dHAp6ZfRK2fLJGnUvgp9P4iVxOYzFlBTtxMLSoPQEBV6XMv
LYMLD8/v1ogdmrvoXqD2i5oGbtLqRAtWRoctz+aS/k0Uop6baZVR3Bad7dSL0vWSVzIhYSIbJIWy
1QGinXilXCiRMi5sguaWFSGkm8YgYRK5KXxuT2UHSP+9Uhc+shiyeFADe0UYkx2n+gRAJUq1jwFa
sMEH5bFRGnDMgwmfcu0pqd2fEvWhADBtuQogF5ozNuZulnZN6GvqRt4OoGT1NCQum+aRruAVKzca
G4Me5Z4mT7YtGjUGWtLnxlpVahQ6hLCvbNaQpV/pxNbpAW56wlDGrRkRSaGgwF+6OQZ3OdTylDdt
7kxDV+/ZB0zeMTdbAaQ1FAZNAoGhIwBy5sKspsOGqq2PYnmVm1KhkYpTpqazhIQhK9Xw0sY+s9QK
NBwzC7LZXk11tlNW7C1hJD2yT3XXKmNymUsCWIAY+g/4xJrHAQEArR6gIVPMVfxA6IU9pS/VcG/N
NNrR90jWozLB9PymP/S9dzEAy/hM5Te4tMKKcan3cLM9YfWk/rXdxiwSfy9EEXPfRbhzAhpTc0xF
1ppEOv2urEYihXAWimmHnoKtUtUQoSUmcCp1fsRuFkTMo8UUQwgsASkxA6cmdo+uXNIaHI6rFn+b
roDGouM2JltkGWyi1TTMD7DLHcKec4HPrzevibExtrQ5lYsc9s+yI2dymPmRaA+lUvh4+fB6bIXv
OEu7b4MDQw9XntBHpjZPFkyPPg7UWrYACpIMPHIGFQC+dgBjCFk7fW5i22AICjU+tRQDFk0YQOnR
x94h1idCB5GU/rCwVPDhgYoJGqDgQGdWRs31oCfhjUxke+EqoIUYu9qFFlTuS1kH9YruKukZQAED
BS28qd3hc2BXr8XR1ipFhOZdbfoZPWVznjbMV6GUOhYwJ6XVlclgITOCC1Ejo+9DG0BzURQLWG/9
Xkn4sLHNRWYegbFsWf0cEU1iyLuKpW6KTi6TFWgIromIl6BEtHFNIPEkDrLQAWEjPUDrHqFkNvT+
NKd/p8Hz6QjPMO0gO2gwPVbCbKOL3NRfbQ6DrMp44esF9srmZDB7+3ZaPpdtHGMmTOC13GL9DPgu
xzIn8KjNm2egAcP8f3I4J8QYQNfGGCx2NEnV9wtVRIgHxyEA+82SIhcJjej6P6fU+J/QW/taDf2u
R+x3w9T004s8zJpD/icj2V/6T+/Oq+9f6C+azoSufVuIfHtTb5a3v3eN5IgzTj7jaNPMT9BJTN00
dfXtDyxVqNT+1x/b4pMmbJdswqktxx9AAxQ+/3CPfnQX/v4H/LMf78/X+fABnji0NpOPDx1X9qHz
OJHZP9Rif3ALvrnC326BTsnU0i1NaIzZ6c83t8D9RNVXUAe1vtyCLya///pb8EPz4eQn/9Z5+IOb
8M01/nYTtImPq0PUxS74vZvAc6A65GCzLL39oeL8f+U5+OYD/KEDLTTHoNL7F5+Gb67zhxthf8JN
OTWZKYX/cSS4nxAdw3ywvt4Cfvzf6w4YOmbPvzYWfvzptU8qA0HFMvrx0zufzIkYqVpfJpz/Rk//
F+mBiTLyr8wCP/zkuvNJ0H/hiCi+OwDsT7heTZou2j89C/yFm/X7mgEzK3l+W1LCl/oP1uV/+B/e
59s/X+CPMg0myw//cbI1f7n0l5E0/f3fP9yjt7n+Dz98n/vfXufrr3/9gH9+6Q+v9f6p3v9xE75U
x+opgC48+bS/vs2zY8qy9B+YZ6rjb9+DgVuTluRvb+hPpuzfn4K/e/26/ujEnhpdP39ZxMTH6v0y
ky7GcHUs9D/7bjfHajhmHwU3huUw5//0lcP0x9h1UzUYVT/7Ertjmsrf/scxLf7Xb/tjHaThhzvE
1mLaVPzsq+yPVcaeLP54k75skH762jynyTcXhuLy82/65BjXwfG5e3kp3i/2Jqaaerrv//Bd8MBf
esZPj8/B8P0xNPWMf/4Fzp9D3v77daZ3rrNH+gVf5oV8lk/BS1UNHy4OkUJ7/4d//bZcyCw6Pr5f
5+1dC6C07//wr1/46hgdqRcdP2xPdVs3f8G1r8M4Dj+gIwwVjNvPv+nDMQ2T386Oz/L9Wm/T1pet
xM8OnJsGF+b3JnG4DZPk7mevf/dSN7/NXjIyAt8v9vbuQZGxEfrZq58emcyZsJrqwzP+dbf9s1df
400mWOv9bU7v2+Yx1I1fsF6s8w/veLqu0H/BVM6qfEyP2W8EMv52Fj7lj3y723rKZ6w/fg6QdL/i
qf+rqSBv+4d/feD+fTDLT178UNGy+fgEsWNVbXKG3u/Zv/7OF8dndklvXwdBmdVvm2P7koTv152e
qbfXMuxfMAX9gyjOn7xNp8dsuk/fvPVJU/wLbtM/kiz/5HtfvCTBtzeddz4dSX52llj8Pt4oIL5f
7uv3Or3EL1gP56xYzyFPT/Cd6/+C5wZ837FpwvpPr4CFx9E5Vb6/7L8+DN7WGSR3fJD3i73do6+v
8AtWmh1LwQ+v/wvOI4cXZlH/2z3+30oaP/sc/VVJ4s+OhO/OR7/9B+vFD5/kqa6mCgf/gEmYgmFp
U0Du3/+83ztv/l6U/PMp9L3Y+L1f+3jEnv7HU/JyrP79/wAAAP//</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solidFill>
                <a:srgbClr val="FFFFFF"/>
              </a:solidFill>
            </a:defRPr>
          </a:pPr>
          <a:endParaRPr lang="en-US" sz="900" b="0" i="0" u="none" strike="noStrike" baseline="0">
            <a:solidFill>
              <a:srgbClr val="FFFFFF"/>
            </a:solidFill>
            <a:latin typeface="Calibri"/>
          </a:endParaRPr>
        </a:p>
      </cx:txPr>
    </cx:legend>
  </cx:chart>
  <cx:spPr>
    <a:solidFill>
      <a:srgbClr val="61314B"/>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png"/><Relationship Id="rId3" Type="http://schemas.openxmlformats.org/officeDocument/2006/relationships/chart" Target="../charts/chart2.xml"/><Relationship Id="rId7" Type="http://schemas.microsoft.com/office/2014/relationships/chartEx" Target="../charts/chartEx1.xml"/><Relationship Id="rId12" Type="http://schemas.openxmlformats.org/officeDocument/2006/relationships/image" Target="../media/image6.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image" Target="../media/image5.png"/><Relationship Id="rId5" Type="http://schemas.openxmlformats.org/officeDocument/2006/relationships/chart" Target="../charts/chart4.xml"/><Relationship Id="rId10" Type="http://schemas.openxmlformats.org/officeDocument/2006/relationships/image" Target="../media/image4.png"/><Relationship Id="rId4" Type="http://schemas.openxmlformats.org/officeDocument/2006/relationships/chart" Target="../charts/chart3.xml"/><Relationship Id="rId9" Type="http://schemas.openxmlformats.org/officeDocument/2006/relationships/image" Target="../media/image3.pn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3</xdr:col>
      <xdr:colOff>517096</xdr:colOff>
      <xdr:row>43</xdr:row>
      <xdr:rowOff>184653</xdr:rowOff>
    </xdr:from>
    <xdr:to>
      <xdr:col>5</xdr:col>
      <xdr:colOff>374951</xdr:colOff>
      <xdr:row>53</xdr:row>
      <xdr:rowOff>8861</xdr:rowOff>
    </xdr:to>
    <mc:AlternateContent xmlns:mc="http://schemas.openxmlformats.org/markup-compatibility/2006" xmlns:a14="http://schemas.microsoft.com/office/drawing/2010/main">
      <mc:Choice Requires="a14">
        <xdr:graphicFrame macro="">
          <xdr:nvGraphicFramePr>
            <xdr:cNvPr id="3" name="City 1">
              <a:extLst>
                <a:ext uri="{FF2B5EF4-FFF2-40B4-BE49-F238E27FC236}">
                  <a16:creationId xmlns:a16="http://schemas.microsoft.com/office/drawing/2014/main" id="{D3FE4462-07F6-1080-192F-5F9A2E6BB142}"/>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3402536" y="8048493"/>
              <a:ext cx="1818474" cy="16530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1061720</xdr:colOff>
      <xdr:row>65</xdr:row>
      <xdr:rowOff>5080</xdr:rowOff>
    </xdr:from>
    <xdr:to>
      <xdr:col>19</xdr:col>
      <xdr:colOff>350519</xdr:colOff>
      <xdr:row>78</xdr:row>
      <xdr:rowOff>94615</xdr:rowOff>
    </xdr:to>
    <mc:AlternateContent xmlns:mc="http://schemas.openxmlformats.org/markup-compatibility/2006" xmlns:a14="http://schemas.microsoft.com/office/drawing/2010/main">
      <mc:Choice Requires="a14">
        <xdr:graphicFrame macro="">
          <xdr:nvGraphicFramePr>
            <xdr:cNvPr id="25" name="City 2">
              <a:extLst>
                <a:ext uri="{FF2B5EF4-FFF2-40B4-BE49-F238E27FC236}">
                  <a16:creationId xmlns:a16="http://schemas.microsoft.com/office/drawing/2014/main" id="{1CCEB1E8-EF63-D58A-597B-B0E761BAE59B}"/>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14909800" y="118922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210207</xdr:colOff>
      <xdr:row>14</xdr:row>
      <xdr:rowOff>0</xdr:rowOff>
    </xdr:from>
    <xdr:to>
      <xdr:col>12</xdr:col>
      <xdr:colOff>105103</xdr:colOff>
      <xdr:row>23</xdr:row>
      <xdr:rowOff>78827</xdr:rowOff>
    </xdr:to>
    <xdr:sp macro="" textlink="">
      <xdr:nvSpPr>
        <xdr:cNvPr id="50" name="Rectangle: Rounded Corners 49">
          <a:extLst>
            <a:ext uri="{FF2B5EF4-FFF2-40B4-BE49-F238E27FC236}">
              <a16:creationId xmlns:a16="http://schemas.microsoft.com/office/drawing/2014/main" id="{657D3C9F-0CFA-CB19-1F72-36F773E233F5}"/>
            </a:ext>
          </a:extLst>
        </xdr:cNvPr>
        <xdr:cNvSpPr/>
      </xdr:nvSpPr>
      <xdr:spPr>
        <a:xfrm>
          <a:off x="5649310" y="2575034"/>
          <a:ext cx="1707931" cy="1734207"/>
        </a:xfrm>
        <a:prstGeom prst="roundRect">
          <a:avLst/>
        </a:prstGeom>
        <a:solidFill>
          <a:srgbClr val="4F81B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35</xdr:col>
      <xdr:colOff>232833</xdr:colOff>
      <xdr:row>43</xdr:row>
      <xdr:rowOff>169333</xdr:rowOff>
    </xdr:to>
    <xdr:sp macro="" textlink="">
      <xdr:nvSpPr>
        <xdr:cNvPr id="5" name="Rectangle 4">
          <a:extLst>
            <a:ext uri="{FF2B5EF4-FFF2-40B4-BE49-F238E27FC236}">
              <a16:creationId xmlns:a16="http://schemas.microsoft.com/office/drawing/2014/main" id="{149533AD-CB3F-BD4E-B349-BC032B262D94}"/>
            </a:ext>
          </a:extLst>
        </xdr:cNvPr>
        <xdr:cNvSpPr/>
      </xdr:nvSpPr>
      <xdr:spPr>
        <a:xfrm>
          <a:off x="0" y="0"/>
          <a:ext cx="21717000" cy="8360833"/>
        </a:xfrm>
        <a:prstGeom prst="rect">
          <a:avLst/>
        </a:prstGeom>
        <a:solidFill>
          <a:srgbClr val="220B3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0</xdr:col>
      <xdr:colOff>1</xdr:colOff>
      <xdr:row>0</xdr:row>
      <xdr:rowOff>155222</xdr:rowOff>
    </xdr:from>
    <xdr:to>
      <xdr:col>9</xdr:col>
      <xdr:colOff>84667</xdr:colOff>
      <xdr:row>2</xdr:row>
      <xdr:rowOff>170793</xdr:rowOff>
    </xdr:to>
    <xdr:sp macro="" textlink="">
      <xdr:nvSpPr>
        <xdr:cNvPr id="6" name="Rectangle 5">
          <a:extLst>
            <a:ext uri="{FF2B5EF4-FFF2-40B4-BE49-F238E27FC236}">
              <a16:creationId xmlns:a16="http://schemas.microsoft.com/office/drawing/2014/main" id="{E8DB536D-8A42-E0A5-89AE-48F899AE362D}"/>
            </a:ext>
          </a:extLst>
        </xdr:cNvPr>
        <xdr:cNvSpPr/>
      </xdr:nvSpPr>
      <xdr:spPr>
        <a:xfrm>
          <a:off x="1" y="155222"/>
          <a:ext cx="5545666" cy="382460"/>
        </a:xfrm>
        <a:prstGeom prst="rect">
          <a:avLst/>
        </a:prstGeom>
        <a:solidFill>
          <a:srgbClr val="412850"/>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2800" b="1"/>
            <a:t>Ecommerce sales dashboard</a:t>
          </a:r>
        </a:p>
      </xdr:txBody>
    </xdr:sp>
    <xdr:clientData/>
  </xdr:twoCellAnchor>
  <xdr:twoCellAnchor>
    <xdr:from>
      <xdr:col>0</xdr:col>
      <xdr:colOff>0</xdr:colOff>
      <xdr:row>9</xdr:row>
      <xdr:rowOff>23590</xdr:rowOff>
    </xdr:from>
    <xdr:to>
      <xdr:col>9</xdr:col>
      <xdr:colOff>13137</xdr:colOff>
      <xdr:row>23</xdr:row>
      <xdr:rowOff>78826</xdr:rowOff>
    </xdr:to>
    <xdr:sp macro="" textlink="">
      <xdr:nvSpPr>
        <xdr:cNvPr id="7" name="Rectangle 6">
          <a:extLst>
            <a:ext uri="{FF2B5EF4-FFF2-40B4-BE49-F238E27FC236}">
              <a16:creationId xmlns:a16="http://schemas.microsoft.com/office/drawing/2014/main" id="{760B7864-DD1F-8F07-452E-606718CBC0BE}"/>
            </a:ext>
          </a:extLst>
        </xdr:cNvPr>
        <xdr:cNvSpPr/>
      </xdr:nvSpPr>
      <xdr:spPr>
        <a:xfrm>
          <a:off x="0" y="1678969"/>
          <a:ext cx="5452240" cy="2630271"/>
        </a:xfrm>
        <a:prstGeom prst="rect">
          <a:avLst/>
        </a:prstGeom>
        <a:solidFill>
          <a:srgbClr val="412850"/>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18</xdr:col>
      <xdr:colOff>341587</xdr:colOff>
      <xdr:row>0</xdr:row>
      <xdr:rowOff>37456</xdr:rowOff>
    </xdr:from>
    <xdr:to>
      <xdr:col>27</xdr:col>
      <xdr:colOff>444734</xdr:colOff>
      <xdr:row>22</xdr:row>
      <xdr:rowOff>144516</xdr:rowOff>
    </xdr:to>
    <xdr:sp macro="" textlink="">
      <xdr:nvSpPr>
        <xdr:cNvPr id="8" name="Title 5">
          <a:extLst>
            <a:ext uri="{FF2B5EF4-FFF2-40B4-BE49-F238E27FC236}">
              <a16:creationId xmlns:a16="http://schemas.microsoft.com/office/drawing/2014/main" id="{1154FC40-E3F3-8E3E-50DC-4F72E8CEEB20}"/>
            </a:ext>
          </a:extLst>
        </xdr:cNvPr>
        <xdr:cNvSpPr>
          <a:spLocks noGrp="1"/>
        </xdr:cNvSpPr>
      </xdr:nvSpPr>
      <xdr:spPr>
        <a:xfrm>
          <a:off x="11219794" y="37456"/>
          <a:ext cx="5542250" cy="4153543"/>
        </a:xfrm>
        <a:prstGeom prst="rect">
          <a:avLst/>
        </a:prstGeom>
        <a:solidFill>
          <a:srgbClr val="46284E"/>
        </a:solidFill>
      </xdr:spPr>
      <xdr:style>
        <a:lnRef idx="2">
          <a:schemeClr val="accent1">
            <a:shade val="15000"/>
          </a:schemeClr>
        </a:lnRef>
        <a:fillRef idx="1">
          <a:schemeClr val="accent1"/>
        </a:fillRef>
        <a:effectRef idx="0">
          <a:schemeClr val="accent1"/>
        </a:effectRef>
        <a:fontRef idx="minor">
          <a:schemeClr val="lt1"/>
        </a:fontRef>
      </xdr:style>
      <xdr:txBody>
        <a:bodyPr vert="horz" wrap="square" lIns="91440" tIns="45720" rIns="91440" bIns="45720" rtlCol="0" anchor="ctr">
          <a:normAutofit/>
        </a:bodyPr>
        <a:lstStyle>
          <a:lvl1pPr algn="ctr" defTabSz="914400" rtl="0" eaLnBrk="1" latinLnBrk="0" hangingPunct="1">
            <a:lnSpc>
              <a:spcPct val="90000"/>
            </a:lnSpc>
            <a:spcBef>
              <a:spcPct val="0"/>
            </a:spcBef>
            <a:buNone/>
            <a:defRPr sz="6000" kern="1200">
              <a:solidFill>
                <a:schemeClr val="lt1"/>
              </a:solidFill>
              <a:latin typeface="+mn-lt"/>
              <a:ea typeface="+mn-ea"/>
              <a:cs typeface="+mn-cs"/>
            </a:defRPr>
          </a:lvl1pPr>
          <a:lvl2pPr>
            <a:defRPr>
              <a:solidFill>
                <a:schemeClr val="lt1"/>
              </a:solidFill>
              <a:latin typeface="+mn-lt"/>
              <a:ea typeface="+mn-ea"/>
              <a:cs typeface="+mn-cs"/>
            </a:defRPr>
          </a:lvl2pPr>
          <a:lvl3pPr>
            <a:defRPr>
              <a:solidFill>
                <a:schemeClr val="lt1"/>
              </a:solidFill>
              <a:latin typeface="+mn-lt"/>
              <a:ea typeface="+mn-ea"/>
              <a:cs typeface="+mn-cs"/>
            </a:defRPr>
          </a:lvl3pPr>
          <a:lvl4pPr>
            <a:defRPr>
              <a:solidFill>
                <a:schemeClr val="lt1"/>
              </a:solidFill>
              <a:latin typeface="+mn-lt"/>
              <a:ea typeface="+mn-ea"/>
              <a:cs typeface="+mn-cs"/>
            </a:defRPr>
          </a:lvl4pPr>
          <a:lvl5pPr>
            <a:defRPr>
              <a:solidFill>
                <a:schemeClr val="lt1"/>
              </a:solidFill>
              <a:latin typeface="+mn-lt"/>
              <a:ea typeface="+mn-ea"/>
              <a:cs typeface="+mn-cs"/>
            </a:defRPr>
          </a:lvl5pPr>
          <a:lvl6pPr>
            <a:defRPr>
              <a:solidFill>
                <a:schemeClr val="lt1"/>
              </a:solidFill>
              <a:latin typeface="+mn-lt"/>
              <a:ea typeface="+mn-ea"/>
              <a:cs typeface="+mn-cs"/>
            </a:defRPr>
          </a:lvl6pPr>
          <a:lvl7pPr>
            <a:defRPr>
              <a:solidFill>
                <a:schemeClr val="lt1"/>
              </a:solidFill>
              <a:latin typeface="+mn-lt"/>
              <a:ea typeface="+mn-ea"/>
              <a:cs typeface="+mn-cs"/>
            </a:defRPr>
          </a:lvl7pPr>
          <a:lvl8pPr>
            <a:defRPr>
              <a:solidFill>
                <a:schemeClr val="lt1"/>
              </a:solidFill>
              <a:latin typeface="+mn-lt"/>
              <a:ea typeface="+mn-ea"/>
              <a:cs typeface="+mn-cs"/>
            </a:defRPr>
          </a:lvl8pPr>
          <a:lvl9pPr>
            <a:defRPr>
              <a:solidFill>
                <a:schemeClr val="lt1"/>
              </a:solidFill>
              <a:latin typeface="+mn-lt"/>
              <a:ea typeface="+mn-ea"/>
              <a:cs typeface="+mn-cs"/>
            </a:defRPr>
          </a:lvl9pPr>
        </a:lstStyle>
        <a:p>
          <a:endParaRPr lang="en-US"/>
        </a:p>
      </xdr:txBody>
    </xdr:sp>
    <xdr:clientData/>
  </xdr:twoCellAnchor>
  <xdr:twoCellAnchor>
    <xdr:from>
      <xdr:col>0</xdr:col>
      <xdr:colOff>0</xdr:colOff>
      <xdr:row>23</xdr:row>
      <xdr:rowOff>152400</xdr:rowOff>
    </xdr:from>
    <xdr:to>
      <xdr:col>10</xdr:col>
      <xdr:colOff>10886</xdr:colOff>
      <xdr:row>43</xdr:row>
      <xdr:rowOff>80921</xdr:rowOff>
    </xdr:to>
    <xdr:sp macro="" textlink="">
      <xdr:nvSpPr>
        <xdr:cNvPr id="9" name="Rectangle 8">
          <a:extLst>
            <a:ext uri="{FF2B5EF4-FFF2-40B4-BE49-F238E27FC236}">
              <a16:creationId xmlns:a16="http://schemas.microsoft.com/office/drawing/2014/main" id="{0E117ED2-8FA7-A5A5-6E56-930B11864358}"/>
            </a:ext>
          </a:extLst>
        </xdr:cNvPr>
        <xdr:cNvSpPr/>
      </xdr:nvSpPr>
      <xdr:spPr>
        <a:xfrm>
          <a:off x="0" y="4408714"/>
          <a:ext cx="6106886" cy="3629664"/>
        </a:xfrm>
        <a:prstGeom prst="rect">
          <a:avLst/>
        </a:prstGeom>
        <a:solidFill>
          <a:srgbClr val="412850"/>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16</xdr:col>
      <xdr:colOff>30480</xdr:colOff>
      <xdr:row>23</xdr:row>
      <xdr:rowOff>99862</xdr:rowOff>
    </xdr:from>
    <xdr:to>
      <xdr:col>25</xdr:col>
      <xdr:colOff>198120</xdr:colOff>
      <xdr:row>43</xdr:row>
      <xdr:rowOff>110631</xdr:rowOff>
    </xdr:to>
    <xdr:sp macro="" textlink="">
      <xdr:nvSpPr>
        <xdr:cNvPr id="10" name="Subtitle 7">
          <a:extLst>
            <a:ext uri="{FF2B5EF4-FFF2-40B4-BE49-F238E27FC236}">
              <a16:creationId xmlns:a16="http://schemas.microsoft.com/office/drawing/2014/main" id="{70C47670-CED0-71F4-EECF-38B3D4EA64BD}"/>
            </a:ext>
          </a:extLst>
        </xdr:cNvPr>
        <xdr:cNvSpPr>
          <a:spLocks noGrp="1"/>
        </xdr:cNvSpPr>
      </xdr:nvSpPr>
      <xdr:spPr>
        <a:xfrm>
          <a:off x="9784080" y="4306102"/>
          <a:ext cx="5654040" cy="3668369"/>
        </a:xfrm>
        <a:prstGeom prst="rect">
          <a:avLst/>
        </a:prstGeom>
        <a:solidFill>
          <a:srgbClr val="46284E"/>
        </a:solidFill>
      </xdr:spPr>
      <xdr:style>
        <a:lnRef idx="2">
          <a:schemeClr val="accent1">
            <a:shade val="15000"/>
          </a:schemeClr>
        </a:lnRef>
        <a:fillRef idx="1">
          <a:schemeClr val="accent1"/>
        </a:fillRef>
        <a:effectRef idx="0">
          <a:schemeClr val="accent1"/>
        </a:effectRef>
        <a:fontRef idx="minor">
          <a:schemeClr val="lt1"/>
        </a:fontRef>
      </xdr:style>
      <xdr:txBody>
        <a:bodyPr vert="horz" wrap="square" lIns="91440" tIns="45720" rIns="91440" bIns="45720" rtlCol="0" anchor="ctr">
          <a:normAutofit/>
        </a:bodyPr>
        <a:lstStyle>
          <a:lvl1pPr marL="0" indent="0" algn="ctr" defTabSz="914400" rtl="0" eaLnBrk="1" latinLnBrk="0" hangingPunct="1">
            <a:lnSpc>
              <a:spcPct val="90000"/>
            </a:lnSpc>
            <a:spcBef>
              <a:spcPts val="1000"/>
            </a:spcBef>
            <a:buFont typeface="Arial" panose="020B0604020202020204" pitchFamily="34" charset="0"/>
            <a:buNone/>
            <a:defRPr sz="2400" kern="1200">
              <a:solidFill>
                <a:schemeClr val="lt1"/>
              </a:solidFill>
              <a:latin typeface="+mn-lt"/>
              <a:ea typeface="+mn-ea"/>
              <a:cs typeface="+mn-cs"/>
            </a:defRPr>
          </a:lvl1pPr>
          <a:lvl2pPr marL="457200" indent="0" algn="ctr" defTabSz="914400" rtl="0" eaLnBrk="1" latinLnBrk="0" hangingPunct="1">
            <a:lnSpc>
              <a:spcPct val="90000"/>
            </a:lnSpc>
            <a:spcBef>
              <a:spcPts val="500"/>
            </a:spcBef>
            <a:buFont typeface="Arial" panose="020B0604020202020204" pitchFamily="34" charset="0"/>
            <a:buNone/>
            <a:defRPr sz="2000" kern="1200">
              <a:solidFill>
                <a:schemeClr val="lt1"/>
              </a:solidFill>
              <a:latin typeface="+mn-lt"/>
              <a:ea typeface="+mn-ea"/>
              <a:cs typeface="+mn-cs"/>
            </a:defRPr>
          </a:lvl2pPr>
          <a:lvl3pPr marL="914400" indent="0" algn="ctr" defTabSz="914400" rtl="0" eaLnBrk="1" latinLnBrk="0" hangingPunct="1">
            <a:lnSpc>
              <a:spcPct val="90000"/>
            </a:lnSpc>
            <a:spcBef>
              <a:spcPts val="500"/>
            </a:spcBef>
            <a:buFont typeface="Arial" panose="020B0604020202020204" pitchFamily="34" charset="0"/>
            <a:buNone/>
            <a:defRPr sz="1800" kern="1200">
              <a:solidFill>
                <a:schemeClr val="lt1"/>
              </a:solidFill>
              <a:latin typeface="+mn-lt"/>
              <a:ea typeface="+mn-ea"/>
              <a:cs typeface="+mn-cs"/>
            </a:defRPr>
          </a:lvl3pPr>
          <a:lvl4pPr marL="1371600" indent="0" algn="ctr" defTabSz="914400" rtl="0" eaLnBrk="1" latinLnBrk="0" hangingPunct="1">
            <a:lnSpc>
              <a:spcPct val="90000"/>
            </a:lnSpc>
            <a:spcBef>
              <a:spcPts val="500"/>
            </a:spcBef>
            <a:buFont typeface="Arial" panose="020B0604020202020204" pitchFamily="34" charset="0"/>
            <a:buNone/>
            <a:defRPr sz="1600" kern="1200">
              <a:solidFill>
                <a:schemeClr val="lt1"/>
              </a:solidFill>
              <a:latin typeface="+mn-lt"/>
              <a:ea typeface="+mn-ea"/>
              <a:cs typeface="+mn-cs"/>
            </a:defRPr>
          </a:lvl4pPr>
          <a:lvl5pPr marL="1828800" indent="0" algn="ctr" defTabSz="914400" rtl="0" eaLnBrk="1" latinLnBrk="0" hangingPunct="1">
            <a:lnSpc>
              <a:spcPct val="90000"/>
            </a:lnSpc>
            <a:spcBef>
              <a:spcPts val="500"/>
            </a:spcBef>
            <a:buFont typeface="Arial" panose="020B0604020202020204" pitchFamily="34" charset="0"/>
            <a:buNone/>
            <a:defRPr sz="1600" kern="1200">
              <a:solidFill>
                <a:schemeClr val="lt1"/>
              </a:solidFill>
              <a:latin typeface="+mn-lt"/>
              <a:ea typeface="+mn-ea"/>
              <a:cs typeface="+mn-cs"/>
            </a:defRPr>
          </a:lvl5pPr>
          <a:lvl6pPr marL="2286000" indent="0" algn="ctr" defTabSz="914400" rtl="0" eaLnBrk="1" latinLnBrk="0" hangingPunct="1">
            <a:lnSpc>
              <a:spcPct val="90000"/>
            </a:lnSpc>
            <a:spcBef>
              <a:spcPts val="500"/>
            </a:spcBef>
            <a:buFont typeface="Arial" panose="020B0604020202020204" pitchFamily="34" charset="0"/>
            <a:buNone/>
            <a:defRPr sz="1600" kern="1200">
              <a:solidFill>
                <a:schemeClr val="lt1"/>
              </a:solidFill>
              <a:latin typeface="+mn-lt"/>
              <a:ea typeface="+mn-ea"/>
              <a:cs typeface="+mn-cs"/>
            </a:defRPr>
          </a:lvl6pPr>
          <a:lvl7pPr marL="2743200" indent="0" algn="ctr" defTabSz="914400" rtl="0" eaLnBrk="1" latinLnBrk="0" hangingPunct="1">
            <a:lnSpc>
              <a:spcPct val="90000"/>
            </a:lnSpc>
            <a:spcBef>
              <a:spcPts val="500"/>
            </a:spcBef>
            <a:buFont typeface="Arial" panose="020B0604020202020204" pitchFamily="34" charset="0"/>
            <a:buNone/>
            <a:defRPr sz="1600" kern="1200">
              <a:solidFill>
                <a:schemeClr val="lt1"/>
              </a:solidFill>
              <a:latin typeface="+mn-lt"/>
              <a:ea typeface="+mn-ea"/>
              <a:cs typeface="+mn-cs"/>
            </a:defRPr>
          </a:lvl7pPr>
          <a:lvl8pPr marL="3200400" indent="0" algn="ctr" defTabSz="914400" rtl="0" eaLnBrk="1" latinLnBrk="0" hangingPunct="1">
            <a:lnSpc>
              <a:spcPct val="90000"/>
            </a:lnSpc>
            <a:spcBef>
              <a:spcPts val="500"/>
            </a:spcBef>
            <a:buFont typeface="Arial" panose="020B0604020202020204" pitchFamily="34" charset="0"/>
            <a:buNone/>
            <a:defRPr sz="1600" kern="1200">
              <a:solidFill>
                <a:schemeClr val="lt1"/>
              </a:solidFill>
              <a:latin typeface="+mn-lt"/>
              <a:ea typeface="+mn-ea"/>
              <a:cs typeface="+mn-cs"/>
            </a:defRPr>
          </a:lvl8pPr>
          <a:lvl9pPr marL="3657600" indent="0" algn="ctr" defTabSz="914400" rtl="0" eaLnBrk="1" latinLnBrk="0" hangingPunct="1">
            <a:lnSpc>
              <a:spcPct val="90000"/>
            </a:lnSpc>
            <a:spcBef>
              <a:spcPts val="500"/>
            </a:spcBef>
            <a:buFont typeface="Arial" panose="020B0604020202020204" pitchFamily="34" charset="0"/>
            <a:buNone/>
            <a:defRPr sz="1600" kern="1200">
              <a:solidFill>
                <a:schemeClr val="lt1"/>
              </a:solidFill>
              <a:latin typeface="+mn-lt"/>
              <a:ea typeface="+mn-ea"/>
              <a:cs typeface="+mn-cs"/>
            </a:defRPr>
          </a:lvl9pPr>
        </a:lstStyle>
        <a:p>
          <a:endParaRPr lang="en-US"/>
        </a:p>
      </xdr:txBody>
    </xdr:sp>
    <xdr:clientData/>
  </xdr:twoCellAnchor>
  <xdr:twoCellAnchor>
    <xdr:from>
      <xdr:col>9</xdr:col>
      <xdr:colOff>172529</xdr:colOff>
      <xdr:row>0</xdr:row>
      <xdr:rowOff>0</xdr:rowOff>
    </xdr:from>
    <xdr:to>
      <xdr:col>18</xdr:col>
      <xdr:colOff>236484</xdr:colOff>
      <xdr:row>23</xdr:row>
      <xdr:rowOff>129396</xdr:rowOff>
    </xdr:to>
    <xdr:sp macro="" textlink="">
      <xdr:nvSpPr>
        <xdr:cNvPr id="12" name="Rectangle 11">
          <a:extLst>
            <a:ext uri="{FF2B5EF4-FFF2-40B4-BE49-F238E27FC236}">
              <a16:creationId xmlns:a16="http://schemas.microsoft.com/office/drawing/2014/main" id="{907755DB-C65B-61AE-A19F-A6218E21669B}"/>
            </a:ext>
          </a:extLst>
        </xdr:cNvPr>
        <xdr:cNvSpPr/>
      </xdr:nvSpPr>
      <xdr:spPr>
        <a:xfrm>
          <a:off x="5607171" y="0"/>
          <a:ext cx="5498596" cy="4428226"/>
        </a:xfrm>
        <a:prstGeom prst="rect">
          <a:avLst/>
        </a:prstGeom>
        <a:solidFill>
          <a:srgbClr val="46284E"/>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10</xdr:col>
      <xdr:colOff>11543</xdr:colOff>
      <xdr:row>23</xdr:row>
      <xdr:rowOff>146538</xdr:rowOff>
    </xdr:from>
    <xdr:to>
      <xdr:col>15</xdr:col>
      <xdr:colOff>452782</xdr:colOff>
      <xdr:row>43</xdr:row>
      <xdr:rowOff>143565</xdr:rowOff>
    </xdr:to>
    <xdr:sp macro="" textlink="">
      <xdr:nvSpPr>
        <xdr:cNvPr id="13" name="Rectangle 12">
          <a:extLst>
            <a:ext uri="{FF2B5EF4-FFF2-40B4-BE49-F238E27FC236}">
              <a16:creationId xmlns:a16="http://schemas.microsoft.com/office/drawing/2014/main" id="{416EF760-571D-A33B-8344-F73B663C0920}"/>
            </a:ext>
          </a:extLst>
        </xdr:cNvPr>
        <xdr:cNvSpPr/>
      </xdr:nvSpPr>
      <xdr:spPr>
        <a:xfrm>
          <a:off x="6085456" y="4464538"/>
          <a:ext cx="3478196" cy="3751810"/>
        </a:xfrm>
        <a:prstGeom prst="rect">
          <a:avLst/>
        </a:prstGeom>
        <a:solidFill>
          <a:srgbClr val="46284E"/>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0</xdr:col>
      <xdr:colOff>71120</xdr:colOff>
      <xdr:row>3</xdr:row>
      <xdr:rowOff>73066</xdr:rowOff>
    </xdr:from>
    <xdr:to>
      <xdr:col>3</xdr:col>
      <xdr:colOff>100642</xdr:colOff>
      <xdr:row>8</xdr:row>
      <xdr:rowOff>86263</xdr:rowOff>
    </xdr:to>
    <xdr:sp macro="" textlink="">
      <xdr:nvSpPr>
        <xdr:cNvPr id="14" name="Rectangle 13">
          <a:extLst>
            <a:ext uri="{FF2B5EF4-FFF2-40B4-BE49-F238E27FC236}">
              <a16:creationId xmlns:a16="http://schemas.microsoft.com/office/drawing/2014/main" id="{00A17EDF-CC0D-658C-597D-AEED63847018}"/>
            </a:ext>
          </a:extLst>
        </xdr:cNvPr>
        <xdr:cNvSpPr/>
      </xdr:nvSpPr>
      <xdr:spPr>
        <a:xfrm>
          <a:off x="71120" y="633783"/>
          <a:ext cx="1841069" cy="947725"/>
        </a:xfrm>
        <a:prstGeom prst="rect">
          <a:avLst/>
        </a:prstGeom>
        <a:solidFill>
          <a:srgbClr val="412850"/>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3200" b="1">
              <a:latin typeface="+mn-lt"/>
              <a:ea typeface="ADLaM Display" panose="020F0502020204030204" pitchFamily="2" charset="0"/>
              <a:cs typeface="ADLaM Display" panose="020F0502020204030204" pitchFamily="2" charset="0"/>
            </a:rPr>
            <a:t>    ₹26.6L</a:t>
          </a:r>
        </a:p>
        <a:p>
          <a:pPr algn="ctr"/>
          <a:r>
            <a:rPr lang="en-US" sz="2000"/>
            <a:t>      Total</a:t>
          </a:r>
          <a:r>
            <a:rPr lang="en-US" sz="2000" baseline="0"/>
            <a:t> Profit</a:t>
          </a:r>
        </a:p>
      </xdr:txBody>
    </xdr:sp>
    <xdr:clientData/>
  </xdr:twoCellAnchor>
  <xdr:twoCellAnchor>
    <xdr:from>
      <xdr:col>3</xdr:col>
      <xdr:colOff>225508</xdr:colOff>
      <xdr:row>3</xdr:row>
      <xdr:rowOff>61724</xdr:rowOff>
    </xdr:from>
    <xdr:to>
      <xdr:col>6</xdr:col>
      <xdr:colOff>165244</xdr:colOff>
      <xdr:row>8</xdr:row>
      <xdr:rowOff>91440</xdr:rowOff>
    </xdr:to>
    <xdr:sp macro="" textlink="">
      <xdr:nvSpPr>
        <xdr:cNvPr id="15" name="Rectangle 14">
          <a:extLst>
            <a:ext uri="{FF2B5EF4-FFF2-40B4-BE49-F238E27FC236}">
              <a16:creationId xmlns:a16="http://schemas.microsoft.com/office/drawing/2014/main" id="{C354D4EF-524A-E30A-0FF6-DE8936EB5050}"/>
            </a:ext>
          </a:extLst>
        </xdr:cNvPr>
        <xdr:cNvSpPr/>
      </xdr:nvSpPr>
      <xdr:spPr>
        <a:xfrm>
          <a:off x="2037055" y="622441"/>
          <a:ext cx="1751283" cy="964244"/>
        </a:xfrm>
        <a:prstGeom prst="rect">
          <a:avLst/>
        </a:prstGeom>
        <a:solidFill>
          <a:srgbClr val="412850"/>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3200" b="1"/>
            <a:t>₹2074K</a:t>
          </a:r>
          <a:br>
            <a:rPr lang="en-US"/>
          </a:br>
          <a:r>
            <a:rPr lang="en-US" sz="1900"/>
            <a:t>sum of</a:t>
          </a:r>
          <a:r>
            <a:rPr lang="en-US" sz="1900" baseline="0"/>
            <a:t> quantity</a:t>
          </a:r>
          <a:endParaRPr lang="en-US" sz="1900"/>
        </a:p>
      </xdr:txBody>
    </xdr:sp>
    <xdr:clientData/>
  </xdr:twoCellAnchor>
  <xdr:twoCellAnchor>
    <xdr:from>
      <xdr:col>6</xdr:col>
      <xdr:colOff>241830</xdr:colOff>
      <xdr:row>3</xdr:row>
      <xdr:rowOff>71887</xdr:rowOff>
    </xdr:from>
    <xdr:to>
      <xdr:col>9</xdr:col>
      <xdr:colOff>97034</xdr:colOff>
      <xdr:row>8</xdr:row>
      <xdr:rowOff>72793</xdr:rowOff>
    </xdr:to>
    <xdr:sp macro="" textlink="">
      <xdr:nvSpPr>
        <xdr:cNvPr id="16" name="Rectangle 15">
          <a:extLst>
            <a:ext uri="{FF2B5EF4-FFF2-40B4-BE49-F238E27FC236}">
              <a16:creationId xmlns:a16="http://schemas.microsoft.com/office/drawing/2014/main" id="{1922B629-0C99-BFE7-2B42-3938DA8D01E0}"/>
            </a:ext>
          </a:extLst>
        </xdr:cNvPr>
        <xdr:cNvSpPr/>
      </xdr:nvSpPr>
      <xdr:spPr>
        <a:xfrm>
          <a:off x="3864924" y="632604"/>
          <a:ext cx="1666752" cy="935434"/>
        </a:xfrm>
        <a:prstGeom prst="rect">
          <a:avLst/>
        </a:prstGeom>
        <a:solidFill>
          <a:srgbClr val="412850"/>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3200" b="1" kern="1200">
              <a:solidFill>
                <a:schemeClr val="lt1"/>
              </a:solidFill>
              <a:effectLst/>
              <a:latin typeface="+mn-lt"/>
              <a:ea typeface="+mn-ea"/>
              <a:cs typeface="+mn-cs"/>
            </a:rPr>
            <a:t>₹</a:t>
          </a:r>
          <a:r>
            <a:rPr lang="en-US" sz="3200" b="1">
              <a:latin typeface="+mn-lt"/>
            </a:rPr>
            <a:t>62.42L</a:t>
          </a:r>
        </a:p>
        <a:p>
          <a:pPr algn="ctr"/>
          <a:r>
            <a:rPr lang="en-US" sz="2000"/>
            <a:t>Total sales</a:t>
          </a:r>
        </a:p>
      </xdr:txBody>
    </xdr:sp>
    <xdr:clientData/>
  </xdr:twoCellAnchor>
  <xdr:twoCellAnchor editAs="oneCell">
    <xdr:from>
      <xdr:col>0</xdr:col>
      <xdr:colOff>93784</xdr:colOff>
      <xdr:row>3</xdr:row>
      <xdr:rowOff>128955</xdr:rowOff>
    </xdr:from>
    <xdr:to>
      <xdr:col>1</xdr:col>
      <xdr:colOff>33167</xdr:colOff>
      <xdr:row>6</xdr:row>
      <xdr:rowOff>164124</xdr:rowOff>
    </xdr:to>
    <xdr:pic>
      <xdr:nvPicPr>
        <xdr:cNvPr id="57" name="Picture 56">
          <a:extLst>
            <a:ext uri="{FF2B5EF4-FFF2-40B4-BE49-F238E27FC236}">
              <a16:creationId xmlns:a16="http://schemas.microsoft.com/office/drawing/2014/main" id="{3803EEA0-5CCB-B978-042D-F7D26F9744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784" y="691663"/>
          <a:ext cx="548983" cy="5978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0</xdr:colOff>
      <xdr:row>24</xdr:row>
      <xdr:rowOff>21167</xdr:rowOff>
    </xdr:from>
    <xdr:to>
      <xdr:col>25</xdr:col>
      <xdr:colOff>210207</xdr:colOff>
      <xdr:row>43</xdr:row>
      <xdr:rowOff>91965</xdr:rowOff>
    </xdr:to>
    <xdr:graphicFrame macro="">
      <xdr:nvGraphicFramePr>
        <xdr:cNvPr id="2" name="Chart 1">
          <a:extLst>
            <a:ext uri="{FF2B5EF4-FFF2-40B4-BE49-F238E27FC236}">
              <a16:creationId xmlns:a16="http://schemas.microsoft.com/office/drawing/2014/main" id="{4301F495-99C0-4D62-992F-D1DBE2FBB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366888</xdr:colOff>
      <xdr:row>0</xdr:row>
      <xdr:rowOff>105103</xdr:rowOff>
    </xdr:from>
    <xdr:to>
      <xdr:col>27</xdr:col>
      <xdr:colOff>479777</xdr:colOff>
      <xdr:row>23</xdr:row>
      <xdr:rowOff>106680</xdr:rowOff>
    </xdr:to>
    <xdr:graphicFrame macro="">
      <xdr:nvGraphicFramePr>
        <xdr:cNvPr id="3" name="Chart 2">
          <a:extLst>
            <a:ext uri="{FF2B5EF4-FFF2-40B4-BE49-F238E27FC236}">
              <a16:creationId xmlns:a16="http://schemas.microsoft.com/office/drawing/2014/main" id="{CFB7B55B-66D3-4665-95DC-1B67A8D0A8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35168</xdr:colOff>
      <xdr:row>24</xdr:row>
      <xdr:rowOff>58616</xdr:rowOff>
    </xdr:from>
    <xdr:to>
      <xdr:col>9</xdr:col>
      <xdr:colOff>556845</xdr:colOff>
      <xdr:row>43</xdr:row>
      <xdr:rowOff>32426</xdr:rowOff>
    </xdr:to>
    <xdr:graphicFrame macro="">
      <xdr:nvGraphicFramePr>
        <xdr:cNvPr id="4" name="Chart 3">
          <a:extLst>
            <a:ext uri="{FF2B5EF4-FFF2-40B4-BE49-F238E27FC236}">
              <a16:creationId xmlns:a16="http://schemas.microsoft.com/office/drawing/2014/main" id="{0AB5DA72-A5E4-4AF6-813C-8D60AF65E9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18362</xdr:colOff>
      <xdr:row>8</xdr:row>
      <xdr:rowOff>163586</xdr:rowOff>
    </xdr:from>
    <xdr:to>
      <xdr:col>8</xdr:col>
      <xdr:colOff>566779</xdr:colOff>
      <xdr:row>22</xdr:row>
      <xdr:rowOff>174435</xdr:rowOff>
    </xdr:to>
    <xdr:graphicFrame macro="">
      <xdr:nvGraphicFramePr>
        <xdr:cNvPr id="11" name="Chart 10">
          <a:extLst>
            <a:ext uri="{FF2B5EF4-FFF2-40B4-BE49-F238E27FC236}">
              <a16:creationId xmlns:a16="http://schemas.microsoft.com/office/drawing/2014/main" id="{1D763EBD-8AD9-453B-82EB-C5CAABA72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273168</xdr:colOff>
      <xdr:row>0</xdr:row>
      <xdr:rowOff>129397</xdr:rowOff>
    </xdr:from>
    <xdr:to>
      <xdr:col>18</xdr:col>
      <xdr:colOff>244415</xdr:colOff>
      <xdr:row>23</xdr:row>
      <xdr:rowOff>100643</xdr:rowOff>
    </xdr:to>
    <xdr:graphicFrame macro="">
      <xdr:nvGraphicFramePr>
        <xdr:cNvPr id="17" name="Chart 16">
          <a:extLst>
            <a:ext uri="{FF2B5EF4-FFF2-40B4-BE49-F238E27FC236}">
              <a16:creationId xmlns:a16="http://schemas.microsoft.com/office/drawing/2014/main" id="{35BC14D1-7ED0-4405-A999-18135DC4C9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586153</xdr:colOff>
      <xdr:row>0</xdr:row>
      <xdr:rowOff>87922</xdr:rowOff>
    </xdr:from>
    <xdr:to>
      <xdr:col>35</xdr:col>
      <xdr:colOff>152400</xdr:colOff>
      <xdr:row>43</xdr:row>
      <xdr:rowOff>91439</xdr:rowOff>
    </xdr:to>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21986F4C-E60A-4BAC-86D2-D2DBC78CEC5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7045353" y="87922"/>
              <a:ext cx="4443047" cy="786735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25</xdr:col>
      <xdr:colOff>182233</xdr:colOff>
      <xdr:row>24</xdr:row>
      <xdr:rowOff>3266</xdr:rowOff>
    </xdr:from>
    <xdr:to>
      <xdr:col>27</xdr:col>
      <xdr:colOff>518809</xdr:colOff>
      <xdr:row>34</xdr:row>
      <xdr:rowOff>84668</xdr:rowOff>
    </xdr:to>
    <mc:AlternateContent xmlns:mc="http://schemas.openxmlformats.org/markup-compatibility/2006" xmlns:a14="http://schemas.microsoft.com/office/drawing/2010/main">
      <mc:Choice Requires="a14">
        <xdr:graphicFrame macro="">
          <xdr:nvGraphicFramePr>
            <xdr:cNvPr id="19" name="City 3">
              <a:extLst>
                <a:ext uri="{FF2B5EF4-FFF2-40B4-BE49-F238E27FC236}">
                  <a16:creationId xmlns:a16="http://schemas.microsoft.com/office/drawing/2014/main" id="{A3A1D73D-B813-464A-8C0B-334D0294C3D8}"/>
                </a:ext>
              </a:extLst>
            </xdr:cNvPr>
            <xdr:cNvGraphicFramePr/>
          </xdr:nvGraphicFramePr>
          <xdr:xfrm>
            <a:off x="0" y="0"/>
            <a:ext cx="0" cy="0"/>
          </xdr:xfrm>
          <a:graphic>
            <a:graphicData uri="http://schemas.microsoft.com/office/drawing/2010/slicer">
              <sle:slicer xmlns:sle="http://schemas.microsoft.com/office/drawing/2010/slicer" name="City 3"/>
            </a:graphicData>
          </a:graphic>
        </xdr:graphicFrame>
      </mc:Choice>
      <mc:Fallback xmlns="">
        <xdr:sp macro="" textlink="">
          <xdr:nvSpPr>
            <xdr:cNvPr id="0" name=""/>
            <xdr:cNvSpPr>
              <a:spLocks noTextEdit="1"/>
            </xdr:cNvSpPr>
          </xdr:nvSpPr>
          <xdr:spPr>
            <a:xfrm>
              <a:off x="15584361" y="4283436"/>
              <a:ext cx="1568746" cy="18648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240526</xdr:colOff>
      <xdr:row>24</xdr:row>
      <xdr:rowOff>138656</xdr:rowOff>
    </xdr:from>
    <xdr:to>
      <xdr:col>9</xdr:col>
      <xdr:colOff>424961</xdr:colOff>
      <xdr:row>29</xdr:row>
      <xdr:rowOff>19599</xdr:rowOff>
    </xdr:to>
    <xdr:pic>
      <xdr:nvPicPr>
        <xdr:cNvPr id="53" name="Picture 52">
          <a:extLst>
            <a:ext uri="{FF2B5EF4-FFF2-40B4-BE49-F238E27FC236}">
              <a16:creationId xmlns:a16="http://schemas.microsoft.com/office/drawing/2014/main" id="{BE5BBCD0-D174-AFB4-CC04-39851BA88BA1}"/>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164218" y="4358964"/>
          <a:ext cx="799897" cy="7601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435811</xdr:colOff>
      <xdr:row>2</xdr:row>
      <xdr:rowOff>51665</xdr:rowOff>
    </xdr:from>
    <xdr:to>
      <xdr:col>10</xdr:col>
      <xdr:colOff>575062</xdr:colOff>
      <xdr:row>6</xdr:row>
      <xdr:rowOff>69806</xdr:rowOff>
    </xdr:to>
    <xdr:pic>
      <xdr:nvPicPr>
        <xdr:cNvPr id="55" name="Picture 54">
          <a:extLst>
            <a:ext uri="{FF2B5EF4-FFF2-40B4-BE49-F238E27FC236}">
              <a16:creationId xmlns:a16="http://schemas.microsoft.com/office/drawing/2014/main" id="{CAF086C5-B220-A7C8-32D7-9DF392D005D5}"/>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974965" y="403357"/>
          <a:ext cx="754712" cy="7215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33</xdr:col>
      <xdr:colOff>442401</xdr:colOff>
      <xdr:row>1</xdr:row>
      <xdr:rowOff>34325</xdr:rowOff>
    </xdr:from>
    <xdr:to>
      <xdr:col>35</xdr:col>
      <xdr:colOff>42334</xdr:colOff>
      <xdr:row>5</xdr:row>
      <xdr:rowOff>42334</xdr:rowOff>
    </xdr:to>
    <xdr:pic>
      <xdr:nvPicPr>
        <xdr:cNvPr id="52" name="Picture 51">
          <a:extLst>
            <a:ext uri="{FF2B5EF4-FFF2-40B4-BE49-F238E27FC236}">
              <a16:creationId xmlns:a16="http://schemas.microsoft.com/office/drawing/2014/main" id="{D36AC7C7-D4B4-C78D-6104-6C7D220CB823}"/>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20466068" y="217769"/>
          <a:ext cx="813488" cy="741787"/>
        </a:xfrm>
        <a:prstGeom prst="rect">
          <a:avLst/>
        </a:prstGeom>
        <a:solidFill>
          <a:srgbClr val="61314B"/>
        </a:solidFill>
      </xdr:spPr>
    </xdr:pic>
    <xdr:clientData/>
  </xdr:twoCellAnchor>
  <xdr:twoCellAnchor editAs="oneCell">
    <xdr:from>
      <xdr:col>7</xdr:col>
      <xdr:colOff>328246</xdr:colOff>
      <xdr:row>9</xdr:row>
      <xdr:rowOff>187568</xdr:rowOff>
    </xdr:from>
    <xdr:to>
      <xdr:col>8</xdr:col>
      <xdr:colOff>290504</xdr:colOff>
      <xdr:row>13</xdr:row>
      <xdr:rowOff>23445</xdr:rowOff>
    </xdr:to>
    <xdr:pic>
      <xdr:nvPicPr>
        <xdr:cNvPr id="59" name="Picture 58">
          <a:extLst>
            <a:ext uri="{FF2B5EF4-FFF2-40B4-BE49-F238E27FC236}">
              <a16:creationId xmlns:a16="http://schemas.microsoft.com/office/drawing/2014/main" id="{5876BE4B-4C30-F4CB-6CBB-8600F5CFA561}"/>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4595446" y="1875691"/>
          <a:ext cx="571858" cy="5861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486915</xdr:colOff>
      <xdr:row>24</xdr:row>
      <xdr:rowOff>41523</xdr:rowOff>
    </xdr:from>
    <xdr:to>
      <xdr:col>25</xdr:col>
      <xdr:colOff>23680</xdr:colOff>
      <xdr:row>27</xdr:row>
      <xdr:rowOff>73981</xdr:rowOff>
    </xdr:to>
    <xdr:pic>
      <xdr:nvPicPr>
        <xdr:cNvPr id="21" name="Picture 20">
          <a:extLst>
            <a:ext uri="{FF2B5EF4-FFF2-40B4-BE49-F238E27FC236}">
              <a16:creationId xmlns:a16="http://schemas.microsoft.com/office/drawing/2014/main" id="{00BF6BD0-FC5F-FE8B-BEAB-9E421007F49D}"/>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14386846" y="4455868"/>
          <a:ext cx="745455" cy="5842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407275</xdr:colOff>
      <xdr:row>0</xdr:row>
      <xdr:rowOff>144516</xdr:rowOff>
    </xdr:from>
    <xdr:to>
      <xdr:col>19</xdr:col>
      <xdr:colOff>385775</xdr:colOff>
      <xdr:row>4</xdr:row>
      <xdr:rowOff>5589</xdr:rowOff>
    </xdr:to>
    <xdr:pic>
      <xdr:nvPicPr>
        <xdr:cNvPr id="22" name="Picture 21">
          <a:extLst>
            <a:ext uri="{FF2B5EF4-FFF2-40B4-BE49-F238E27FC236}">
              <a16:creationId xmlns:a16="http://schemas.microsoft.com/office/drawing/2014/main" id="{8E7AA132-C9E9-D06C-E702-A8EACB8BAD9B}"/>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1285482" y="144516"/>
          <a:ext cx="582845" cy="5912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324256</xdr:colOff>
      <xdr:row>35</xdr:row>
      <xdr:rowOff>97278</xdr:rowOff>
    </xdr:from>
    <xdr:to>
      <xdr:col>27</xdr:col>
      <xdr:colOff>519374</xdr:colOff>
      <xdr:row>43</xdr:row>
      <xdr:rowOff>48639</xdr:rowOff>
    </xdr:to>
    <xdr:pic>
      <xdr:nvPicPr>
        <xdr:cNvPr id="25" name="Picture 24">
          <a:extLst>
            <a:ext uri="{FF2B5EF4-FFF2-40B4-BE49-F238E27FC236}">
              <a16:creationId xmlns:a16="http://schemas.microsoft.com/office/drawing/2014/main" id="{6BC379A9-20E8-749A-0787-B4ECE39FC906}"/>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15726384" y="6339193"/>
          <a:ext cx="1427288" cy="13780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akrishna" refreshedDate="46115.656909259262" createdVersion="8" refreshedVersion="8" minRefreshableVersion="3" recordCount="200" xr:uid="{0FBED96F-5BD6-43D6-8596-1157E47AB77F}">
  <cacheSource type="worksheet">
    <worksheetSource ref="B4:B204" sheet="input_data"/>
  </cacheSource>
  <cacheFields count="22">
    <cacheField name="Customer_ID" numFmtId="0">
      <sharedItems/>
    </cacheField>
    <cacheField name="Platform" numFmtId="0">
      <sharedItems/>
    </cacheField>
    <cacheField name="Item_Type" numFmtId="0">
      <sharedItems count="4">
        <s v="Fashion"/>
        <s v="Beauty"/>
        <s v="Electronics"/>
        <s v="Home"/>
      </sharedItems>
    </cacheField>
    <cacheField name="Quantity" numFmtId="0">
      <sharedItems containsSemiMixedTypes="0" containsString="0" containsNumber="1" containsInteger="1" minValue="1" maxValue="9"/>
    </cacheField>
    <cacheField name="Cost" numFmtId="0">
      <sharedItems containsSemiMixedTypes="0" containsString="0" containsNumber="1" minValue="76.64" maxValue="2980.34"/>
    </cacheField>
    <cacheField name="Orders" numFmtId="0">
      <sharedItems containsSemiMixedTypes="0" containsString="0" containsNumber="1" containsInteger="1" minValue="1" maxValue="99"/>
    </cacheField>
    <cacheField name="Payment_Method" numFmtId="0">
      <sharedItems/>
    </cacheField>
    <cacheField name="Return_Type" numFmtId="0">
      <sharedItems/>
    </cacheField>
    <cacheField name="City" numFmtId="0">
      <sharedItems count="5">
        <s v="Delhi"/>
        <s v="Chennai"/>
        <s v="Hyderabad"/>
        <s v="Bangalore"/>
        <s v="Mumbai"/>
      </sharedItems>
    </cacheField>
    <cacheField name="Jan_Sales" numFmtId="0">
      <sharedItems containsSemiMixedTypes="0" containsString="0" containsNumber="1" containsInteger="1" minValue="1034" maxValue="49349"/>
    </cacheField>
    <cacheField name="Feb_Sales" numFmtId="0">
      <sharedItems containsSemiMixedTypes="0" containsString="0" containsNumber="1" containsInteger="1" minValue="1037" maxValue="49943"/>
    </cacheField>
    <cacheField name="Mar_Sales" numFmtId="0">
      <sharedItems containsSemiMixedTypes="0" containsString="0" containsNumber="1" containsInteger="1" minValue="1338" maxValue="49627"/>
    </cacheField>
    <cacheField name="Apr_Sales" numFmtId="0">
      <sharedItems containsSemiMixedTypes="0" containsString="0" containsNumber="1" containsInteger="1" minValue="1140" maxValue="49965"/>
    </cacheField>
    <cacheField name="May_Sales" numFmtId="0">
      <sharedItems containsSemiMixedTypes="0" containsString="0" containsNumber="1" containsInteger="1" minValue="1237" maxValue="49943"/>
    </cacheField>
    <cacheField name="Jun_Sales" numFmtId="0">
      <sharedItems containsSemiMixedTypes="0" containsString="0" containsNumber="1" containsInteger="1" minValue="1146" maxValue="49836"/>
    </cacheField>
    <cacheField name="Jul_Sales" numFmtId="0">
      <sharedItems containsSemiMixedTypes="0" containsString="0" containsNumber="1" containsInteger="1" minValue="1032" maxValue="49971"/>
    </cacheField>
    <cacheField name="Aug_Sales" numFmtId="0">
      <sharedItems containsSemiMixedTypes="0" containsString="0" containsNumber="1" containsInteger="1" minValue="1118" maxValue="49987"/>
    </cacheField>
    <cacheField name="Sep_Sales" numFmtId="0">
      <sharedItems containsSemiMixedTypes="0" containsString="0" containsNumber="1" containsInteger="1" minValue="1135" maxValue="49479"/>
    </cacheField>
    <cacheField name="Oct_Sales" numFmtId="0">
      <sharedItems containsSemiMixedTypes="0" containsString="0" containsNumber="1" containsInteger="1" minValue="1049" maxValue="49295"/>
    </cacheField>
    <cacheField name="Nov_Sales" numFmtId="0">
      <sharedItems containsSemiMixedTypes="0" containsString="0" containsNumber="1" containsInteger="1" minValue="1049" maxValue="49799"/>
    </cacheField>
    <cacheField name="Dec_Sales" numFmtId="0">
      <sharedItems containsSemiMixedTypes="0" containsString="0" containsNumber="1" containsInteger="1" minValue="1142" maxValue="49925"/>
    </cacheField>
    <cacheField name="total_sales " numFmtId="0">
      <sharedItems containsSemiMixedTypes="0" containsString="0" containsNumber="1" containsInteger="1" minValue="187209" maxValue="46413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akrishna" refreshedDate="46116.007710995371" createdVersion="8" refreshedVersion="8" minRefreshableVersion="3" recordCount="12" xr:uid="{F6F0321F-3009-41A4-BD51-43D4EDF291BD}">
  <cacheSource type="worksheet">
    <worksheetSource ref="P1:S13" sheet="Sheet1"/>
  </cacheSource>
  <cacheFields count="4">
    <cacheField name="Profit_mounth" numFmtId="0">
      <sharedItems count="12">
        <s v="jan"/>
        <s v="feb"/>
        <s v="mar"/>
        <s v="apr"/>
        <s v="may"/>
        <s v="jun"/>
        <s v="jul"/>
        <s v="aug"/>
        <s v="sep"/>
        <s v="oct"/>
        <s v="nov"/>
        <s v="dec"/>
      </sharedItems>
    </cacheField>
    <cacheField name="total_sales " numFmtId="0">
      <sharedItems containsSemiMixedTypes="0" containsString="0" containsNumber="1" containsInteger="1" minValue="5055445" maxValue="5368759"/>
    </cacheField>
    <cacheField name="quntity_mountly" numFmtId="0">
      <sharedItems containsSemiMixedTypes="0" containsString="0" containsNumber="1" containsInteger="1" minValue="730" maxValue="890"/>
    </cacheField>
    <cacheField name="Profit by Month" numFmtId="0">
      <sharedItems containsSemiMixedTypes="0" containsString="0" containsNumber="1" minValue="1263861.25" maxValue="1342189.75" count="12">
        <n v="1322593.5"/>
        <n v="1310418.5"/>
        <n v="1339621"/>
        <n v="1321068.75"/>
        <n v="1281270.25"/>
        <n v="1279131.75"/>
        <n v="1282463.75"/>
        <n v="1304785.5"/>
        <n v="1270226.5"/>
        <n v="1263861.25"/>
        <n v="1288901.75"/>
        <n v="1342189.75"/>
      </sharedItems>
    </cacheField>
  </cacheFields>
  <extLst>
    <ext xmlns:x14="http://schemas.microsoft.com/office/spreadsheetml/2009/9/main" uri="{725AE2AE-9491-48be-B2B4-4EB974FC3084}">
      <x14:pivotCacheDefinition pivotCacheId="34063601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akrishna" refreshedDate="46122.843480439813" createdVersion="8" refreshedVersion="8" minRefreshableVersion="3" recordCount="200" xr:uid="{BFEF1A8A-76C2-4037-AC5E-FDB408AE4DD0}">
  <cacheSource type="worksheet">
    <worksheetSource ref="A1:X201" sheet="Input_data3"/>
  </cacheSource>
  <cacheFields count="25">
    <cacheField name="jan" numFmtId="0">
      <sharedItems containsSemiMixedTypes="0" containsString="0" containsNumber="1" containsInteger="1" minValue="-1616" maxValue="46699"/>
    </cacheField>
    <cacheField name="feb" numFmtId="0">
      <sharedItems containsSemiMixedTypes="0" containsString="0" containsNumber="1" containsInteger="1" minValue="-7963" maxValue="40943"/>
    </cacheField>
    <cacheField name="mar" numFmtId="0">
      <sharedItems containsSemiMixedTypes="0" containsString="0" containsNumber="1" containsInteger="1" minValue="-3562" maxValue="44727"/>
    </cacheField>
    <cacheField name="apr" numFmtId="0">
      <sharedItems containsSemiMixedTypes="0" containsString="0" containsNumber="1" containsInteger="1" minValue="-5760" maxValue="43065"/>
    </cacheField>
    <cacheField name="may" numFmtId="0">
      <sharedItems containsSemiMixedTypes="0" containsString="0" containsNumber="1" containsInteger="1" minValue="-2663" maxValue="46043"/>
    </cacheField>
    <cacheField name="jun" numFmtId="0">
      <sharedItems containsSemiMixedTypes="0" containsString="0" containsNumber="1" containsInteger="1" minValue="-254" maxValue="48436"/>
    </cacheField>
    <cacheField name="jul" numFmtId="0">
      <sharedItems containsSemiMixedTypes="0" containsString="0" containsNumber="1" containsInteger="1" minValue="-9868" maxValue="39071"/>
    </cacheField>
    <cacheField name="aug" numFmtId="0">
      <sharedItems containsSemiMixedTypes="0" containsString="0" containsNumber="1" containsInteger="1" minValue="-7782" maxValue="41087"/>
    </cacheField>
    <cacheField name="sep" numFmtId="0">
      <sharedItems containsSemiMixedTypes="0" containsString="0" containsNumber="1" containsInteger="1" minValue="35" maxValue="48379"/>
    </cacheField>
    <cacheField name="oct" numFmtId="0">
      <sharedItems containsSemiMixedTypes="0" containsString="0" containsNumber="1" containsInteger="1" minValue="-7651" maxValue="40595"/>
    </cacheField>
    <cacheField name="nov" numFmtId="0">
      <sharedItems containsSemiMixedTypes="0" containsString="0" containsNumber="1" containsInteger="1" minValue="-1151" maxValue="47599"/>
    </cacheField>
    <cacheField name="dec" numFmtId="0">
      <sharedItems containsSemiMixedTypes="0" containsString="0" containsNumber="1" containsInteger="1" minValue="-758" maxValue="48025"/>
    </cacheField>
    <cacheField name="country" numFmtId="0">
      <sharedItems/>
    </cacheField>
    <cacheField name="City" numFmtId="0">
      <sharedItems count="5">
        <s v="Delhi"/>
        <s v="Chennai"/>
        <s v="Hyderabad"/>
        <s v="Bangalore"/>
        <s v="Mumbai"/>
      </sharedItems>
    </cacheField>
    <cacheField name="state" numFmtId="0">
      <sharedItems count="6">
        <s v="Delhi"/>
        <s v="Tamil Nadu"/>
        <s v="Telangana"/>
        <s v="Karnataka"/>
        <s v="Maharashtra"/>
        <s v="Delhi (NCT)" u="1"/>
      </sharedItems>
    </cacheField>
    <cacheField name="Platform" numFmtId="0">
      <sharedItems count="4">
        <s v="AJIO"/>
        <s v="Snapdeal"/>
        <s v="Flipkart"/>
        <s v="Amazon"/>
      </sharedItems>
    </cacheField>
    <cacheField name="Payment_Method" numFmtId="0">
      <sharedItems count="4">
        <s v="Credit Card"/>
        <s v="Debit Card"/>
        <s v="UPI"/>
        <s v="Cash on Delivery"/>
      </sharedItems>
    </cacheField>
    <cacheField name="vendors_ID" numFmtId="0">
      <sharedItems/>
    </cacheField>
    <cacheField name="Item_Type" numFmtId="0">
      <sharedItems count="4">
        <s v="Fashion"/>
        <s v="Beauty"/>
        <s v="Electronics"/>
        <s v="Home"/>
      </sharedItems>
    </cacheField>
    <cacheField name="Cost" numFmtId="0">
      <sharedItems containsSemiMixedTypes="0" containsString="0" containsNumber="1" minValue="76.64" maxValue="2980.34"/>
    </cacheField>
    <cacheField name="unit_Quantity" numFmtId="0">
      <sharedItems containsSemiMixedTypes="0" containsString="0" containsNumber="1" containsInteger="1" minValue="1" maxValue="99"/>
    </cacheField>
    <cacheField name="Return_Type" numFmtId="0">
      <sharedItems count="4">
        <s v="Exchanges"/>
        <s v="Replacements"/>
        <s v="Refunds"/>
        <s v="Warranties"/>
      </sharedItems>
    </cacheField>
    <cacheField name="Quantity_city" numFmtId="0">
      <sharedItems containsSemiMixedTypes="0" containsString="0" containsNumber="1" containsInteger="1" minValue="10560" maxValue="10658"/>
    </cacheField>
    <cacheField name="Profit" numFmtId="0">
      <sharedItems containsSemiMixedTypes="0" containsString="0" containsNumber="1" minValue="1117579.3" maxValue="3580063.66"/>
    </cacheField>
    <cacheField name="total_sales_per_month" numFmtId="0" formula=" 0" databaseField="0"/>
  </cacheFields>
  <extLst>
    <ext xmlns:x14="http://schemas.microsoft.com/office/spreadsheetml/2009/9/main" uri="{725AE2AE-9491-48be-B2B4-4EB974FC3084}">
      <x14:pivotCacheDefinition pivotCacheId="1096451568"/>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akrishna" refreshedDate="46122.843481481483" createdVersion="8" refreshedVersion="8" minRefreshableVersion="3" recordCount="12" xr:uid="{DC5845CC-FC3E-42AB-A32D-B3CC1917EA8F}">
  <cacheSource type="worksheet">
    <worksheetSource ref="AP4:AT16" sheet="input_data"/>
  </cacheSource>
  <cacheFields count="5">
    <cacheField name="quntity_monthly" numFmtId="0">
      <sharedItems containsSemiMixedTypes="0" containsString="0" containsNumber="1" containsInteger="1" minValue="110860" maxValue="228900"/>
    </cacheField>
    <cacheField name="months" numFmtId="0">
      <sharedItems count="12">
        <s v="jan"/>
        <s v="feb"/>
        <s v="mar"/>
        <s v="apr"/>
        <s v="may"/>
        <s v="jun"/>
        <s v="jul"/>
        <s v="aug"/>
        <s v="sep"/>
        <s v="oct"/>
        <s v="nov"/>
        <s v="dec"/>
      </sharedItems>
    </cacheField>
    <cacheField name="total_sales monthly" numFmtId="164">
      <sharedItems containsSemiMixedTypes="0" containsString="0" containsNumber="1" containsInteger="1" minValue="5055445" maxValue="5368759"/>
    </cacheField>
    <cacheField name="Anual _total  Profit" numFmtId="164">
      <sharedItems containsSemiMixedTypes="0" containsString="0" containsNumber="1" minValue="1116480.92710377" maxValue="3655712.0356729799"/>
    </cacheField>
    <cacheField name="Annual_Profit percentage" numFmtId="9">
      <sharedItems containsSemiMixedTypes="0" containsString="0" containsNumber="1" minValue="0.22543590633633931" maxValue="0.37508895374963902"/>
    </cacheField>
  </cacheFields>
  <extLst>
    <ext xmlns:x14="http://schemas.microsoft.com/office/spreadsheetml/2009/9/main" uri="{725AE2AE-9491-48be-B2B4-4EB974FC3084}">
      <x14:pivotCacheDefinition pivotCacheId="158844118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akrishna" refreshedDate="46122.843481597221" createdVersion="8" refreshedVersion="8" minRefreshableVersion="3" recordCount="200" xr:uid="{07EEB85F-090D-43DD-92DB-C8366020DA11}">
  <cacheSource type="worksheet">
    <worksheetSource ref="A1:I201" sheet="Input_data1"/>
  </cacheSource>
  <cacheFields count="9">
    <cacheField name="vendors_ID" numFmtId="0">
      <sharedItems/>
    </cacheField>
    <cacheField name="Platform" numFmtId="0">
      <sharedItems/>
    </cacheField>
    <cacheField name="Item_Type" numFmtId="0">
      <sharedItems/>
    </cacheField>
    <cacheField name="Cost" numFmtId="0">
      <sharedItems containsSemiMixedTypes="0" containsString="0" containsNumber="1" minValue="76.64" maxValue="2980.34"/>
    </cacheField>
    <cacheField name="Quantity" numFmtId="0">
      <sharedItems containsSemiMixedTypes="0" containsString="0" containsNumber="1" containsInteger="1" minValue="1" maxValue="99"/>
    </cacheField>
    <cacheField name="Payment_Method" numFmtId="0">
      <sharedItems count="4">
        <s v="Credit Card"/>
        <s v="Debit Card"/>
        <s v="UPI"/>
        <s v="Cash on Delivery"/>
      </sharedItems>
    </cacheField>
    <cacheField name="Return_Type" numFmtId="0">
      <sharedItems count="4">
        <s v="Exchanges"/>
        <s v="Replacements"/>
        <s v="Refunds"/>
        <s v="Warranties"/>
      </sharedItems>
    </cacheField>
    <cacheField name="City" numFmtId="0">
      <sharedItems count="5">
        <s v="Delhi"/>
        <s v="Chennai"/>
        <s v="Hyderabad"/>
        <s v="Bangalore"/>
        <s v="Mumbai"/>
      </sharedItems>
    </cacheField>
    <cacheField name="Quantity_city" numFmtId="0">
      <sharedItems containsSemiMixedTypes="0" containsString="0" containsNumber="1" containsInteger="1" minValue="10560" maxValue="10658"/>
    </cacheField>
  </cacheFields>
  <extLst>
    <ext xmlns:x14="http://schemas.microsoft.com/office/spreadsheetml/2009/9/main" uri="{725AE2AE-9491-48be-B2B4-4EB974FC3084}">
      <x14:pivotCacheDefinition pivotCacheId="7416724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202"/>
    <s v="AJIO"/>
    <x v="0"/>
    <n v="1"/>
    <n v="2219.2800000000002"/>
    <n v="47"/>
    <s v="Credit Card"/>
    <s v="Exchanges"/>
    <x v="0"/>
    <n v="24115"/>
    <n v="32462"/>
    <n v="48259"/>
    <n v="15394"/>
    <n v="25312"/>
    <n v="38904"/>
    <n v="49437"/>
    <n v="24642"/>
    <n v="35004"/>
    <n v="42603"/>
    <n v="3347"/>
    <n v="40737"/>
    <n v="380216"/>
  </r>
  <r>
    <s v="CUST535"/>
    <s v="Snapdeal"/>
    <x v="1"/>
    <n v="5"/>
    <n v="2314.79"/>
    <n v="64"/>
    <s v="Debit Card"/>
    <s v="Exchanges"/>
    <x v="1"/>
    <n v="41887"/>
    <n v="48561"/>
    <n v="38835"/>
    <n v="17855"/>
    <n v="5013"/>
    <n v="8356"/>
    <n v="20358"/>
    <n v="38147"/>
    <n v="15592"/>
    <n v="13627"/>
    <n v="47894"/>
    <n v="35454"/>
    <n v="331579"/>
  </r>
  <r>
    <s v="CUST960"/>
    <s v="AJIO"/>
    <x v="2"/>
    <n v="4"/>
    <n v="1539.29"/>
    <n v="31"/>
    <s v="UPI"/>
    <s v="Exchanges"/>
    <x v="2"/>
    <n v="32734"/>
    <n v="41747"/>
    <n v="7183"/>
    <n v="13853"/>
    <n v="19403"/>
    <n v="24483"/>
    <n v="42632"/>
    <n v="43382"/>
    <n v="33773"/>
    <n v="32651"/>
    <n v="4020"/>
    <n v="4742"/>
    <n v="300603"/>
  </r>
  <r>
    <s v="CUST370"/>
    <s v="Snapdeal"/>
    <x v="0"/>
    <n v="8"/>
    <n v="1652.74"/>
    <n v="96"/>
    <s v="Credit Card"/>
    <s v="Replacements"/>
    <x v="3"/>
    <n v="26113"/>
    <n v="28206"/>
    <n v="45224"/>
    <n v="44670"/>
    <n v="14921"/>
    <n v="5100"/>
    <n v="28377"/>
    <n v="39765"/>
    <n v="40169"/>
    <n v="8920"/>
    <n v="12590"/>
    <n v="22561"/>
    <n v="316616"/>
  </r>
  <r>
    <s v="CUST206"/>
    <s v="Flipkart"/>
    <x v="0"/>
    <n v="1"/>
    <n v="1566.29"/>
    <n v="38"/>
    <s v="Debit Card"/>
    <s v="Refunds"/>
    <x v="2"/>
    <n v="34638"/>
    <n v="29892"/>
    <n v="8486"/>
    <n v="7773"/>
    <n v="29574"/>
    <n v="12507"/>
    <n v="20160"/>
    <n v="23217"/>
    <n v="32313"/>
    <n v="11015"/>
    <n v="8434"/>
    <n v="13179"/>
    <n v="231188"/>
  </r>
  <r>
    <s v="CUST171"/>
    <s v="Snapdeal"/>
    <x v="0"/>
    <n v="1"/>
    <n v="1784.77"/>
    <n v="86"/>
    <s v="Credit Card"/>
    <s v="Warranties"/>
    <x v="3"/>
    <n v="35478"/>
    <n v="31702"/>
    <n v="47216"/>
    <n v="28755"/>
    <n v="26882"/>
    <n v="39080"/>
    <n v="33482"/>
    <n v="31172"/>
    <n v="43662"/>
    <n v="32731"/>
    <n v="41881"/>
    <n v="2620"/>
    <n v="394661"/>
  </r>
  <r>
    <s v="CUST800"/>
    <s v="Snapdeal"/>
    <x v="0"/>
    <n v="4"/>
    <n v="136.71"/>
    <n v="86"/>
    <s v="Cash on Delivery"/>
    <s v="Warranties"/>
    <x v="2"/>
    <n v="34937"/>
    <n v="13186"/>
    <n v="36136"/>
    <n v="6455"/>
    <n v="23615"/>
    <n v="23895"/>
    <n v="13675"/>
    <n v="22742"/>
    <n v="10972"/>
    <n v="46234"/>
    <n v="4448"/>
    <n v="7408"/>
    <n v="243703"/>
  </r>
  <r>
    <s v="CUST120"/>
    <s v="Snapdeal"/>
    <x v="0"/>
    <n v="8"/>
    <n v="1216.77"/>
    <n v="61"/>
    <s v="Debit Card"/>
    <s v="Refunds"/>
    <x v="1"/>
    <n v="39818"/>
    <n v="5611"/>
    <n v="41878"/>
    <n v="11386"/>
    <n v="47009"/>
    <n v="43333"/>
    <n v="2591"/>
    <n v="21063"/>
    <n v="5410"/>
    <n v="41478"/>
    <n v="40225"/>
    <n v="40153"/>
    <n v="339955"/>
  </r>
  <r>
    <s v="CUST714"/>
    <s v="Amazon"/>
    <x v="3"/>
    <n v="5"/>
    <n v="1838.26"/>
    <n v="52"/>
    <s v="UPI"/>
    <s v="Refunds"/>
    <x v="3"/>
    <n v="28053"/>
    <n v="20017"/>
    <n v="33534"/>
    <n v="33158"/>
    <n v="41964"/>
    <n v="4278"/>
    <n v="46341"/>
    <n v="29976"/>
    <n v="45231"/>
    <n v="40930"/>
    <n v="42711"/>
    <n v="49667"/>
    <n v="415860"/>
  </r>
  <r>
    <s v="CUST221"/>
    <s v="AJIO"/>
    <x v="2"/>
    <n v="2"/>
    <n v="1813.28"/>
    <n v="6"/>
    <s v="UPI"/>
    <s v="Refunds"/>
    <x v="0"/>
    <n v="13605"/>
    <n v="15531"/>
    <n v="23751"/>
    <n v="38554"/>
    <n v="23251"/>
    <n v="48956"/>
    <n v="36954"/>
    <n v="23465"/>
    <n v="9516"/>
    <n v="26435"/>
    <n v="30008"/>
    <n v="16465"/>
    <n v="306491"/>
  </r>
  <r>
    <s v="CUST566"/>
    <s v="Snapdeal"/>
    <x v="3"/>
    <n v="6"/>
    <n v="2389.2199999999998"/>
    <n v="81"/>
    <s v="UPI"/>
    <s v="Refunds"/>
    <x v="2"/>
    <n v="6773"/>
    <n v="34707"/>
    <n v="44576"/>
    <n v="31855"/>
    <n v="2150"/>
    <n v="7312"/>
    <n v="34806"/>
    <n v="11734"/>
    <n v="9378"/>
    <n v="16574"/>
    <n v="38534"/>
    <n v="49640"/>
    <n v="288039"/>
  </r>
  <r>
    <s v="CUST314"/>
    <s v="Snapdeal"/>
    <x v="1"/>
    <n v="5"/>
    <n v="1982.28"/>
    <n v="1"/>
    <s v="UPI"/>
    <s v="Replacements"/>
    <x v="2"/>
    <n v="36172"/>
    <n v="42993"/>
    <n v="38679"/>
    <n v="40121"/>
    <n v="49288"/>
    <n v="19373"/>
    <n v="16764"/>
    <n v="13263"/>
    <n v="29535"/>
    <n v="4395"/>
    <n v="13818"/>
    <n v="32342"/>
    <n v="336743"/>
  </r>
  <r>
    <s v="CUST430"/>
    <s v="Amazon"/>
    <x v="0"/>
    <n v="2"/>
    <n v="2976.79"/>
    <n v="16"/>
    <s v="Credit Card"/>
    <s v="Warranties"/>
    <x v="3"/>
    <n v="31527"/>
    <n v="37985"/>
    <n v="16490"/>
    <n v="47719"/>
    <n v="39917"/>
    <n v="2214"/>
    <n v="26930"/>
    <n v="44412"/>
    <n v="26570"/>
    <n v="18179"/>
    <n v="4763"/>
    <n v="37155"/>
    <n v="333861"/>
  </r>
  <r>
    <s v="CUST558"/>
    <s v="Snapdeal"/>
    <x v="2"/>
    <n v="3"/>
    <n v="887.37"/>
    <n v="77"/>
    <s v="Credit Card"/>
    <s v="Exchanges"/>
    <x v="0"/>
    <n v="41912"/>
    <n v="16771"/>
    <n v="12305"/>
    <n v="35219"/>
    <n v="20346"/>
    <n v="10684"/>
    <n v="26678"/>
    <n v="9922"/>
    <n v="45312"/>
    <n v="9709"/>
    <n v="31339"/>
    <n v="22965"/>
    <n v="283162"/>
  </r>
  <r>
    <s v="CUST187"/>
    <s v="Flipkart"/>
    <x v="0"/>
    <n v="9"/>
    <n v="1109.5"/>
    <n v="74"/>
    <s v="UPI"/>
    <s v="Exchanges"/>
    <x v="0"/>
    <n v="25856"/>
    <n v="37813"/>
    <n v="45201"/>
    <n v="37671"/>
    <n v="47469"/>
    <n v="47840"/>
    <n v="46207"/>
    <n v="26801"/>
    <n v="3162"/>
    <n v="22252"/>
    <n v="5510"/>
    <n v="12646"/>
    <n v="358428"/>
  </r>
  <r>
    <s v="CUST472"/>
    <s v="Amazon"/>
    <x v="2"/>
    <n v="7"/>
    <n v="1182.3499999999999"/>
    <n v="57"/>
    <s v="UPI"/>
    <s v="Replacements"/>
    <x v="1"/>
    <n v="49192"/>
    <n v="25921"/>
    <n v="9625"/>
    <n v="35046"/>
    <n v="12944"/>
    <n v="17604"/>
    <n v="27798"/>
    <n v="21156"/>
    <n v="41252"/>
    <n v="2820"/>
    <n v="11062"/>
    <n v="39234"/>
    <n v="293654"/>
  </r>
  <r>
    <s v="CUST199"/>
    <s v="Snapdeal"/>
    <x v="3"/>
    <n v="7"/>
    <n v="1424.15"/>
    <n v="49"/>
    <s v="UPI"/>
    <s v="Warranties"/>
    <x v="0"/>
    <n v="35125"/>
    <n v="26672"/>
    <n v="9759"/>
    <n v="48378"/>
    <n v="41765"/>
    <n v="24631"/>
    <n v="48129"/>
    <n v="1718"/>
    <n v="26293"/>
    <n v="18062"/>
    <n v="1756"/>
    <n v="34542"/>
    <n v="316830"/>
  </r>
  <r>
    <s v="CUST971"/>
    <s v="Snapdeal"/>
    <x v="2"/>
    <n v="6"/>
    <n v="2516.19"/>
    <n v="82"/>
    <s v="Credit Card"/>
    <s v="Refunds"/>
    <x v="0"/>
    <n v="29004"/>
    <n v="48077"/>
    <n v="24981"/>
    <n v="49053"/>
    <n v="3763"/>
    <n v="24217"/>
    <n v="45012"/>
    <n v="6256"/>
    <n v="39216"/>
    <n v="28246"/>
    <n v="34503"/>
    <n v="33440"/>
    <n v="365768"/>
  </r>
  <r>
    <s v="CUST763"/>
    <s v="Snapdeal"/>
    <x v="1"/>
    <n v="8"/>
    <n v="745.59"/>
    <n v="73"/>
    <s v="UPI"/>
    <s v="Replacements"/>
    <x v="0"/>
    <n v="44127"/>
    <n v="11976"/>
    <n v="9890"/>
    <n v="25792"/>
    <n v="28846"/>
    <n v="8611"/>
    <n v="4721"/>
    <n v="14860"/>
    <n v="1369"/>
    <n v="38919"/>
    <n v="8184"/>
    <n v="8659"/>
    <n v="205954"/>
  </r>
  <r>
    <s v="CUST230"/>
    <s v="AJIO"/>
    <x v="1"/>
    <n v="4"/>
    <n v="2339.1999999999998"/>
    <n v="18"/>
    <s v="UPI"/>
    <s v="Replacements"/>
    <x v="4"/>
    <n v="33626"/>
    <n v="17152"/>
    <n v="25220"/>
    <n v="48373"/>
    <n v="11284"/>
    <n v="11925"/>
    <n v="5740"/>
    <n v="39898"/>
    <n v="28655"/>
    <n v="5168"/>
    <n v="39969"/>
    <n v="27324"/>
    <n v="294334"/>
  </r>
  <r>
    <s v="CUST761"/>
    <s v="Amazon"/>
    <x v="2"/>
    <n v="8"/>
    <n v="1245.67"/>
    <n v="78"/>
    <s v="Cash on Delivery"/>
    <s v="Refunds"/>
    <x v="1"/>
    <n v="5172"/>
    <n v="22911"/>
    <n v="40956"/>
    <n v="6122"/>
    <n v="45853"/>
    <n v="10293"/>
    <n v="41364"/>
    <n v="24396"/>
    <n v="26802"/>
    <n v="5304"/>
    <n v="32123"/>
    <n v="34143"/>
    <n v="295439"/>
  </r>
  <r>
    <s v="CUST408"/>
    <s v="Flipkart"/>
    <x v="2"/>
    <n v="4"/>
    <n v="1825.47"/>
    <n v="67"/>
    <s v="Cash on Delivery"/>
    <s v="Warranties"/>
    <x v="2"/>
    <n v="49059"/>
    <n v="8944"/>
    <n v="17661"/>
    <n v="3031"/>
    <n v="32105"/>
    <n v="5864"/>
    <n v="17805"/>
    <n v="25583"/>
    <n v="30701"/>
    <n v="8800"/>
    <n v="38051"/>
    <n v="7218"/>
    <n v="244822"/>
  </r>
  <r>
    <s v="CUST869"/>
    <s v="AJIO"/>
    <x v="2"/>
    <n v="8"/>
    <n v="1915.99"/>
    <n v="78"/>
    <s v="UPI"/>
    <s v="Warranties"/>
    <x v="3"/>
    <n v="48258"/>
    <n v="46564"/>
    <n v="15954"/>
    <n v="36322"/>
    <n v="3783"/>
    <n v="39743"/>
    <n v="31048"/>
    <n v="36211"/>
    <n v="26283"/>
    <n v="31722"/>
    <n v="37558"/>
    <n v="49925"/>
    <n v="403371"/>
  </r>
  <r>
    <s v="CUST443"/>
    <s v="Flipkart"/>
    <x v="2"/>
    <n v="9"/>
    <n v="1149.9000000000001"/>
    <n v="14"/>
    <s v="Debit Card"/>
    <s v="Exchanges"/>
    <x v="2"/>
    <n v="5681"/>
    <n v="24329"/>
    <n v="39584"/>
    <n v="9231"/>
    <n v="2861"/>
    <n v="36174"/>
    <n v="24950"/>
    <n v="49229"/>
    <n v="21854"/>
    <n v="40669"/>
    <n v="9862"/>
    <n v="11945"/>
    <n v="276369"/>
  </r>
  <r>
    <s v="CUST591"/>
    <s v="AJIO"/>
    <x v="1"/>
    <n v="3"/>
    <n v="1562.21"/>
    <n v="32"/>
    <s v="UPI"/>
    <s v="Refunds"/>
    <x v="1"/>
    <n v="10735"/>
    <n v="27860"/>
    <n v="18259"/>
    <n v="4955"/>
    <n v="15152"/>
    <n v="42147"/>
    <n v="6634"/>
    <n v="22870"/>
    <n v="24441"/>
    <n v="13473"/>
    <n v="11706"/>
    <n v="19552"/>
    <n v="217784"/>
  </r>
  <r>
    <s v="CUST513"/>
    <s v="AJIO"/>
    <x v="0"/>
    <n v="3"/>
    <n v="1268.44"/>
    <n v="49"/>
    <s v="Cash on Delivery"/>
    <s v="Replacements"/>
    <x v="3"/>
    <n v="47551"/>
    <n v="15204"/>
    <n v="44191"/>
    <n v="4333"/>
    <n v="37221"/>
    <n v="1446"/>
    <n v="13240"/>
    <n v="39785"/>
    <n v="1848"/>
    <n v="26571"/>
    <n v="8487"/>
    <n v="20733"/>
    <n v="260610"/>
  </r>
  <r>
    <s v="CUST905"/>
    <s v="Snapdeal"/>
    <x v="2"/>
    <n v="2"/>
    <n v="253.94"/>
    <n v="72"/>
    <s v="Debit Card"/>
    <s v="Replacements"/>
    <x v="1"/>
    <n v="1296"/>
    <n v="29936"/>
    <n v="24062"/>
    <n v="19822"/>
    <n v="32659"/>
    <n v="40037"/>
    <n v="14542"/>
    <n v="23282"/>
    <n v="17219"/>
    <n v="44996"/>
    <n v="32675"/>
    <n v="2397"/>
    <n v="282923"/>
  </r>
  <r>
    <s v="CUST485"/>
    <s v="AJIO"/>
    <x v="2"/>
    <n v="3"/>
    <n v="1339.64"/>
    <n v="42"/>
    <s v="Debit Card"/>
    <s v="Replacements"/>
    <x v="0"/>
    <n v="30057"/>
    <n v="8073"/>
    <n v="36728"/>
    <n v="14084"/>
    <n v="25050"/>
    <n v="43553"/>
    <n v="25719"/>
    <n v="19392"/>
    <n v="1135"/>
    <n v="22252"/>
    <n v="17650"/>
    <n v="38021"/>
    <n v="281714"/>
  </r>
  <r>
    <s v="CUST291"/>
    <s v="Flipkart"/>
    <x v="1"/>
    <n v="3"/>
    <n v="337.31"/>
    <n v="47"/>
    <s v="UPI"/>
    <s v="Replacements"/>
    <x v="3"/>
    <n v="27720"/>
    <n v="1598"/>
    <n v="33069"/>
    <n v="47772"/>
    <n v="39077"/>
    <n v="48724"/>
    <n v="47985"/>
    <n v="48663"/>
    <n v="11774"/>
    <n v="17843"/>
    <n v="31927"/>
    <n v="34267"/>
    <n v="390419"/>
  </r>
  <r>
    <s v="CUST376"/>
    <s v="Flipkart"/>
    <x v="1"/>
    <n v="5"/>
    <n v="1244.81"/>
    <n v="38"/>
    <s v="Cash on Delivery"/>
    <s v="Exchanges"/>
    <x v="0"/>
    <n v="11107"/>
    <n v="6105"/>
    <n v="37376"/>
    <n v="32351"/>
    <n v="14370"/>
    <n v="12271"/>
    <n v="3049"/>
    <n v="25304"/>
    <n v="21850"/>
    <n v="15429"/>
    <n v="49509"/>
    <n v="44667"/>
    <n v="273388"/>
  </r>
  <r>
    <s v="CUST260"/>
    <s v="Amazon"/>
    <x v="3"/>
    <n v="5"/>
    <n v="1799.11"/>
    <n v="66"/>
    <s v="Cash on Delivery"/>
    <s v="Refunds"/>
    <x v="2"/>
    <n v="20780"/>
    <n v="23695"/>
    <n v="46765"/>
    <n v="38315"/>
    <n v="39708"/>
    <n v="44100"/>
    <n v="36165"/>
    <n v="17123"/>
    <n v="31506"/>
    <n v="42172"/>
    <n v="37464"/>
    <n v="12448"/>
    <n v="390241"/>
  </r>
  <r>
    <s v="CUST559"/>
    <s v="Flipkart"/>
    <x v="2"/>
    <n v="2"/>
    <n v="1759.27"/>
    <n v="91"/>
    <s v="Debit Card"/>
    <s v="Exchanges"/>
    <x v="2"/>
    <n v="8480"/>
    <n v="48860"/>
    <n v="43238"/>
    <n v="44874"/>
    <n v="17422"/>
    <n v="24075"/>
    <n v="26740"/>
    <n v="4745"/>
    <n v="17857"/>
    <n v="37239"/>
    <n v="33944"/>
    <n v="40247"/>
    <n v="347721"/>
  </r>
  <r>
    <s v="CUST413"/>
    <s v="Flipkart"/>
    <x v="3"/>
    <n v="6"/>
    <n v="2004.73"/>
    <n v="63"/>
    <s v="UPI"/>
    <s v="Exchanges"/>
    <x v="3"/>
    <n v="7435"/>
    <n v="30971"/>
    <n v="40720"/>
    <n v="24572"/>
    <n v="2640"/>
    <n v="34928"/>
    <n v="13160"/>
    <n v="2874"/>
    <n v="30684"/>
    <n v="34342"/>
    <n v="43456"/>
    <n v="42338"/>
    <n v="308120"/>
  </r>
  <r>
    <s v="CUST121"/>
    <s v="AJIO"/>
    <x v="1"/>
    <n v="5"/>
    <n v="331.02"/>
    <n v="65"/>
    <s v="Credit Card"/>
    <s v="Replacements"/>
    <x v="3"/>
    <n v="17085"/>
    <n v="24432"/>
    <n v="22362"/>
    <n v="33557"/>
    <n v="48423"/>
    <n v="15889"/>
    <n v="45509"/>
    <n v="43583"/>
    <n v="17981"/>
    <n v="46769"/>
    <n v="15272"/>
    <n v="30135"/>
    <n v="360997"/>
  </r>
  <r>
    <s v="CUST352"/>
    <s v="Flipkart"/>
    <x v="1"/>
    <n v="6"/>
    <n v="1973.76"/>
    <n v="64"/>
    <s v="Credit Card"/>
    <s v="Replacements"/>
    <x v="1"/>
    <n v="47023"/>
    <n v="22249"/>
    <n v="46505"/>
    <n v="31198"/>
    <n v="12439"/>
    <n v="25083"/>
    <n v="3063"/>
    <n v="26711"/>
    <n v="36881"/>
    <n v="49005"/>
    <n v="9389"/>
    <n v="19443"/>
    <n v="328989"/>
  </r>
  <r>
    <s v="CUST847"/>
    <s v="Snapdeal"/>
    <x v="0"/>
    <n v="1"/>
    <n v="970.84"/>
    <n v="14"/>
    <s v="Cash on Delivery"/>
    <s v="Replacements"/>
    <x v="1"/>
    <n v="15772"/>
    <n v="49189"/>
    <n v="33153"/>
    <n v="5491"/>
    <n v="16486"/>
    <n v="7455"/>
    <n v="40972"/>
    <n v="20484"/>
    <n v="14418"/>
    <n v="30712"/>
    <n v="19367"/>
    <n v="16878"/>
    <n v="270377"/>
  </r>
  <r>
    <s v="CUST956"/>
    <s v="Snapdeal"/>
    <x v="2"/>
    <n v="5"/>
    <n v="1227.19"/>
    <n v="11"/>
    <s v="Credit Card"/>
    <s v="Refunds"/>
    <x v="0"/>
    <n v="26102"/>
    <n v="44495"/>
    <n v="31215"/>
    <n v="17459"/>
    <n v="17647"/>
    <n v="41687"/>
    <n v="20944"/>
    <n v="11909"/>
    <n v="2628"/>
    <n v="22324"/>
    <n v="12389"/>
    <n v="48970"/>
    <n v="297769"/>
  </r>
  <r>
    <s v="CUST660"/>
    <s v="AJIO"/>
    <x v="3"/>
    <n v="9"/>
    <n v="2581.06"/>
    <n v="5"/>
    <s v="Cash on Delivery"/>
    <s v="Refunds"/>
    <x v="3"/>
    <n v="5409"/>
    <n v="6495"/>
    <n v="11492"/>
    <n v="40121"/>
    <n v="23147"/>
    <n v="32682"/>
    <n v="27666"/>
    <n v="47114"/>
    <n v="13703"/>
    <n v="16331"/>
    <n v="26816"/>
    <n v="6309"/>
    <n v="257285"/>
  </r>
  <r>
    <s v="CUST574"/>
    <s v="Flipkart"/>
    <x v="1"/>
    <n v="2"/>
    <n v="76.64"/>
    <n v="34"/>
    <s v="Cash on Delivery"/>
    <s v="Replacements"/>
    <x v="2"/>
    <n v="36794"/>
    <n v="37984"/>
    <n v="48564"/>
    <n v="42633"/>
    <n v="1722"/>
    <n v="26443"/>
    <n v="45793"/>
    <n v="44571"/>
    <n v="7691"/>
    <n v="7638"/>
    <n v="32004"/>
    <n v="24894"/>
    <n v="356731"/>
  </r>
  <r>
    <s v="CUST158"/>
    <s v="Amazon"/>
    <x v="1"/>
    <n v="1"/>
    <n v="1785.82"/>
    <n v="43"/>
    <s v="Cash on Delivery"/>
    <s v="Replacements"/>
    <x v="1"/>
    <n v="2989"/>
    <n v="39384"/>
    <n v="41207"/>
    <n v="6951"/>
    <n v="4508"/>
    <n v="18567"/>
    <n v="43291"/>
    <n v="6696"/>
    <n v="32838"/>
    <n v="2067"/>
    <n v="15809"/>
    <n v="21486"/>
    <n v="235793"/>
  </r>
  <r>
    <s v="CUST610"/>
    <s v="AJIO"/>
    <x v="3"/>
    <n v="9"/>
    <n v="1816.21"/>
    <n v="56"/>
    <s v="Credit Card"/>
    <s v="Exchanges"/>
    <x v="1"/>
    <n v="6377"/>
    <n v="9646"/>
    <n v="20564"/>
    <n v="38997"/>
    <n v="29066"/>
    <n v="15555"/>
    <n v="21733"/>
    <n v="37525"/>
    <n v="30793"/>
    <n v="26669"/>
    <n v="42915"/>
    <n v="25227"/>
    <n v="305067"/>
  </r>
  <r>
    <s v="CUST781"/>
    <s v="Snapdeal"/>
    <x v="0"/>
    <n v="9"/>
    <n v="1220.1500000000001"/>
    <n v="84"/>
    <s v="Cash on Delivery"/>
    <s v="Exchanges"/>
    <x v="2"/>
    <n v="23118"/>
    <n v="1187"/>
    <n v="26314"/>
    <n v="13838"/>
    <n v="16956"/>
    <n v="13047"/>
    <n v="19624"/>
    <n v="46900"/>
    <n v="14729"/>
    <n v="6165"/>
    <n v="48478"/>
    <n v="32204"/>
    <n v="262560"/>
  </r>
  <r>
    <s v="CUST575"/>
    <s v="Amazon"/>
    <x v="1"/>
    <n v="9"/>
    <n v="749.23"/>
    <n v="23"/>
    <s v="Debit Card"/>
    <s v="Exchanges"/>
    <x v="1"/>
    <n v="10875"/>
    <n v="5319"/>
    <n v="31332"/>
    <n v="39125"/>
    <n v="45453"/>
    <n v="42647"/>
    <n v="3328"/>
    <n v="2528"/>
    <n v="24712"/>
    <n v="33540"/>
    <n v="11293"/>
    <n v="28941"/>
    <n v="279093"/>
  </r>
  <r>
    <s v="CUST799"/>
    <s v="Amazon"/>
    <x v="2"/>
    <n v="6"/>
    <n v="742.29"/>
    <n v="70"/>
    <s v="UPI"/>
    <s v="Refunds"/>
    <x v="0"/>
    <n v="10969"/>
    <n v="4223"/>
    <n v="48004"/>
    <n v="15537"/>
    <n v="39719"/>
    <n v="12481"/>
    <n v="18165"/>
    <n v="19759"/>
    <n v="30743"/>
    <n v="11017"/>
    <n v="31733"/>
    <n v="1142"/>
    <n v="243492"/>
  </r>
  <r>
    <s v="CUST882"/>
    <s v="Snapdeal"/>
    <x v="1"/>
    <n v="8"/>
    <n v="2656.94"/>
    <n v="16"/>
    <s v="UPI"/>
    <s v="Refunds"/>
    <x v="3"/>
    <n v="34452"/>
    <n v="15058"/>
    <n v="22587"/>
    <n v="16386"/>
    <n v="43023"/>
    <n v="9157"/>
    <n v="14479"/>
    <n v="29696"/>
    <n v="38547"/>
    <n v="47760"/>
    <n v="14952"/>
    <n v="48536"/>
    <n v="334633"/>
  </r>
  <r>
    <s v="CUST289"/>
    <s v="Amazon"/>
    <x v="2"/>
    <n v="1"/>
    <n v="1353.97"/>
    <n v="79"/>
    <s v="Cash on Delivery"/>
    <s v="Replacements"/>
    <x v="2"/>
    <n v="20929"/>
    <n v="8725"/>
    <n v="32432"/>
    <n v="29361"/>
    <n v="6678"/>
    <n v="42054"/>
    <n v="31080"/>
    <n v="21731"/>
    <n v="17617"/>
    <n v="37860"/>
    <n v="26016"/>
    <n v="39705"/>
    <n v="314188"/>
  </r>
  <r>
    <s v="CUST786"/>
    <s v="AJIO"/>
    <x v="3"/>
    <n v="4"/>
    <n v="1026.1199999999999"/>
    <n v="33"/>
    <s v="UPI"/>
    <s v="Exchanges"/>
    <x v="3"/>
    <n v="6541"/>
    <n v="31488"/>
    <n v="5067"/>
    <n v="8404"/>
    <n v="24248"/>
    <n v="21464"/>
    <n v="15769"/>
    <n v="16350"/>
    <n v="1481"/>
    <n v="29959"/>
    <n v="10057"/>
    <n v="16381"/>
    <n v="187209"/>
  </r>
  <r>
    <s v="CUST662"/>
    <s v="Snapdeal"/>
    <x v="2"/>
    <n v="1"/>
    <n v="1373.89"/>
    <n v="83"/>
    <s v="Credit Card"/>
    <s v="Exchanges"/>
    <x v="1"/>
    <n v="39572"/>
    <n v="12222"/>
    <n v="8722"/>
    <n v="28391"/>
    <n v="37478"/>
    <n v="30618"/>
    <n v="26768"/>
    <n v="43278"/>
    <n v="43889"/>
    <n v="32633"/>
    <n v="5153"/>
    <n v="21462"/>
    <n v="330186"/>
  </r>
  <r>
    <s v="CUST975"/>
    <s v="AJIO"/>
    <x v="3"/>
    <n v="8"/>
    <n v="2024.7"/>
    <n v="64"/>
    <s v="Credit Card"/>
    <s v="Warranties"/>
    <x v="1"/>
    <n v="7952"/>
    <n v="37388"/>
    <n v="5189"/>
    <n v="42772"/>
    <n v="11765"/>
    <n v="27146"/>
    <n v="1212"/>
    <n v="2682"/>
    <n v="33604"/>
    <n v="27714"/>
    <n v="7487"/>
    <n v="16392"/>
    <n v="221303"/>
  </r>
  <r>
    <s v="CUST666"/>
    <s v="Flipkart"/>
    <x v="2"/>
    <n v="1"/>
    <n v="479.98"/>
    <n v="80"/>
    <s v="UPI"/>
    <s v="Exchanges"/>
    <x v="2"/>
    <n v="20495"/>
    <n v="23110"/>
    <n v="41001"/>
    <n v="34866"/>
    <n v="7667"/>
    <n v="41632"/>
    <n v="13173"/>
    <n v="18129"/>
    <n v="21404"/>
    <n v="39613"/>
    <n v="27111"/>
    <n v="43707"/>
    <n v="331908"/>
  </r>
  <r>
    <s v="CUST343"/>
    <s v="Flipkart"/>
    <x v="3"/>
    <n v="3"/>
    <n v="1375.83"/>
    <n v="51"/>
    <s v="Credit Card"/>
    <s v="Refunds"/>
    <x v="0"/>
    <n v="34718"/>
    <n v="2450"/>
    <n v="10758"/>
    <n v="7163"/>
    <n v="8286"/>
    <n v="13842"/>
    <n v="11145"/>
    <n v="20816"/>
    <n v="8851"/>
    <n v="26819"/>
    <n v="26611"/>
    <n v="32494"/>
    <n v="203953"/>
  </r>
  <r>
    <s v="CUST931"/>
    <s v="Amazon"/>
    <x v="2"/>
    <n v="4"/>
    <n v="1784.26"/>
    <n v="94"/>
    <s v="UPI"/>
    <s v="Exchanges"/>
    <x v="4"/>
    <n v="3348"/>
    <n v="23596"/>
    <n v="40531"/>
    <n v="48906"/>
    <n v="11503"/>
    <n v="25853"/>
    <n v="38352"/>
    <n v="37642"/>
    <n v="14106"/>
    <n v="12489"/>
    <n v="8410"/>
    <n v="47463"/>
    <n v="312199"/>
  </r>
  <r>
    <s v="CUST604"/>
    <s v="Snapdeal"/>
    <x v="0"/>
    <n v="8"/>
    <n v="2848.32"/>
    <n v="34"/>
    <s v="UPI"/>
    <s v="Replacements"/>
    <x v="2"/>
    <n v="18192"/>
    <n v="22171"/>
    <n v="26406"/>
    <n v="3038"/>
    <n v="36872"/>
    <n v="29150"/>
    <n v="32828"/>
    <n v="8678"/>
    <n v="23889"/>
    <n v="1648"/>
    <n v="42758"/>
    <n v="38614"/>
    <n v="284244"/>
  </r>
  <r>
    <s v="CUST230"/>
    <s v="Snapdeal"/>
    <x v="2"/>
    <n v="6"/>
    <n v="794.96"/>
    <n v="72"/>
    <s v="UPI"/>
    <s v="Replacements"/>
    <x v="4"/>
    <n v="9360"/>
    <n v="16702"/>
    <n v="38098"/>
    <n v="1903"/>
    <n v="49943"/>
    <n v="45184"/>
    <n v="22922"/>
    <n v="44363"/>
    <n v="28009"/>
    <n v="17658"/>
    <n v="31229"/>
    <n v="41437"/>
    <n v="346808"/>
  </r>
  <r>
    <s v="CUST584"/>
    <s v="Flipkart"/>
    <x v="2"/>
    <n v="7"/>
    <n v="1109.79"/>
    <n v="60"/>
    <s v="Cash on Delivery"/>
    <s v="Warranties"/>
    <x v="4"/>
    <n v="9193"/>
    <n v="37224"/>
    <n v="29625"/>
    <n v="3173"/>
    <n v="18545"/>
    <n v="22088"/>
    <n v="34294"/>
    <n v="39916"/>
    <n v="34588"/>
    <n v="13537"/>
    <n v="5331"/>
    <n v="48011"/>
    <n v="295525"/>
  </r>
  <r>
    <s v="CUST918"/>
    <s v="Flipkart"/>
    <x v="0"/>
    <n v="8"/>
    <n v="1169.1099999999999"/>
    <n v="39"/>
    <s v="UPI"/>
    <s v="Refunds"/>
    <x v="0"/>
    <n v="4729"/>
    <n v="46325"/>
    <n v="36430"/>
    <n v="11523"/>
    <n v="35262"/>
    <n v="32165"/>
    <n v="1270"/>
    <n v="40981"/>
    <n v="31711"/>
    <n v="5428"/>
    <n v="28682"/>
    <n v="40371"/>
    <n v="314877"/>
  </r>
  <r>
    <s v="CUST746"/>
    <s v="AJIO"/>
    <x v="1"/>
    <n v="2"/>
    <n v="1836.34"/>
    <n v="82"/>
    <s v="Cash on Delivery"/>
    <s v="Exchanges"/>
    <x v="4"/>
    <n v="4267"/>
    <n v="49943"/>
    <n v="11770"/>
    <n v="15271"/>
    <n v="10696"/>
    <n v="17653"/>
    <n v="25309"/>
    <n v="33411"/>
    <n v="15250"/>
    <n v="24994"/>
    <n v="10716"/>
    <n v="26060"/>
    <n v="245340"/>
  </r>
  <r>
    <s v="CUST120"/>
    <s v="Flipkart"/>
    <x v="1"/>
    <n v="8"/>
    <n v="1102.3599999999999"/>
    <n v="57"/>
    <s v="UPI"/>
    <s v="Warranties"/>
    <x v="4"/>
    <n v="10104"/>
    <n v="19515"/>
    <n v="32157"/>
    <n v="45162"/>
    <n v="39952"/>
    <n v="6799"/>
    <n v="2126"/>
    <n v="16844"/>
    <n v="6797"/>
    <n v="33672"/>
    <n v="27680"/>
    <n v="19974"/>
    <n v="260782"/>
  </r>
  <r>
    <s v="CUST940"/>
    <s v="Flipkart"/>
    <x v="2"/>
    <n v="3"/>
    <n v="1623.86"/>
    <n v="20"/>
    <s v="UPI"/>
    <s v="Replacements"/>
    <x v="0"/>
    <n v="28932"/>
    <n v="22977"/>
    <n v="37348"/>
    <n v="21176"/>
    <n v="41348"/>
    <n v="24292"/>
    <n v="4838"/>
    <n v="6330"/>
    <n v="47990"/>
    <n v="14435"/>
    <n v="36284"/>
    <n v="19446"/>
    <n v="305396"/>
  </r>
  <r>
    <s v="CUST266"/>
    <s v="Snapdeal"/>
    <x v="0"/>
    <n v="7"/>
    <n v="2356.2800000000002"/>
    <n v="52"/>
    <s v="UPI"/>
    <s v="Replacements"/>
    <x v="4"/>
    <n v="41047"/>
    <n v="34355"/>
    <n v="22763"/>
    <n v="43560"/>
    <n v="22716"/>
    <n v="24584"/>
    <n v="29389"/>
    <n v="5849"/>
    <n v="11660"/>
    <n v="10328"/>
    <n v="8598"/>
    <n v="27559"/>
    <n v="282408"/>
  </r>
  <r>
    <s v="CUST373"/>
    <s v="Snapdeal"/>
    <x v="2"/>
    <n v="3"/>
    <n v="2130.89"/>
    <n v="94"/>
    <s v="Credit Card"/>
    <s v="Refunds"/>
    <x v="4"/>
    <n v="25651"/>
    <n v="46043"/>
    <n v="2105"/>
    <n v="2726"/>
    <n v="28463"/>
    <n v="38712"/>
    <n v="1279"/>
    <n v="14311"/>
    <n v="45953"/>
    <n v="11121"/>
    <n v="44911"/>
    <n v="23299"/>
    <n v="284574"/>
  </r>
  <r>
    <s v="CUST487"/>
    <s v="Snapdeal"/>
    <x v="3"/>
    <n v="7"/>
    <n v="1366.79"/>
    <n v="75"/>
    <s v="Cash on Delivery"/>
    <s v="Exchanges"/>
    <x v="4"/>
    <n v="2705"/>
    <n v="24231"/>
    <n v="15896"/>
    <n v="31302"/>
    <n v="23662"/>
    <n v="47001"/>
    <n v="43742"/>
    <n v="32237"/>
    <n v="46966"/>
    <n v="7460"/>
    <n v="3186"/>
    <n v="45595"/>
    <n v="323983"/>
  </r>
  <r>
    <s v="CUST700"/>
    <s v="Snapdeal"/>
    <x v="3"/>
    <n v="2"/>
    <n v="2599.44"/>
    <n v="72"/>
    <s v="Cash on Delivery"/>
    <s v="Replacements"/>
    <x v="2"/>
    <n v="29999"/>
    <n v="9738"/>
    <n v="34315"/>
    <n v="37358"/>
    <n v="19644"/>
    <n v="43283"/>
    <n v="40755"/>
    <n v="12695"/>
    <n v="48092"/>
    <n v="45532"/>
    <n v="42193"/>
    <n v="32671"/>
    <n v="396275"/>
  </r>
  <r>
    <s v="CUST415"/>
    <s v="AJIO"/>
    <x v="2"/>
    <n v="6"/>
    <n v="1696.51"/>
    <n v="98"/>
    <s v="UPI"/>
    <s v="Warranties"/>
    <x v="2"/>
    <n v="22209"/>
    <n v="22039"/>
    <n v="11005"/>
    <n v="39088"/>
    <n v="20260"/>
    <n v="42258"/>
    <n v="29199"/>
    <n v="44613"/>
    <n v="14361"/>
    <n v="27303"/>
    <n v="37281"/>
    <n v="37347"/>
    <n v="346963"/>
  </r>
  <r>
    <s v="CUST113"/>
    <s v="Snapdeal"/>
    <x v="1"/>
    <n v="3"/>
    <n v="1642.72"/>
    <n v="87"/>
    <s v="UPI"/>
    <s v="Refunds"/>
    <x v="2"/>
    <n v="18741"/>
    <n v="13378"/>
    <n v="36978"/>
    <n v="43702"/>
    <n v="44418"/>
    <n v="35851"/>
    <n v="29479"/>
    <n v="15317"/>
    <n v="25367"/>
    <n v="26223"/>
    <n v="38113"/>
    <n v="4987"/>
    <n v="332554"/>
  </r>
  <r>
    <s v="CUST341"/>
    <s v="AJIO"/>
    <x v="1"/>
    <n v="3"/>
    <n v="150.85"/>
    <n v="93"/>
    <s v="Credit Card"/>
    <s v="Warranties"/>
    <x v="0"/>
    <n v="40134"/>
    <n v="47230"/>
    <n v="31954"/>
    <n v="45009"/>
    <n v="10214"/>
    <n v="2196"/>
    <n v="29018"/>
    <n v="29136"/>
    <n v="22107"/>
    <n v="2922"/>
    <n v="47313"/>
    <n v="4897"/>
    <n v="312130"/>
  </r>
  <r>
    <s v="CUST876"/>
    <s v="Flipkart"/>
    <x v="2"/>
    <n v="9"/>
    <n v="2960.74"/>
    <n v="14"/>
    <s v="Credit Card"/>
    <s v="Exchanges"/>
    <x v="1"/>
    <n v="25717"/>
    <n v="37959"/>
    <n v="49533"/>
    <n v="4508"/>
    <n v="35422"/>
    <n v="21284"/>
    <n v="49664"/>
    <n v="47588"/>
    <n v="35627"/>
    <n v="11465"/>
    <n v="3511"/>
    <n v="9975"/>
    <n v="332253"/>
  </r>
  <r>
    <s v="CUST445"/>
    <s v="Flipkart"/>
    <x v="2"/>
    <n v="7"/>
    <n v="412.76"/>
    <n v="81"/>
    <s v="Credit Card"/>
    <s v="Exchanges"/>
    <x v="4"/>
    <n v="45417"/>
    <n v="21282"/>
    <n v="24049"/>
    <n v="39850"/>
    <n v="21171"/>
    <n v="34448"/>
    <n v="13681"/>
    <n v="15044"/>
    <n v="45637"/>
    <n v="8388"/>
    <n v="10863"/>
    <n v="45125"/>
    <n v="324955"/>
  </r>
  <r>
    <s v="CUST664"/>
    <s v="AJIO"/>
    <x v="3"/>
    <n v="5"/>
    <n v="731.84"/>
    <n v="27"/>
    <s v="Cash on Delivery"/>
    <s v="Exchanges"/>
    <x v="4"/>
    <n v="33196"/>
    <n v="44287"/>
    <n v="49368"/>
    <n v="41206"/>
    <n v="26250"/>
    <n v="1146"/>
    <n v="29507"/>
    <n v="16916"/>
    <n v="20003"/>
    <n v="41032"/>
    <n v="30526"/>
    <n v="30425"/>
    <n v="363862"/>
  </r>
  <r>
    <s v="CUST997"/>
    <s v="Amazon"/>
    <x v="1"/>
    <n v="7"/>
    <n v="202.51"/>
    <n v="34"/>
    <s v="Cash on Delivery"/>
    <s v="Replacements"/>
    <x v="0"/>
    <n v="27613"/>
    <n v="5157"/>
    <n v="17646"/>
    <n v="43933"/>
    <n v="7605"/>
    <n v="45063"/>
    <n v="17454"/>
    <n v="16367"/>
    <n v="10850"/>
    <n v="11807"/>
    <n v="36304"/>
    <n v="11678"/>
    <n v="251477"/>
  </r>
  <r>
    <s v="CUST439"/>
    <s v="Snapdeal"/>
    <x v="2"/>
    <n v="9"/>
    <n v="1938.01"/>
    <n v="69"/>
    <s v="Cash on Delivery"/>
    <s v="Refunds"/>
    <x v="4"/>
    <n v="27585"/>
    <n v="1037"/>
    <n v="11419"/>
    <n v="35534"/>
    <n v="38007"/>
    <n v="21506"/>
    <n v="49225"/>
    <n v="44160"/>
    <n v="9200"/>
    <n v="16007"/>
    <n v="16029"/>
    <n v="42581"/>
    <n v="312290"/>
  </r>
  <r>
    <s v="CUST191"/>
    <s v="Amazon"/>
    <x v="3"/>
    <n v="1"/>
    <n v="712.87"/>
    <n v="69"/>
    <s v="UPI"/>
    <s v="Exchanges"/>
    <x v="2"/>
    <n v="41735"/>
    <n v="43648"/>
    <n v="48705"/>
    <n v="41332"/>
    <n v="44113"/>
    <n v="20407"/>
    <n v="40706"/>
    <n v="35388"/>
    <n v="47277"/>
    <n v="39567"/>
    <n v="16183"/>
    <n v="29844"/>
    <n v="448905"/>
  </r>
  <r>
    <s v="CUST466"/>
    <s v="Snapdeal"/>
    <x v="1"/>
    <n v="7"/>
    <n v="581.03"/>
    <n v="99"/>
    <s v="Cash on Delivery"/>
    <s v="Exchanges"/>
    <x v="1"/>
    <n v="12443"/>
    <n v="9788"/>
    <n v="38501"/>
    <n v="26694"/>
    <n v="18094"/>
    <n v="17644"/>
    <n v="15022"/>
    <n v="12048"/>
    <n v="25491"/>
    <n v="25016"/>
    <n v="23603"/>
    <n v="21031"/>
    <n v="245375"/>
  </r>
  <r>
    <s v="CUST554"/>
    <s v="Amazon"/>
    <x v="0"/>
    <n v="6"/>
    <n v="311.24"/>
    <n v="19"/>
    <s v="Debit Card"/>
    <s v="Exchanges"/>
    <x v="3"/>
    <n v="36856"/>
    <n v="44086"/>
    <n v="6549"/>
    <n v="34671"/>
    <n v="15800"/>
    <n v="43313"/>
    <n v="18618"/>
    <n v="39346"/>
    <n v="42976"/>
    <n v="49063"/>
    <n v="9787"/>
    <n v="31647"/>
    <n v="372712"/>
  </r>
  <r>
    <s v="CUST527"/>
    <s v="Snapdeal"/>
    <x v="3"/>
    <n v="9"/>
    <n v="354.76"/>
    <n v="71"/>
    <s v="Debit Card"/>
    <s v="Exchanges"/>
    <x v="4"/>
    <n v="20341"/>
    <n v="28979"/>
    <n v="43719"/>
    <n v="48426"/>
    <n v="23728"/>
    <n v="30387"/>
    <n v="38751"/>
    <n v="39717"/>
    <n v="40972"/>
    <n v="25446"/>
    <n v="29171"/>
    <n v="31921"/>
    <n v="401558"/>
  </r>
  <r>
    <s v="CUST608"/>
    <s v="Amazon"/>
    <x v="1"/>
    <n v="1"/>
    <n v="1774.78"/>
    <n v="39"/>
    <s v="Credit Card"/>
    <s v="Replacements"/>
    <x v="2"/>
    <n v="18201"/>
    <n v="30533"/>
    <n v="2852"/>
    <n v="49965"/>
    <n v="21585"/>
    <n v="27651"/>
    <n v="3343"/>
    <n v="21416"/>
    <n v="43642"/>
    <n v="14492"/>
    <n v="20884"/>
    <n v="44670"/>
    <n v="299234"/>
  </r>
  <r>
    <s v="CUST875"/>
    <s v="AJIO"/>
    <x v="1"/>
    <n v="4"/>
    <n v="2080.21"/>
    <n v="10"/>
    <s v="Cash on Delivery"/>
    <s v="Warranties"/>
    <x v="3"/>
    <n v="8383"/>
    <n v="15247"/>
    <n v="43585"/>
    <n v="5712"/>
    <n v="25895"/>
    <n v="22519"/>
    <n v="18114"/>
    <n v="44669"/>
    <n v="26326"/>
    <n v="47150"/>
    <n v="47709"/>
    <n v="37663"/>
    <n v="342972"/>
  </r>
  <r>
    <s v="CUST134"/>
    <s v="AJIO"/>
    <x v="3"/>
    <n v="9"/>
    <n v="1222.27"/>
    <n v="65"/>
    <s v="Debit Card"/>
    <s v="Exchanges"/>
    <x v="1"/>
    <n v="28601"/>
    <n v="11220"/>
    <n v="23199"/>
    <n v="16508"/>
    <n v="30673"/>
    <n v="26620"/>
    <n v="31733"/>
    <n v="47251"/>
    <n v="21546"/>
    <n v="40117"/>
    <n v="19245"/>
    <n v="31568"/>
    <n v="328281"/>
  </r>
  <r>
    <s v="CUST305"/>
    <s v="Snapdeal"/>
    <x v="0"/>
    <n v="4"/>
    <n v="1465.7"/>
    <n v="21"/>
    <s v="Credit Card"/>
    <s v="Exchanges"/>
    <x v="3"/>
    <n v="47319"/>
    <n v="14856"/>
    <n v="14098"/>
    <n v="37899"/>
    <n v="12190"/>
    <n v="25292"/>
    <n v="25733"/>
    <n v="42475"/>
    <n v="15469"/>
    <n v="9977"/>
    <n v="20490"/>
    <n v="40465"/>
    <n v="306263"/>
  </r>
  <r>
    <s v="CUST180"/>
    <s v="Snapdeal"/>
    <x v="3"/>
    <n v="3"/>
    <n v="2073.6"/>
    <n v="94"/>
    <s v="Cash on Delivery"/>
    <s v="Warranties"/>
    <x v="2"/>
    <n v="12951"/>
    <n v="14553"/>
    <n v="28680"/>
    <n v="32975"/>
    <n v="25331"/>
    <n v="34166"/>
    <n v="24880"/>
    <n v="43466"/>
    <n v="33014"/>
    <n v="40991"/>
    <n v="9390"/>
    <n v="6791"/>
    <n v="307188"/>
  </r>
  <r>
    <s v="CUST661"/>
    <s v="Flipkart"/>
    <x v="1"/>
    <n v="9"/>
    <n v="101.27"/>
    <n v="11"/>
    <s v="UPI"/>
    <s v="Exchanges"/>
    <x v="3"/>
    <n v="44718"/>
    <n v="20681"/>
    <n v="20383"/>
    <n v="47910"/>
    <n v="46464"/>
    <n v="6670"/>
    <n v="21312"/>
    <n v="25829"/>
    <n v="49224"/>
    <n v="40787"/>
    <n v="37074"/>
    <n v="3958"/>
    <n v="365010"/>
  </r>
  <r>
    <s v="CUST971"/>
    <s v="Snapdeal"/>
    <x v="2"/>
    <n v="2"/>
    <n v="1003.24"/>
    <n v="30"/>
    <s v="Debit Card"/>
    <s v="Warranties"/>
    <x v="0"/>
    <n v="11590"/>
    <n v="48048"/>
    <n v="13520"/>
    <n v="1161"/>
    <n v="48013"/>
    <n v="46171"/>
    <n v="23692"/>
    <n v="40585"/>
    <n v="19048"/>
    <n v="39746"/>
    <n v="21332"/>
    <n v="38982"/>
    <n v="351888"/>
  </r>
  <r>
    <s v="CUST487"/>
    <s v="Amazon"/>
    <x v="2"/>
    <n v="4"/>
    <n v="2920.64"/>
    <n v="19"/>
    <s v="UPI"/>
    <s v="Warranties"/>
    <x v="3"/>
    <n v="10473"/>
    <n v="35913"/>
    <n v="14170"/>
    <n v="22520"/>
    <n v="49837"/>
    <n v="46836"/>
    <n v="49609"/>
    <n v="24331"/>
    <n v="47658"/>
    <n v="18264"/>
    <n v="23016"/>
    <n v="20811"/>
    <n v="363438"/>
  </r>
  <r>
    <s v="CUST101"/>
    <s v="AJIO"/>
    <x v="3"/>
    <n v="6"/>
    <n v="1761.33"/>
    <n v="68"/>
    <s v="Cash on Delivery"/>
    <s v="Replacements"/>
    <x v="4"/>
    <n v="49196"/>
    <n v="49346"/>
    <n v="22074"/>
    <n v="42449"/>
    <n v="40366"/>
    <n v="28704"/>
    <n v="22129"/>
    <n v="48616"/>
    <n v="35645"/>
    <n v="19794"/>
    <n v="48617"/>
    <n v="16498"/>
    <n v="423434"/>
  </r>
  <r>
    <s v="CUST489"/>
    <s v="AJIO"/>
    <x v="1"/>
    <n v="2"/>
    <n v="799.96"/>
    <n v="63"/>
    <s v="Debit Card"/>
    <s v="Exchanges"/>
    <x v="4"/>
    <n v="35350"/>
    <n v="46262"/>
    <n v="37325"/>
    <n v="18905"/>
    <n v="44772"/>
    <n v="4272"/>
    <n v="35797"/>
    <n v="48553"/>
    <n v="12314"/>
    <n v="25422"/>
    <n v="9825"/>
    <n v="44906"/>
    <n v="363703"/>
  </r>
  <r>
    <s v="CUST665"/>
    <s v="Flipkart"/>
    <x v="2"/>
    <n v="8"/>
    <n v="1589.1"/>
    <n v="38"/>
    <s v="Cash on Delivery"/>
    <s v="Replacements"/>
    <x v="0"/>
    <n v="20668"/>
    <n v="32532"/>
    <n v="2688"/>
    <n v="39074"/>
    <n v="27499"/>
    <n v="25064"/>
    <n v="18763"/>
    <n v="2404"/>
    <n v="30976"/>
    <n v="44707"/>
    <n v="48121"/>
    <n v="4469"/>
    <n v="296965"/>
  </r>
  <r>
    <s v="CUST205"/>
    <s v="AJIO"/>
    <x v="1"/>
    <n v="8"/>
    <n v="1060.83"/>
    <n v="12"/>
    <s v="UPI"/>
    <s v="Replacements"/>
    <x v="2"/>
    <n v="26578"/>
    <n v="27952"/>
    <n v="27654"/>
    <n v="37203"/>
    <n v="17033"/>
    <n v="6948"/>
    <n v="17365"/>
    <n v="16931"/>
    <n v="37670"/>
    <n v="42499"/>
    <n v="16067"/>
    <n v="16567"/>
    <n v="290467"/>
  </r>
  <r>
    <s v="CUST871"/>
    <s v="Flipkart"/>
    <x v="3"/>
    <n v="1"/>
    <n v="1620.12"/>
    <n v="84"/>
    <s v="Debit Card"/>
    <s v="Warranties"/>
    <x v="4"/>
    <n v="12619"/>
    <n v="40306"/>
    <n v="47454"/>
    <n v="49813"/>
    <n v="27761"/>
    <n v="25493"/>
    <n v="1287"/>
    <n v="48606"/>
    <n v="48567"/>
    <n v="23304"/>
    <n v="42306"/>
    <n v="32951"/>
    <n v="400467"/>
  </r>
  <r>
    <s v="CUST921"/>
    <s v="Flipkart"/>
    <x v="2"/>
    <n v="3"/>
    <n v="420.94"/>
    <n v="86"/>
    <s v="UPI"/>
    <s v="Replacements"/>
    <x v="1"/>
    <n v="35432"/>
    <n v="30484"/>
    <n v="29338"/>
    <n v="12200"/>
    <n v="10371"/>
    <n v="34414"/>
    <n v="13807"/>
    <n v="39944"/>
    <n v="28572"/>
    <n v="28497"/>
    <n v="18955"/>
    <n v="23196"/>
    <n v="305210"/>
  </r>
  <r>
    <s v="CUST576"/>
    <s v="Amazon"/>
    <x v="1"/>
    <n v="9"/>
    <n v="441.51"/>
    <n v="88"/>
    <s v="Cash on Delivery"/>
    <s v="Exchanges"/>
    <x v="4"/>
    <n v="8177"/>
    <n v="37647"/>
    <n v="43526"/>
    <n v="20918"/>
    <n v="13069"/>
    <n v="30560"/>
    <n v="29056"/>
    <n v="29074"/>
    <n v="17662"/>
    <n v="42532"/>
    <n v="1049"/>
    <n v="40104"/>
    <n v="313374"/>
  </r>
  <r>
    <s v="CUST802"/>
    <s v="Flipkart"/>
    <x v="2"/>
    <n v="5"/>
    <n v="473.45"/>
    <n v="34"/>
    <s v="Cash on Delivery"/>
    <s v="Refunds"/>
    <x v="4"/>
    <n v="26398"/>
    <n v="27605"/>
    <n v="3873"/>
    <n v="16694"/>
    <n v="27888"/>
    <n v="27887"/>
    <n v="46517"/>
    <n v="12142"/>
    <n v="30475"/>
    <n v="4257"/>
    <n v="46051"/>
    <n v="1861"/>
    <n v="271648"/>
  </r>
  <r>
    <s v="CUST501"/>
    <s v="AJIO"/>
    <x v="3"/>
    <n v="6"/>
    <n v="2822.47"/>
    <n v="89"/>
    <s v="UPI"/>
    <s v="Exchanges"/>
    <x v="2"/>
    <n v="30655"/>
    <n v="27441"/>
    <n v="22170"/>
    <n v="4890"/>
    <n v="15591"/>
    <n v="30242"/>
    <n v="45043"/>
    <n v="36228"/>
    <n v="19664"/>
    <n v="34087"/>
    <n v="41957"/>
    <n v="42046"/>
    <n v="350014"/>
  </r>
  <r>
    <s v="CUST829"/>
    <s v="Snapdeal"/>
    <x v="1"/>
    <n v="4"/>
    <n v="2212.0500000000002"/>
    <n v="93"/>
    <s v="Debit Card"/>
    <s v="Exchanges"/>
    <x v="3"/>
    <n v="45551"/>
    <n v="27139"/>
    <n v="23840"/>
    <n v="12576"/>
    <n v="25975"/>
    <n v="23550"/>
    <n v="5925"/>
    <n v="30431"/>
    <n v="7697"/>
    <n v="40869"/>
    <n v="2380"/>
    <n v="35451"/>
    <n v="281384"/>
  </r>
  <r>
    <s v="CUST655"/>
    <s v="Snapdeal"/>
    <x v="2"/>
    <n v="2"/>
    <n v="529.03"/>
    <n v="70"/>
    <s v="UPI"/>
    <s v="Replacements"/>
    <x v="4"/>
    <n v="19378"/>
    <n v="21157"/>
    <n v="1897"/>
    <n v="34879"/>
    <n v="23638"/>
    <n v="49836"/>
    <n v="13988"/>
    <n v="45662"/>
    <n v="17075"/>
    <n v="43201"/>
    <n v="21733"/>
    <n v="21967"/>
    <n v="314411"/>
  </r>
  <r>
    <s v="CUST261"/>
    <s v="Snapdeal"/>
    <x v="3"/>
    <n v="8"/>
    <n v="605.63"/>
    <n v="87"/>
    <s v="Cash on Delivery"/>
    <s v="Replacements"/>
    <x v="0"/>
    <n v="23805"/>
    <n v="13550"/>
    <n v="11260"/>
    <n v="14755"/>
    <n v="31197"/>
    <n v="44336"/>
    <n v="16799"/>
    <n v="3077"/>
    <n v="32775"/>
    <n v="2368"/>
    <n v="12029"/>
    <n v="45899"/>
    <n v="251850"/>
  </r>
  <r>
    <s v="CUST301"/>
    <s v="Amazon"/>
    <x v="2"/>
    <n v="6"/>
    <n v="2205.9499999999998"/>
    <n v="24"/>
    <s v="UPI"/>
    <s v="Warranties"/>
    <x v="3"/>
    <n v="13246"/>
    <n v="11745"/>
    <n v="11893"/>
    <n v="11407"/>
    <n v="17010"/>
    <n v="46758"/>
    <n v="10384"/>
    <n v="12796"/>
    <n v="5768"/>
    <n v="28708"/>
    <n v="20728"/>
    <n v="20007"/>
    <n v="210450"/>
  </r>
  <r>
    <s v="CUST369"/>
    <s v="AJIO"/>
    <x v="2"/>
    <n v="5"/>
    <n v="510.68"/>
    <n v="23"/>
    <s v="Cash on Delivery"/>
    <s v="Refunds"/>
    <x v="1"/>
    <n v="11937"/>
    <n v="1082"/>
    <n v="14122"/>
    <n v="41374"/>
    <n v="32657"/>
    <n v="37582"/>
    <n v="5492"/>
    <n v="17948"/>
    <n v="33473"/>
    <n v="1058"/>
    <n v="49157"/>
    <n v="21329"/>
    <n v="267211"/>
  </r>
  <r>
    <s v="CUST962"/>
    <s v="Amazon"/>
    <x v="0"/>
    <n v="9"/>
    <n v="741.96"/>
    <n v="58"/>
    <s v="UPI"/>
    <s v="Exchanges"/>
    <x v="2"/>
    <n v="29338"/>
    <n v="19983"/>
    <n v="38100"/>
    <n v="49602"/>
    <n v="27273"/>
    <n v="43779"/>
    <n v="29603"/>
    <n v="45300"/>
    <n v="29506"/>
    <n v="42414"/>
    <n v="15730"/>
    <n v="33922"/>
    <n v="404550"/>
  </r>
  <r>
    <s v="CUST915"/>
    <s v="Amazon"/>
    <x v="0"/>
    <n v="1"/>
    <n v="2891.87"/>
    <n v="24"/>
    <s v="Debit Card"/>
    <s v="Exchanges"/>
    <x v="1"/>
    <n v="19339"/>
    <n v="28953"/>
    <n v="25006"/>
    <n v="34321"/>
    <n v="6509"/>
    <n v="10081"/>
    <n v="47521"/>
    <n v="11518"/>
    <n v="15799"/>
    <n v="13811"/>
    <n v="39750"/>
    <n v="18616"/>
    <n v="271224"/>
  </r>
  <r>
    <s v="CUST370"/>
    <s v="Snapdeal"/>
    <x v="3"/>
    <n v="5"/>
    <n v="803.15"/>
    <n v="1"/>
    <s v="Debit Card"/>
    <s v="Replacements"/>
    <x v="3"/>
    <n v="43427"/>
    <n v="39587"/>
    <n v="34862"/>
    <n v="37925"/>
    <n v="32414"/>
    <n v="17523"/>
    <n v="12522"/>
    <n v="5660"/>
    <n v="25330"/>
    <n v="41523"/>
    <n v="32658"/>
    <n v="11385"/>
    <n v="334816"/>
  </r>
  <r>
    <s v="CUST555"/>
    <s v="Flipkart"/>
    <x v="0"/>
    <n v="6"/>
    <n v="2001.82"/>
    <n v="64"/>
    <s v="UPI"/>
    <s v="Exchanges"/>
    <x v="3"/>
    <n v="30634"/>
    <n v="14343"/>
    <n v="10749"/>
    <n v="9332"/>
    <n v="42775"/>
    <n v="25918"/>
    <n v="35843"/>
    <n v="48674"/>
    <n v="36723"/>
    <n v="28197"/>
    <n v="16684"/>
    <n v="20385"/>
    <n v="320257"/>
  </r>
  <r>
    <s v="CUST561"/>
    <s v="Amazon"/>
    <x v="3"/>
    <n v="5"/>
    <n v="2936.96"/>
    <n v="19"/>
    <s v="UPI"/>
    <s v="Warranties"/>
    <x v="3"/>
    <n v="23582"/>
    <n v="6628"/>
    <n v="47147"/>
    <n v="48146"/>
    <n v="22506"/>
    <n v="5108"/>
    <n v="34910"/>
    <n v="5118"/>
    <n v="37970"/>
    <n v="39256"/>
    <n v="5833"/>
    <n v="28344"/>
    <n v="304548"/>
  </r>
  <r>
    <s v="CUST826"/>
    <s v="Snapdeal"/>
    <x v="0"/>
    <n v="6"/>
    <n v="1154.18"/>
    <n v="70"/>
    <s v="Debit Card"/>
    <s v="Exchanges"/>
    <x v="1"/>
    <n v="31919"/>
    <n v="18261"/>
    <n v="26634"/>
    <n v="15221"/>
    <n v="47012"/>
    <n v="7034"/>
    <n v="12285"/>
    <n v="2849"/>
    <n v="37493"/>
    <n v="14785"/>
    <n v="41967"/>
    <n v="46117"/>
    <n v="301577"/>
  </r>
  <r>
    <s v="CUST351"/>
    <s v="Flipkart"/>
    <x v="2"/>
    <n v="6"/>
    <n v="101.67"/>
    <n v="29"/>
    <s v="Cash on Delivery"/>
    <s v="Refunds"/>
    <x v="3"/>
    <n v="23673"/>
    <n v="43487"/>
    <n v="13521"/>
    <n v="11008"/>
    <n v="10318"/>
    <n v="10471"/>
    <n v="45396"/>
    <n v="29821"/>
    <n v="11858"/>
    <n v="45166"/>
    <n v="11745"/>
    <n v="19872"/>
    <n v="276336"/>
  </r>
  <r>
    <s v="CUST801"/>
    <s v="AJIO"/>
    <x v="3"/>
    <n v="7"/>
    <n v="770.23"/>
    <n v="91"/>
    <s v="Debit Card"/>
    <s v="Warranties"/>
    <x v="1"/>
    <n v="48152"/>
    <n v="49490"/>
    <n v="2036"/>
    <n v="17368"/>
    <n v="1237"/>
    <n v="28347"/>
    <n v="14224"/>
    <n v="28663"/>
    <n v="40070"/>
    <n v="28887"/>
    <n v="15910"/>
    <n v="19445"/>
    <n v="293829"/>
  </r>
  <r>
    <s v="CUST395"/>
    <s v="AJIO"/>
    <x v="3"/>
    <n v="4"/>
    <n v="2501.09"/>
    <n v="82"/>
    <s v="Cash on Delivery"/>
    <s v="Replacements"/>
    <x v="3"/>
    <n v="7953"/>
    <n v="6483"/>
    <n v="3968"/>
    <n v="24978"/>
    <n v="25254"/>
    <n v="3919"/>
    <n v="49415"/>
    <n v="13663"/>
    <n v="30642"/>
    <n v="33442"/>
    <n v="28992"/>
    <n v="40594"/>
    <n v="269303"/>
  </r>
  <r>
    <s v="CUST824"/>
    <s v="Snapdeal"/>
    <x v="2"/>
    <n v="8"/>
    <n v="2600.6"/>
    <n v="85"/>
    <s v="UPI"/>
    <s v="Exchanges"/>
    <x v="0"/>
    <n v="34207"/>
    <n v="31168"/>
    <n v="41419"/>
    <n v="25051"/>
    <n v="6322"/>
    <n v="46859"/>
    <n v="25818"/>
    <n v="6815"/>
    <n v="3377"/>
    <n v="13893"/>
    <n v="39683"/>
    <n v="21106"/>
    <n v="295718"/>
  </r>
  <r>
    <s v="CUST819"/>
    <s v="Snapdeal"/>
    <x v="3"/>
    <n v="7"/>
    <n v="2317.13"/>
    <n v="7"/>
    <s v="UPI"/>
    <s v="Refunds"/>
    <x v="3"/>
    <n v="42312"/>
    <n v="27541"/>
    <n v="5999"/>
    <n v="26784"/>
    <n v="28747"/>
    <n v="48412"/>
    <n v="49971"/>
    <n v="6002"/>
    <n v="38012"/>
    <n v="9096"/>
    <n v="46978"/>
    <n v="28482"/>
    <n v="358336"/>
  </r>
  <r>
    <s v="CUST848"/>
    <s v="Flipkart"/>
    <x v="3"/>
    <n v="9"/>
    <n v="383.67"/>
    <n v="93"/>
    <s v="Cash on Delivery"/>
    <s v="Refunds"/>
    <x v="1"/>
    <n v="20995"/>
    <n v="37481"/>
    <n v="10004"/>
    <n v="28880"/>
    <n v="7420"/>
    <n v="38533"/>
    <n v="31366"/>
    <n v="28116"/>
    <n v="30502"/>
    <n v="9915"/>
    <n v="29519"/>
    <n v="41078"/>
    <n v="313809"/>
  </r>
  <r>
    <s v="CUST437"/>
    <s v="Flipkart"/>
    <x v="0"/>
    <n v="7"/>
    <n v="2396.7600000000002"/>
    <n v="9"/>
    <s v="UPI"/>
    <s v="Refunds"/>
    <x v="4"/>
    <n v="25087"/>
    <n v="21098"/>
    <n v="26295"/>
    <n v="43483"/>
    <n v="15915"/>
    <n v="36078"/>
    <n v="46789"/>
    <n v="29774"/>
    <n v="3041"/>
    <n v="7794"/>
    <n v="23379"/>
    <n v="44970"/>
    <n v="323703"/>
  </r>
  <r>
    <s v="CUST978"/>
    <s v="Amazon"/>
    <x v="3"/>
    <n v="3"/>
    <n v="2760.1"/>
    <n v="99"/>
    <s v="Cash on Delivery"/>
    <s v="Refunds"/>
    <x v="3"/>
    <n v="39709"/>
    <n v="16723"/>
    <n v="26733"/>
    <n v="34212"/>
    <n v="6643"/>
    <n v="38494"/>
    <n v="13486"/>
    <n v="9146"/>
    <n v="28675"/>
    <n v="49295"/>
    <n v="9996"/>
    <n v="39416"/>
    <n v="312528"/>
  </r>
  <r>
    <s v="CUST152"/>
    <s v="AJIO"/>
    <x v="1"/>
    <n v="3"/>
    <n v="1821.8"/>
    <n v="33"/>
    <s v="Credit Card"/>
    <s v="Exchanges"/>
    <x v="4"/>
    <n v="43287"/>
    <n v="46440"/>
    <n v="34135"/>
    <n v="15805"/>
    <n v="37547"/>
    <n v="22810"/>
    <n v="16451"/>
    <n v="44820"/>
    <n v="19910"/>
    <n v="19245"/>
    <n v="30939"/>
    <n v="42587"/>
    <n v="373976"/>
  </r>
  <r>
    <s v="CUST891"/>
    <s v="Amazon"/>
    <x v="2"/>
    <n v="8"/>
    <n v="2825.58"/>
    <n v="19"/>
    <s v="Debit Card"/>
    <s v="Refunds"/>
    <x v="0"/>
    <n v="24977"/>
    <n v="10612"/>
    <n v="37697"/>
    <n v="44410"/>
    <n v="43029"/>
    <n v="34314"/>
    <n v="46963"/>
    <n v="49383"/>
    <n v="45656"/>
    <n v="44449"/>
    <n v="49799"/>
    <n v="30173"/>
    <n v="461462"/>
  </r>
  <r>
    <s v="CUST316"/>
    <s v="Amazon"/>
    <x v="0"/>
    <n v="5"/>
    <n v="2489.17"/>
    <n v="39"/>
    <s v="Credit Card"/>
    <s v="Exchanges"/>
    <x v="2"/>
    <n v="36593"/>
    <n v="9700"/>
    <n v="25808"/>
    <n v="31756"/>
    <n v="42412"/>
    <n v="46506"/>
    <n v="30583"/>
    <n v="3671"/>
    <n v="5688"/>
    <n v="40076"/>
    <n v="49492"/>
    <n v="2141"/>
    <n v="324426"/>
  </r>
  <r>
    <s v="CUST863"/>
    <s v="Flipkart"/>
    <x v="0"/>
    <n v="4"/>
    <n v="2017.57"/>
    <n v="99"/>
    <s v="Cash on Delivery"/>
    <s v="Exchanges"/>
    <x v="0"/>
    <n v="4868"/>
    <n v="48055"/>
    <n v="16235"/>
    <n v="16299"/>
    <n v="7332"/>
    <n v="25251"/>
    <n v="21552"/>
    <n v="31994"/>
    <n v="4826"/>
    <n v="3424"/>
    <n v="34495"/>
    <n v="40828"/>
    <n v="255159"/>
  </r>
  <r>
    <s v="CUST287"/>
    <s v="Flipkart"/>
    <x v="1"/>
    <n v="8"/>
    <n v="1752.7"/>
    <n v="16"/>
    <s v="Debit Card"/>
    <s v="Exchanges"/>
    <x v="3"/>
    <n v="9496"/>
    <n v="33867"/>
    <n v="17668"/>
    <n v="13816"/>
    <n v="27975"/>
    <n v="18185"/>
    <n v="43756"/>
    <n v="11025"/>
    <n v="31495"/>
    <n v="43266"/>
    <n v="35960"/>
    <n v="42242"/>
    <n v="328751"/>
  </r>
  <r>
    <s v="CUST479"/>
    <s v="Snapdeal"/>
    <x v="2"/>
    <n v="6"/>
    <n v="1078.29"/>
    <n v="70"/>
    <s v="Cash on Delivery"/>
    <s v="Warranties"/>
    <x v="4"/>
    <n v="19113"/>
    <n v="22652"/>
    <n v="16161"/>
    <n v="40542"/>
    <n v="12747"/>
    <n v="49505"/>
    <n v="41779"/>
    <n v="10043"/>
    <n v="7469"/>
    <n v="23843"/>
    <n v="26589"/>
    <n v="44905"/>
    <n v="315348"/>
  </r>
  <r>
    <s v="CUST592"/>
    <s v="AJIO"/>
    <x v="2"/>
    <n v="2"/>
    <n v="519.9"/>
    <n v="84"/>
    <s v="Debit Card"/>
    <s v="Replacements"/>
    <x v="4"/>
    <n v="23014"/>
    <n v="46795"/>
    <n v="3722"/>
    <n v="42911"/>
    <n v="19429"/>
    <n v="9468"/>
    <n v="19705"/>
    <n v="32556"/>
    <n v="29645"/>
    <n v="21859"/>
    <n v="21973"/>
    <n v="24503"/>
    <n v="295580"/>
  </r>
  <r>
    <s v="CUST140"/>
    <s v="Amazon"/>
    <x v="0"/>
    <n v="4"/>
    <n v="1834.61"/>
    <n v="23"/>
    <s v="Debit Card"/>
    <s v="Refunds"/>
    <x v="1"/>
    <n v="41931"/>
    <n v="20782"/>
    <n v="13661"/>
    <n v="24355"/>
    <n v="46072"/>
    <n v="10950"/>
    <n v="26467"/>
    <n v="40825"/>
    <n v="1936"/>
    <n v="47869"/>
    <n v="4634"/>
    <n v="46510"/>
    <n v="325992"/>
  </r>
  <r>
    <s v="CUST256"/>
    <s v="Amazon"/>
    <x v="3"/>
    <n v="4"/>
    <n v="988.43"/>
    <n v="81"/>
    <s v="Debit Card"/>
    <s v="Refunds"/>
    <x v="4"/>
    <n v="48301"/>
    <n v="36794"/>
    <n v="12952"/>
    <n v="41264"/>
    <n v="45971"/>
    <n v="44472"/>
    <n v="12052"/>
    <n v="49351"/>
    <n v="3919"/>
    <n v="44259"/>
    <n v="39190"/>
    <n v="11705"/>
    <n v="390230"/>
  </r>
  <r>
    <s v="CUST114"/>
    <s v="Snapdeal"/>
    <x v="0"/>
    <n v="6"/>
    <n v="2605.9899999999998"/>
    <n v="6"/>
    <s v="Debit Card"/>
    <s v="Warranties"/>
    <x v="1"/>
    <n v="30001"/>
    <n v="47805"/>
    <n v="33492"/>
    <n v="42259"/>
    <n v="8124"/>
    <n v="10381"/>
    <n v="33066"/>
    <n v="17504"/>
    <n v="7494"/>
    <n v="32463"/>
    <n v="15781"/>
    <n v="32910"/>
    <n v="311280"/>
  </r>
  <r>
    <s v="CUST912"/>
    <s v="AJIO"/>
    <x v="2"/>
    <n v="6"/>
    <n v="2980.34"/>
    <n v="48"/>
    <s v="Cash on Delivery"/>
    <s v="Replacements"/>
    <x v="2"/>
    <n v="48286"/>
    <n v="13858"/>
    <n v="30803"/>
    <n v="6597"/>
    <n v="47916"/>
    <n v="2755"/>
    <n v="30963"/>
    <n v="36262"/>
    <n v="27787"/>
    <n v="16129"/>
    <n v="14147"/>
    <n v="26176"/>
    <n v="301679"/>
  </r>
  <r>
    <s v="CUST164"/>
    <s v="AJIO"/>
    <x v="1"/>
    <n v="1"/>
    <n v="2269.66"/>
    <n v="95"/>
    <s v="Debit Card"/>
    <s v="Warranties"/>
    <x v="3"/>
    <n v="25916"/>
    <n v="34624"/>
    <n v="28918"/>
    <n v="24186"/>
    <n v="6660"/>
    <n v="39934"/>
    <n v="42931"/>
    <n v="45941"/>
    <n v="21419"/>
    <n v="44255"/>
    <n v="41104"/>
    <n v="4819"/>
    <n v="360707"/>
  </r>
  <r>
    <s v="CUST956"/>
    <s v="Flipkart"/>
    <x v="0"/>
    <n v="8"/>
    <n v="316.92"/>
    <n v="71"/>
    <s v="Debit Card"/>
    <s v="Warranties"/>
    <x v="1"/>
    <n v="2565"/>
    <n v="6017"/>
    <n v="27043"/>
    <n v="46283"/>
    <n v="17541"/>
    <n v="11487"/>
    <n v="22171"/>
    <n v="43309"/>
    <n v="16360"/>
    <n v="3375"/>
    <n v="23576"/>
    <n v="24133"/>
    <n v="243860"/>
  </r>
  <r>
    <s v="CUST938"/>
    <s v="Flipkart"/>
    <x v="2"/>
    <n v="6"/>
    <n v="901.62"/>
    <n v="16"/>
    <s v="Credit Card"/>
    <s v="Refunds"/>
    <x v="2"/>
    <n v="28759"/>
    <n v="20388"/>
    <n v="25268"/>
    <n v="16132"/>
    <n v="43134"/>
    <n v="43854"/>
    <n v="25001"/>
    <n v="6243"/>
    <n v="47181"/>
    <n v="48125"/>
    <n v="15699"/>
    <n v="11351"/>
    <n v="331135"/>
  </r>
  <r>
    <s v="CUST620"/>
    <s v="Amazon"/>
    <x v="0"/>
    <n v="3"/>
    <n v="371.87"/>
    <n v="71"/>
    <s v="UPI"/>
    <s v="Warranties"/>
    <x v="4"/>
    <n v="12689"/>
    <n v="9498"/>
    <n v="38452"/>
    <n v="22134"/>
    <n v="23939"/>
    <n v="10312"/>
    <n v="36048"/>
    <n v="14066"/>
    <n v="42103"/>
    <n v="36051"/>
    <n v="43018"/>
    <n v="12348"/>
    <n v="300658"/>
  </r>
  <r>
    <s v="CUST443"/>
    <s v="Amazon"/>
    <x v="3"/>
    <n v="9"/>
    <n v="1969.01"/>
    <n v="7"/>
    <s v="UPI"/>
    <s v="Exchanges"/>
    <x v="4"/>
    <n v="19413"/>
    <n v="45839"/>
    <n v="41506"/>
    <n v="3129"/>
    <n v="17986"/>
    <n v="12005"/>
    <n v="20294"/>
    <n v="43131"/>
    <n v="14924"/>
    <n v="37215"/>
    <n v="28181"/>
    <n v="19690"/>
    <n v="303313"/>
  </r>
  <r>
    <s v="CUST228"/>
    <s v="Flipkart"/>
    <x v="0"/>
    <n v="2"/>
    <n v="2307.31"/>
    <n v="63"/>
    <s v="Credit Card"/>
    <s v="Exchanges"/>
    <x v="2"/>
    <n v="3386"/>
    <n v="17227"/>
    <n v="43635"/>
    <n v="41169"/>
    <n v="9174"/>
    <n v="23800"/>
    <n v="22738"/>
    <n v="29500"/>
    <n v="43399"/>
    <n v="28187"/>
    <n v="33606"/>
    <n v="25418"/>
    <n v="321239"/>
  </r>
  <r>
    <s v="CUST747"/>
    <s v="AJIO"/>
    <x v="0"/>
    <n v="8"/>
    <n v="2780.74"/>
    <n v="37"/>
    <s v="Credit Card"/>
    <s v="Refunds"/>
    <x v="4"/>
    <n v="33754"/>
    <n v="36453"/>
    <n v="24217"/>
    <n v="39814"/>
    <n v="39539"/>
    <n v="49590"/>
    <n v="13272"/>
    <n v="31285"/>
    <n v="34709"/>
    <n v="42880"/>
    <n v="14205"/>
    <n v="45375"/>
    <n v="405093"/>
  </r>
  <r>
    <s v="CUST571"/>
    <s v="Flipkart"/>
    <x v="2"/>
    <n v="3"/>
    <n v="1342.61"/>
    <n v="95"/>
    <s v="Cash on Delivery"/>
    <s v="Replacements"/>
    <x v="2"/>
    <n v="14024"/>
    <n v="38667"/>
    <n v="7125"/>
    <n v="7480"/>
    <n v="39744"/>
    <n v="47366"/>
    <n v="49748"/>
    <n v="17877"/>
    <n v="5956"/>
    <n v="42381"/>
    <n v="4068"/>
    <n v="45668"/>
    <n v="320104"/>
  </r>
  <r>
    <s v="CUST162"/>
    <s v="AJIO"/>
    <x v="2"/>
    <n v="5"/>
    <n v="2709.06"/>
    <n v="93"/>
    <s v="Cash on Delivery"/>
    <s v="Refunds"/>
    <x v="1"/>
    <n v="18575"/>
    <n v="3495"/>
    <n v="44987"/>
    <n v="19382"/>
    <n v="21377"/>
    <n v="8556"/>
    <n v="48272"/>
    <n v="9045"/>
    <n v="19236"/>
    <n v="31739"/>
    <n v="4296"/>
    <n v="45953"/>
    <n v="274913"/>
  </r>
  <r>
    <s v="CUST238"/>
    <s v="Amazon"/>
    <x v="2"/>
    <n v="6"/>
    <n v="2639.78"/>
    <n v="5"/>
    <s v="Cash on Delivery"/>
    <s v="Warranties"/>
    <x v="1"/>
    <n v="35386"/>
    <n v="15955"/>
    <n v="46804"/>
    <n v="43348"/>
    <n v="14972"/>
    <n v="16141"/>
    <n v="46784"/>
    <n v="6902"/>
    <n v="36218"/>
    <n v="15343"/>
    <n v="7949"/>
    <n v="30752"/>
    <n v="316554"/>
  </r>
  <r>
    <s v="CUST598"/>
    <s v="Snapdeal"/>
    <x v="0"/>
    <n v="6"/>
    <n v="985.73"/>
    <n v="76"/>
    <s v="Credit Card"/>
    <s v="Exchanges"/>
    <x v="2"/>
    <n v="3128"/>
    <n v="38253"/>
    <n v="11667"/>
    <n v="42491"/>
    <n v="7393"/>
    <n v="27617"/>
    <n v="26603"/>
    <n v="4218"/>
    <n v="43862"/>
    <n v="43772"/>
    <n v="6946"/>
    <n v="12567"/>
    <n v="268517"/>
  </r>
  <r>
    <s v="CUST692"/>
    <s v="AJIO"/>
    <x v="3"/>
    <n v="4"/>
    <n v="2613.2600000000002"/>
    <n v="99"/>
    <s v="Credit Card"/>
    <s v="Exchanges"/>
    <x v="1"/>
    <n v="43174"/>
    <n v="39715"/>
    <n v="10126"/>
    <n v="12899"/>
    <n v="3432"/>
    <n v="20005"/>
    <n v="15406"/>
    <n v="48474"/>
    <n v="28109"/>
    <n v="1432"/>
    <n v="42796"/>
    <n v="27693"/>
    <n v="293261"/>
  </r>
  <r>
    <s v="CUST491"/>
    <s v="Amazon"/>
    <x v="1"/>
    <n v="3"/>
    <n v="1158.23"/>
    <n v="51"/>
    <s v="Debit Card"/>
    <s v="Warranties"/>
    <x v="1"/>
    <n v="48756"/>
    <n v="14866"/>
    <n v="43227"/>
    <n v="30574"/>
    <n v="28811"/>
    <n v="20453"/>
    <n v="4437"/>
    <n v="49987"/>
    <n v="43765"/>
    <n v="38218"/>
    <n v="38588"/>
    <n v="41793"/>
    <n v="403475"/>
  </r>
  <r>
    <s v="CUST774"/>
    <s v="Flipkart"/>
    <x v="1"/>
    <n v="4"/>
    <n v="925.76"/>
    <n v="88"/>
    <s v="Cash on Delivery"/>
    <s v="Exchanges"/>
    <x v="1"/>
    <n v="39926"/>
    <n v="12378"/>
    <n v="47978"/>
    <n v="19980"/>
    <n v="40458"/>
    <n v="48354"/>
    <n v="17207"/>
    <n v="37739"/>
    <n v="34917"/>
    <n v="22963"/>
    <n v="18033"/>
    <n v="27562"/>
    <n v="367495"/>
  </r>
  <r>
    <s v="CUST518"/>
    <s v="Snapdeal"/>
    <x v="2"/>
    <n v="1"/>
    <n v="1964.77"/>
    <n v="40"/>
    <s v="Cash on Delivery"/>
    <s v="Refunds"/>
    <x v="0"/>
    <n v="31821"/>
    <n v="18712"/>
    <n v="21610"/>
    <n v="25253"/>
    <n v="48664"/>
    <n v="13931"/>
    <n v="11780"/>
    <n v="44085"/>
    <n v="15242"/>
    <n v="30025"/>
    <n v="6476"/>
    <n v="32148"/>
    <n v="299747"/>
  </r>
  <r>
    <s v="CUST388"/>
    <s v="Snapdeal"/>
    <x v="2"/>
    <n v="4"/>
    <n v="1018.72"/>
    <n v="82"/>
    <s v="Cash on Delivery"/>
    <s v="Exchanges"/>
    <x v="3"/>
    <n v="40715"/>
    <n v="5842"/>
    <n v="30639"/>
    <n v="28374"/>
    <n v="19674"/>
    <n v="13562"/>
    <n v="21946"/>
    <n v="29693"/>
    <n v="5642"/>
    <n v="21278"/>
    <n v="46912"/>
    <n v="7007"/>
    <n v="271284"/>
  </r>
  <r>
    <s v="CUST478"/>
    <s v="Flipkart"/>
    <x v="0"/>
    <n v="1"/>
    <n v="1909.12"/>
    <n v="11"/>
    <s v="UPI"/>
    <s v="Warranties"/>
    <x v="4"/>
    <n v="4590"/>
    <n v="19502"/>
    <n v="48348"/>
    <n v="2018"/>
    <n v="7299"/>
    <n v="33764"/>
    <n v="30161"/>
    <n v="47316"/>
    <n v="48876"/>
    <n v="39804"/>
    <n v="30000"/>
    <n v="25458"/>
    <n v="337136"/>
  </r>
  <r>
    <s v="CUST872"/>
    <s v="AJIO"/>
    <x v="1"/>
    <n v="1"/>
    <n v="1849"/>
    <n v="32"/>
    <s v="Debit Card"/>
    <s v="Warranties"/>
    <x v="0"/>
    <n v="45217"/>
    <n v="42692"/>
    <n v="28785"/>
    <n v="19860"/>
    <n v="30342"/>
    <n v="41366"/>
    <n v="3920"/>
    <n v="37723"/>
    <n v="16433"/>
    <n v="30501"/>
    <n v="21153"/>
    <n v="9572"/>
    <n v="327564"/>
  </r>
  <r>
    <s v="CUST589"/>
    <s v="Snapdeal"/>
    <x v="2"/>
    <n v="6"/>
    <n v="1712.14"/>
    <n v="30"/>
    <s v="Cash on Delivery"/>
    <s v="Replacements"/>
    <x v="1"/>
    <n v="48658"/>
    <n v="37036"/>
    <n v="26660"/>
    <n v="22394"/>
    <n v="45283"/>
    <n v="26049"/>
    <n v="41184"/>
    <n v="1810"/>
    <n v="5502"/>
    <n v="16376"/>
    <n v="5857"/>
    <n v="14946"/>
    <n v="291755"/>
  </r>
  <r>
    <s v="CUST330"/>
    <s v="Snapdeal"/>
    <x v="3"/>
    <n v="5"/>
    <n v="1172.24"/>
    <n v="46"/>
    <s v="Cash on Delivery"/>
    <s v="Warranties"/>
    <x v="2"/>
    <n v="20804"/>
    <n v="19998"/>
    <n v="34635"/>
    <n v="17013"/>
    <n v="17530"/>
    <n v="17720"/>
    <n v="47176"/>
    <n v="14448"/>
    <n v="36574"/>
    <n v="32178"/>
    <n v="48295"/>
    <n v="24094"/>
    <n v="330465"/>
  </r>
  <r>
    <s v="CUST140"/>
    <s v="Flipkart"/>
    <x v="3"/>
    <n v="4"/>
    <n v="1668.07"/>
    <n v="32"/>
    <s v="Cash on Delivery"/>
    <s v="Exchanges"/>
    <x v="1"/>
    <n v="24404"/>
    <n v="25175"/>
    <n v="1338"/>
    <n v="30540"/>
    <n v="7433"/>
    <n v="22707"/>
    <n v="16334"/>
    <n v="37315"/>
    <n v="23875"/>
    <n v="24645"/>
    <n v="35729"/>
    <n v="23461"/>
    <n v="272956"/>
  </r>
  <r>
    <s v="CUST127"/>
    <s v="AJIO"/>
    <x v="2"/>
    <n v="3"/>
    <n v="1809.63"/>
    <n v="23"/>
    <s v="UPI"/>
    <s v="Exchanges"/>
    <x v="3"/>
    <n v="8599"/>
    <n v="39665"/>
    <n v="45525"/>
    <n v="23335"/>
    <n v="46707"/>
    <n v="26616"/>
    <n v="22055"/>
    <n v="48922"/>
    <n v="43398"/>
    <n v="28111"/>
    <n v="42899"/>
    <n v="37891"/>
    <n v="413723"/>
  </r>
  <r>
    <s v="CUST234"/>
    <s v="AJIO"/>
    <x v="2"/>
    <n v="1"/>
    <n v="1659.78"/>
    <n v="78"/>
    <s v="UPI"/>
    <s v="Warranties"/>
    <x v="1"/>
    <n v="23406"/>
    <n v="1210"/>
    <n v="32101"/>
    <n v="8310"/>
    <n v="27989"/>
    <n v="17621"/>
    <n v="29250"/>
    <n v="6641"/>
    <n v="5440"/>
    <n v="4654"/>
    <n v="38942"/>
    <n v="28482"/>
    <n v="224046"/>
  </r>
  <r>
    <s v="CUST300"/>
    <s v="Snapdeal"/>
    <x v="1"/>
    <n v="6"/>
    <n v="1361.04"/>
    <n v="59"/>
    <s v="Credit Card"/>
    <s v="Warranties"/>
    <x v="2"/>
    <n v="8627"/>
    <n v="5314"/>
    <n v="34202"/>
    <n v="28042"/>
    <n v="15408"/>
    <n v="17151"/>
    <n v="13546"/>
    <n v="9269"/>
    <n v="42653"/>
    <n v="18309"/>
    <n v="20862"/>
    <n v="10862"/>
    <n v="224245"/>
  </r>
  <r>
    <s v="CUST939"/>
    <s v="Snapdeal"/>
    <x v="1"/>
    <n v="2"/>
    <n v="93.27"/>
    <n v="88"/>
    <s v="Debit Card"/>
    <s v="Replacements"/>
    <x v="3"/>
    <n v="35138"/>
    <n v="37006"/>
    <n v="6534"/>
    <n v="45301"/>
    <n v="49058"/>
    <n v="17834"/>
    <n v="17164"/>
    <n v="5864"/>
    <n v="48225"/>
    <n v="29078"/>
    <n v="5136"/>
    <n v="46947"/>
    <n v="343285"/>
  </r>
  <r>
    <s v="CUST879"/>
    <s v="AJIO"/>
    <x v="0"/>
    <n v="8"/>
    <n v="1781.83"/>
    <n v="58"/>
    <s v="Credit Card"/>
    <s v="Replacements"/>
    <x v="1"/>
    <n v="19480"/>
    <n v="34256"/>
    <n v="42833"/>
    <n v="48989"/>
    <n v="28525"/>
    <n v="35842"/>
    <n v="1032"/>
    <n v="10364"/>
    <n v="48427"/>
    <n v="24654"/>
    <n v="28249"/>
    <n v="3473"/>
    <n v="326124"/>
  </r>
  <r>
    <s v="CUST132"/>
    <s v="Amazon"/>
    <x v="1"/>
    <n v="5"/>
    <n v="546.91"/>
    <n v="15"/>
    <s v="Debit Card"/>
    <s v="Warranties"/>
    <x v="3"/>
    <n v="18625"/>
    <n v="6983"/>
    <n v="35818"/>
    <n v="25203"/>
    <n v="21325"/>
    <n v="21015"/>
    <n v="43520"/>
    <n v="39511"/>
    <n v="31355"/>
    <n v="42508"/>
    <n v="27636"/>
    <n v="26189"/>
    <n v="339688"/>
  </r>
  <r>
    <s v="CUST147"/>
    <s v="Snapdeal"/>
    <x v="3"/>
    <n v="7"/>
    <n v="1945.6"/>
    <n v="47"/>
    <s v="UPI"/>
    <s v="Replacements"/>
    <x v="4"/>
    <n v="37329"/>
    <n v="39573"/>
    <n v="42366"/>
    <n v="43321"/>
    <n v="44503"/>
    <n v="32987"/>
    <n v="47124"/>
    <n v="40119"/>
    <n v="6403"/>
    <n v="36652"/>
    <n v="45803"/>
    <n v="47950"/>
    <n v="464130"/>
  </r>
  <r>
    <s v="CUST602"/>
    <s v="AJIO"/>
    <x v="3"/>
    <n v="2"/>
    <n v="2290.0700000000002"/>
    <n v="74"/>
    <s v="Cash on Delivery"/>
    <s v="Exchanges"/>
    <x v="4"/>
    <n v="33946"/>
    <n v="27594"/>
    <n v="12467"/>
    <n v="43877"/>
    <n v="34847"/>
    <n v="16558"/>
    <n v="5369"/>
    <n v="31750"/>
    <n v="34994"/>
    <n v="39402"/>
    <n v="44758"/>
    <n v="17554"/>
    <n v="343116"/>
  </r>
  <r>
    <s v="CUST506"/>
    <s v="Snapdeal"/>
    <x v="2"/>
    <n v="8"/>
    <n v="1526.31"/>
    <n v="42"/>
    <s v="Credit Card"/>
    <s v="Warranties"/>
    <x v="1"/>
    <n v="15442"/>
    <n v="33835"/>
    <n v="7623"/>
    <n v="30852"/>
    <n v="4973"/>
    <n v="20856"/>
    <n v="44182"/>
    <n v="39314"/>
    <n v="14854"/>
    <n v="41399"/>
    <n v="31510"/>
    <n v="24008"/>
    <n v="308848"/>
  </r>
  <r>
    <s v="CUST673"/>
    <s v="Flipkart"/>
    <x v="1"/>
    <n v="2"/>
    <n v="1649.97"/>
    <n v="75"/>
    <s v="Cash on Delivery"/>
    <s v="Exchanges"/>
    <x v="3"/>
    <n v="49349"/>
    <n v="20687"/>
    <n v="20490"/>
    <n v="41392"/>
    <n v="33041"/>
    <n v="5692"/>
    <n v="18590"/>
    <n v="31580"/>
    <n v="9406"/>
    <n v="1083"/>
    <n v="38509"/>
    <n v="43162"/>
    <n v="312981"/>
  </r>
  <r>
    <s v="CUST827"/>
    <s v="Flipkart"/>
    <x v="0"/>
    <n v="4"/>
    <n v="2856.86"/>
    <n v="52"/>
    <s v="Credit Card"/>
    <s v="Warranties"/>
    <x v="2"/>
    <n v="37268"/>
    <n v="36360"/>
    <n v="5961"/>
    <n v="12821"/>
    <n v="46945"/>
    <n v="13167"/>
    <n v="32414"/>
    <n v="12684"/>
    <n v="49479"/>
    <n v="2028"/>
    <n v="20652"/>
    <n v="9288"/>
    <n v="279067"/>
  </r>
  <r>
    <s v="CUST904"/>
    <s v="Amazon"/>
    <x v="3"/>
    <n v="1"/>
    <n v="2549.14"/>
    <n v="16"/>
    <s v="UPI"/>
    <s v="Replacements"/>
    <x v="1"/>
    <n v="19367"/>
    <n v="44434"/>
    <n v="11831"/>
    <n v="29540"/>
    <n v="24941"/>
    <n v="32239"/>
    <n v="24528"/>
    <n v="13929"/>
    <n v="49346"/>
    <n v="49287"/>
    <n v="9456"/>
    <n v="4743"/>
    <n v="313641"/>
  </r>
  <r>
    <s v="CUST198"/>
    <s v="Snapdeal"/>
    <x v="3"/>
    <n v="5"/>
    <n v="2747"/>
    <n v="28"/>
    <s v="UPI"/>
    <s v="Warranties"/>
    <x v="4"/>
    <n v="13487"/>
    <n v="25782"/>
    <n v="40702"/>
    <n v="14138"/>
    <n v="41372"/>
    <n v="18124"/>
    <n v="26579"/>
    <n v="33689"/>
    <n v="8069"/>
    <n v="30306"/>
    <n v="40932"/>
    <n v="22682"/>
    <n v="315862"/>
  </r>
  <r>
    <s v="CUST783"/>
    <s v="Amazon"/>
    <x v="0"/>
    <n v="9"/>
    <n v="2450.61"/>
    <n v="71"/>
    <s v="UPI"/>
    <s v="Replacements"/>
    <x v="4"/>
    <n v="25698"/>
    <n v="34121"/>
    <n v="20375"/>
    <n v="20013"/>
    <n v="32764"/>
    <n v="34708"/>
    <n v="39716"/>
    <n v="31009"/>
    <n v="26673"/>
    <n v="6973"/>
    <n v="32558"/>
    <n v="12363"/>
    <n v="316971"/>
  </r>
  <r>
    <s v="CUST971"/>
    <s v="AJIO"/>
    <x v="0"/>
    <n v="1"/>
    <n v="371.31"/>
    <n v="34"/>
    <s v="Credit Card"/>
    <s v="Replacements"/>
    <x v="1"/>
    <n v="46105"/>
    <n v="36744"/>
    <n v="30405"/>
    <n v="16966"/>
    <n v="26035"/>
    <n v="9508"/>
    <n v="29525"/>
    <n v="8169"/>
    <n v="48836"/>
    <n v="6488"/>
    <n v="41309"/>
    <n v="37225"/>
    <n v="337315"/>
  </r>
  <r>
    <s v="CUST825"/>
    <s v="AJIO"/>
    <x v="3"/>
    <n v="9"/>
    <n v="489.53"/>
    <n v="72"/>
    <s v="Debit Card"/>
    <s v="Refunds"/>
    <x v="3"/>
    <n v="26552"/>
    <n v="16284"/>
    <n v="24879"/>
    <n v="1384"/>
    <n v="46543"/>
    <n v="21515"/>
    <n v="38321"/>
    <n v="26389"/>
    <n v="18447"/>
    <n v="5415"/>
    <n v="2886"/>
    <n v="37620"/>
    <n v="266235"/>
  </r>
  <r>
    <s v="CUST646"/>
    <s v="Snapdeal"/>
    <x v="3"/>
    <n v="8"/>
    <n v="1603.54"/>
    <n v="4"/>
    <s v="Credit Card"/>
    <s v="Refunds"/>
    <x v="4"/>
    <n v="28836"/>
    <n v="21370"/>
    <n v="49627"/>
    <n v="43944"/>
    <n v="35424"/>
    <n v="39304"/>
    <n v="29394"/>
    <n v="26788"/>
    <n v="8943"/>
    <n v="22800"/>
    <n v="31607"/>
    <n v="48068"/>
    <n v="386105"/>
  </r>
  <r>
    <s v="CUST838"/>
    <s v="Snapdeal"/>
    <x v="0"/>
    <n v="6"/>
    <n v="775.91"/>
    <n v="1"/>
    <s v="Debit Card"/>
    <s v="Exchanges"/>
    <x v="3"/>
    <n v="7926"/>
    <n v="31458"/>
    <n v="4816"/>
    <n v="8470"/>
    <n v="35184"/>
    <n v="5622"/>
    <n v="10157"/>
    <n v="21994"/>
    <n v="30661"/>
    <n v="15957"/>
    <n v="28862"/>
    <n v="17903"/>
    <n v="219010"/>
  </r>
  <r>
    <s v="CUST712"/>
    <s v="Amazon"/>
    <x v="3"/>
    <n v="7"/>
    <n v="1456.25"/>
    <n v="61"/>
    <s v="Credit Card"/>
    <s v="Refunds"/>
    <x v="4"/>
    <n v="28117"/>
    <n v="43321"/>
    <n v="18636"/>
    <n v="12969"/>
    <n v="14338"/>
    <n v="48633"/>
    <n v="32518"/>
    <n v="45479"/>
    <n v="20567"/>
    <n v="1049"/>
    <n v="39547"/>
    <n v="25502"/>
    <n v="330676"/>
  </r>
  <r>
    <s v="CUST561"/>
    <s v="Flipkart"/>
    <x v="2"/>
    <n v="3"/>
    <n v="1213.3800000000001"/>
    <n v="5"/>
    <s v="Credit Card"/>
    <s v="Exchanges"/>
    <x v="4"/>
    <n v="22474"/>
    <n v="21923"/>
    <n v="17506"/>
    <n v="28496"/>
    <n v="31282"/>
    <n v="49343"/>
    <n v="3061"/>
    <n v="17368"/>
    <n v="36524"/>
    <n v="13489"/>
    <n v="45768"/>
    <n v="38992"/>
    <n v="326226"/>
  </r>
  <r>
    <s v="CUST742"/>
    <s v="Snapdeal"/>
    <x v="2"/>
    <n v="1"/>
    <n v="1670.77"/>
    <n v="1"/>
    <s v="UPI"/>
    <s v="Exchanges"/>
    <x v="0"/>
    <n v="2605"/>
    <n v="17691"/>
    <n v="18445"/>
    <n v="10465"/>
    <n v="36891"/>
    <n v="18762"/>
    <n v="9054"/>
    <n v="2992"/>
    <n v="29458"/>
    <n v="38099"/>
    <n v="14768"/>
    <n v="39592"/>
    <n v="238822"/>
  </r>
  <r>
    <s v="CUST868"/>
    <s v="Flipkart"/>
    <x v="0"/>
    <n v="5"/>
    <n v="2253.2800000000002"/>
    <n v="42"/>
    <s v="Cash on Delivery"/>
    <s v="Replacements"/>
    <x v="4"/>
    <n v="44453"/>
    <n v="32765"/>
    <n v="34985"/>
    <n v="9310"/>
    <n v="9477"/>
    <n v="10720"/>
    <n v="6308"/>
    <n v="32448"/>
    <n v="7087"/>
    <n v="7958"/>
    <n v="18621"/>
    <n v="48945"/>
    <n v="263077"/>
  </r>
  <r>
    <s v="CUST104"/>
    <s v="Flipkart"/>
    <x v="1"/>
    <n v="2"/>
    <n v="2160.6999999999998"/>
    <n v="29"/>
    <s v="Cash on Delivery"/>
    <s v="Refunds"/>
    <x v="2"/>
    <n v="6692"/>
    <n v="32516"/>
    <n v="46140"/>
    <n v="10662"/>
    <n v="21264"/>
    <n v="28451"/>
    <n v="15472"/>
    <n v="27365"/>
    <n v="4634"/>
    <n v="1364"/>
    <n v="14730"/>
    <n v="7869"/>
    <n v="217159"/>
  </r>
  <r>
    <s v="CUST317"/>
    <s v="Amazon"/>
    <x v="0"/>
    <n v="5"/>
    <n v="1587.64"/>
    <n v="71"/>
    <s v="Debit Card"/>
    <s v="Warranties"/>
    <x v="1"/>
    <n v="43852"/>
    <n v="35647"/>
    <n v="29346"/>
    <n v="47010"/>
    <n v="10522"/>
    <n v="44342"/>
    <n v="6184"/>
    <n v="32946"/>
    <n v="21469"/>
    <n v="11405"/>
    <n v="14527"/>
    <n v="36405"/>
    <n v="333655"/>
  </r>
  <r>
    <s v="CUST602"/>
    <s v="Flipkart"/>
    <x v="0"/>
    <n v="8"/>
    <n v="2476.06"/>
    <n v="5"/>
    <s v="Cash on Delivery"/>
    <s v="Refunds"/>
    <x v="1"/>
    <n v="38923"/>
    <n v="24980"/>
    <n v="40533"/>
    <n v="31318"/>
    <n v="30081"/>
    <n v="17732"/>
    <n v="15895"/>
    <n v="40691"/>
    <n v="3055"/>
    <n v="38713"/>
    <n v="38484"/>
    <n v="2182"/>
    <n v="322587"/>
  </r>
  <r>
    <s v="CUST866"/>
    <s v="Amazon"/>
    <x v="1"/>
    <n v="9"/>
    <n v="1321.04"/>
    <n v="64"/>
    <s v="Credit Card"/>
    <s v="Warranties"/>
    <x v="3"/>
    <n v="19204"/>
    <n v="6026"/>
    <n v="20677"/>
    <n v="40569"/>
    <n v="5113"/>
    <n v="22575"/>
    <n v="40510"/>
    <n v="32305"/>
    <n v="28588"/>
    <n v="29676"/>
    <n v="37014"/>
    <n v="41683"/>
    <n v="323940"/>
  </r>
  <r>
    <s v="CUST497"/>
    <s v="Amazon"/>
    <x v="1"/>
    <n v="2"/>
    <n v="2695.31"/>
    <n v="57"/>
    <s v="Credit Card"/>
    <s v="Refunds"/>
    <x v="4"/>
    <n v="38831"/>
    <n v="23657"/>
    <n v="48960"/>
    <n v="19589"/>
    <n v="34784"/>
    <n v="28779"/>
    <n v="26862"/>
    <n v="36854"/>
    <n v="24840"/>
    <n v="3161"/>
    <n v="38645"/>
    <n v="20682"/>
    <n v="345644"/>
  </r>
  <r>
    <s v="CUST970"/>
    <s v="AJIO"/>
    <x v="1"/>
    <n v="3"/>
    <n v="260.27999999999997"/>
    <n v="6"/>
    <s v="UPI"/>
    <s v="Exchanges"/>
    <x v="2"/>
    <n v="22967"/>
    <n v="44985"/>
    <n v="19648"/>
    <n v="27149"/>
    <n v="45406"/>
    <n v="17453"/>
    <n v="19981"/>
    <n v="35888"/>
    <n v="43850"/>
    <n v="1793"/>
    <n v="41456"/>
    <n v="20853"/>
    <n v="341429"/>
  </r>
  <r>
    <s v="CUST894"/>
    <s v="Amazon"/>
    <x v="2"/>
    <n v="3"/>
    <n v="2866.25"/>
    <n v="98"/>
    <s v="UPI"/>
    <s v="Exchanges"/>
    <x v="3"/>
    <n v="44085"/>
    <n v="31128"/>
    <n v="13949"/>
    <n v="48223"/>
    <n v="34688"/>
    <n v="2676"/>
    <n v="18811"/>
    <n v="16341"/>
    <n v="26871"/>
    <n v="9836"/>
    <n v="41100"/>
    <n v="37073"/>
    <n v="324781"/>
  </r>
  <r>
    <s v="CUST492"/>
    <s v="Amazon"/>
    <x v="3"/>
    <n v="1"/>
    <n v="1981.34"/>
    <n v="66"/>
    <s v="Cash on Delivery"/>
    <s v="Replacements"/>
    <x v="0"/>
    <n v="47976"/>
    <n v="46913"/>
    <n v="26122"/>
    <n v="24191"/>
    <n v="17161"/>
    <n v="6686"/>
    <n v="10441"/>
    <n v="42998"/>
    <n v="23169"/>
    <n v="27288"/>
    <n v="33309"/>
    <n v="28595"/>
    <n v="334849"/>
  </r>
  <r>
    <s v="CUST306"/>
    <s v="AJIO"/>
    <x v="2"/>
    <n v="8"/>
    <n v="1171.22"/>
    <n v="32"/>
    <s v="Debit Card"/>
    <s v="Replacements"/>
    <x v="3"/>
    <n v="16642"/>
    <n v="9166"/>
    <n v="15551"/>
    <n v="4058"/>
    <n v="40038"/>
    <n v="23327"/>
    <n v="25365"/>
    <n v="28325"/>
    <n v="37910"/>
    <n v="43077"/>
    <n v="14451"/>
    <n v="26545"/>
    <n v="284455"/>
  </r>
  <r>
    <s v="CUST114"/>
    <s v="AJIO"/>
    <x v="3"/>
    <n v="6"/>
    <n v="631.6"/>
    <n v="8"/>
    <s v="Cash on Delivery"/>
    <s v="Refunds"/>
    <x v="3"/>
    <n v="24380"/>
    <n v="27543"/>
    <n v="10708"/>
    <n v="2391"/>
    <n v="30061"/>
    <n v="10235"/>
    <n v="9902"/>
    <n v="9881"/>
    <n v="29249"/>
    <n v="41143"/>
    <n v="5920"/>
    <n v="22298"/>
    <n v="223711"/>
  </r>
  <r>
    <s v="CUST957"/>
    <s v="Amazon"/>
    <x v="2"/>
    <n v="8"/>
    <n v="1463.59"/>
    <n v="95"/>
    <s v="Cash on Delivery"/>
    <s v="Exchanges"/>
    <x v="4"/>
    <n v="8517"/>
    <n v="14732"/>
    <n v="49052"/>
    <n v="38438"/>
    <n v="16299"/>
    <n v="23462"/>
    <n v="8418"/>
    <n v="33234"/>
    <n v="2228"/>
    <n v="33979"/>
    <n v="7777"/>
    <n v="24291"/>
    <n v="260427"/>
  </r>
  <r>
    <s v="CUST653"/>
    <s v="Amazon"/>
    <x v="3"/>
    <n v="9"/>
    <n v="623.95000000000005"/>
    <n v="56"/>
    <s v="Cash on Delivery"/>
    <s v="Refunds"/>
    <x v="0"/>
    <n v="41388"/>
    <n v="24993"/>
    <n v="28895"/>
    <n v="40183"/>
    <n v="34100"/>
    <n v="17536"/>
    <n v="48095"/>
    <n v="1118"/>
    <n v="5374"/>
    <n v="32195"/>
    <n v="1136"/>
    <n v="21233"/>
    <n v="296246"/>
  </r>
  <r>
    <s v="CUST991"/>
    <s v="Flipkart"/>
    <x v="2"/>
    <n v="5"/>
    <n v="540.67999999999995"/>
    <n v="40"/>
    <s v="Cash on Delivery"/>
    <s v="Warranties"/>
    <x v="3"/>
    <n v="16611"/>
    <n v="5469"/>
    <n v="11521"/>
    <n v="16712"/>
    <n v="42467"/>
    <n v="14973"/>
    <n v="32369"/>
    <n v="28144"/>
    <n v="1206"/>
    <n v="38959"/>
    <n v="41507"/>
    <n v="1729"/>
    <n v="251667"/>
  </r>
  <r>
    <s v="CUST560"/>
    <s v="Amazon"/>
    <x v="1"/>
    <n v="3"/>
    <n v="1871.19"/>
    <n v="51"/>
    <s v="Credit Card"/>
    <s v="Warranties"/>
    <x v="2"/>
    <n v="25288"/>
    <n v="46335"/>
    <n v="26466"/>
    <n v="3365"/>
    <n v="35158"/>
    <n v="46100"/>
    <n v="49957"/>
    <n v="32732"/>
    <n v="11267"/>
    <n v="9851"/>
    <n v="46982"/>
    <n v="3405"/>
    <n v="336906"/>
  </r>
  <r>
    <s v="CUST790"/>
    <s v="Flipkart"/>
    <x v="0"/>
    <n v="5"/>
    <n v="1593.1"/>
    <n v="56"/>
    <s v="Debit Card"/>
    <s v="Exchanges"/>
    <x v="2"/>
    <n v="17713"/>
    <n v="12717"/>
    <n v="35726"/>
    <n v="19173"/>
    <n v="3298"/>
    <n v="16813"/>
    <n v="49174"/>
    <n v="9439"/>
    <n v="41874"/>
    <n v="43000"/>
    <n v="1979"/>
    <n v="26613"/>
    <n v="277519"/>
  </r>
  <r>
    <s v="CUST674"/>
    <s v="Amazon"/>
    <x v="2"/>
    <n v="5"/>
    <n v="2026.78"/>
    <n v="7"/>
    <s v="Credit Card"/>
    <s v="Refunds"/>
    <x v="1"/>
    <n v="30393"/>
    <n v="41368"/>
    <n v="16599"/>
    <n v="8856"/>
    <n v="7825"/>
    <n v="5819"/>
    <n v="24730"/>
    <n v="19600"/>
    <n v="36554"/>
    <n v="26356"/>
    <n v="4210"/>
    <n v="45560"/>
    <n v="267870"/>
  </r>
  <r>
    <s v="CUST963"/>
    <s v="AJIO"/>
    <x v="3"/>
    <n v="5"/>
    <n v="2792.34"/>
    <n v="54"/>
    <s v="Debit Card"/>
    <s v="Refunds"/>
    <x v="0"/>
    <n v="26955"/>
    <n v="19856"/>
    <n v="38683"/>
    <n v="14589"/>
    <n v="17633"/>
    <n v="3383"/>
    <n v="46275"/>
    <n v="44673"/>
    <n v="16080"/>
    <n v="47337"/>
    <n v="25902"/>
    <n v="34334"/>
    <n v="335700"/>
  </r>
  <r>
    <s v="CUST842"/>
    <s v="Snapdeal"/>
    <x v="1"/>
    <n v="3"/>
    <n v="1620.17"/>
    <n v="84"/>
    <s v="UPI"/>
    <s v="Replacements"/>
    <x v="0"/>
    <n v="47306"/>
    <n v="5797"/>
    <n v="9143"/>
    <n v="28138"/>
    <n v="13415"/>
    <n v="19191"/>
    <n v="4541"/>
    <n v="13311"/>
    <n v="9956"/>
    <n v="8945"/>
    <n v="28174"/>
    <n v="47274"/>
    <n v="235191"/>
  </r>
  <r>
    <s v="CUST340"/>
    <s v="Snapdeal"/>
    <x v="2"/>
    <n v="4"/>
    <n v="1763.75"/>
    <n v="88"/>
    <s v="Cash on Delivery"/>
    <s v="Warranties"/>
    <x v="1"/>
    <n v="37323"/>
    <n v="46424"/>
    <n v="33309"/>
    <n v="8991"/>
    <n v="41219"/>
    <n v="45858"/>
    <n v="19636"/>
    <n v="4823"/>
    <n v="30795"/>
    <n v="39259"/>
    <n v="7677"/>
    <n v="37364"/>
    <n v="352678"/>
  </r>
  <r>
    <s v="CUST663"/>
    <s v="Snapdeal"/>
    <x v="2"/>
    <n v="9"/>
    <n v="314.39999999999998"/>
    <n v="37"/>
    <s v="Credit Card"/>
    <s v="Exchanges"/>
    <x v="3"/>
    <n v="37934"/>
    <n v="44951"/>
    <n v="40887"/>
    <n v="14289"/>
    <n v="12829"/>
    <n v="35174"/>
    <n v="24194"/>
    <n v="24082"/>
    <n v="2916"/>
    <n v="19609"/>
    <n v="8267"/>
    <n v="41302"/>
    <n v="306434"/>
  </r>
  <r>
    <s v="CUST195"/>
    <s v="Amazon"/>
    <x v="1"/>
    <n v="9"/>
    <n v="2167.0300000000002"/>
    <n v="70"/>
    <s v="Debit Card"/>
    <s v="Warranties"/>
    <x v="0"/>
    <n v="13307"/>
    <n v="26374"/>
    <n v="13832"/>
    <n v="36460"/>
    <n v="23247"/>
    <n v="37908"/>
    <n v="2998"/>
    <n v="24760"/>
    <n v="41677"/>
    <n v="11331"/>
    <n v="43633"/>
    <n v="40314"/>
    <n v="315841"/>
  </r>
  <r>
    <s v="CUST833"/>
    <s v="Snapdeal"/>
    <x v="2"/>
    <n v="2"/>
    <n v="1229.72"/>
    <n v="22"/>
    <s v="UPI"/>
    <s v="Warranties"/>
    <x v="2"/>
    <n v="46096"/>
    <n v="26074"/>
    <n v="47455"/>
    <n v="29353"/>
    <n v="17600"/>
    <n v="10952"/>
    <n v="3753"/>
    <n v="47745"/>
    <n v="22424"/>
    <n v="15214"/>
    <n v="49323"/>
    <n v="4419"/>
    <n v="320408"/>
  </r>
  <r>
    <s v="CUST584"/>
    <s v="AJIO"/>
    <x v="0"/>
    <n v="8"/>
    <n v="2931.34"/>
    <n v="60"/>
    <s v="UPI"/>
    <s v="Warranties"/>
    <x v="2"/>
    <n v="46847"/>
    <n v="35887"/>
    <n v="24514"/>
    <n v="33753"/>
    <n v="9171"/>
    <n v="27788"/>
    <n v="36573"/>
    <n v="21007"/>
    <n v="39386"/>
    <n v="29918"/>
    <n v="34664"/>
    <n v="23694"/>
    <n v="363202"/>
  </r>
  <r>
    <s v="CUST506"/>
    <s v="Snapdeal"/>
    <x v="2"/>
    <n v="8"/>
    <n v="2478.36"/>
    <n v="60"/>
    <s v="Cash on Delivery"/>
    <s v="Refunds"/>
    <x v="4"/>
    <n v="43389"/>
    <n v="25131"/>
    <n v="30593"/>
    <n v="32059"/>
    <n v="6747"/>
    <n v="44768"/>
    <n v="37007"/>
    <n v="27899"/>
    <n v="26825"/>
    <n v="13874"/>
    <n v="27935"/>
    <n v="19182"/>
    <n v="335409"/>
  </r>
  <r>
    <s v="CUST330"/>
    <s v="Snapdeal"/>
    <x v="0"/>
    <n v="7"/>
    <n v="1591.32"/>
    <n v="54"/>
    <s v="Debit Card"/>
    <s v="Exchanges"/>
    <x v="0"/>
    <n v="25596"/>
    <n v="15816"/>
    <n v="7629"/>
    <n v="36611"/>
    <n v="45775"/>
    <n v="4539"/>
    <n v="27410"/>
    <n v="32547"/>
    <n v="17773"/>
    <n v="18612"/>
    <n v="37722"/>
    <n v="14410"/>
    <n v="284440"/>
  </r>
  <r>
    <s v="CUST848"/>
    <s v="Amazon"/>
    <x v="0"/>
    <n v="8"/>
    <n v="413.51"/>
    <n v="43"/>
    <s v="Credit Card"/>
    <s v="Exchanges"/>
    <x v="3"/>
    <n v="48982"/>
    <n v="5282"/>
    <n v="7389"/>
    <n v="31678"/>
    <n v="30777"/>
    <n v="8174"/>
    <n v="32939"/>
    <n v="26790"/>
    <n v="34363"/>
    <n v="33894"/>
    <n v="36980"/>
    <n v="12734"/>
    <n v="309982"/>
  </r>
  <r>
    <s v="CUST754"/>
    <s v="Flipkart"/>
    <x v="1"/>
    <n v="3"/>
    <n v="2585.2800000000002"/>
    <n v="11"/>
    <s v="Cash on Delivery"/>
    <s v="Exchanges"/>
    <x v="1"/>
    <n v="34179"/>
    <n v="10775"/>
    <n v="24409"/>
    <n v="28843"/>
    <n v="14914"/>
    <n v="33379"/>
    <n v="13618"/>
    <n v="29147"/>
    <n v="35706"/>
    <n v="23830"/>
    <n v="23216"/>
    <n v="16156"/>
    <n v="288172"/>
  </r>
  <r>
    <s v="CUST270"/>
    <s v="AJIO"/>
    <x v="2"/>
    <n v="6"/>
    <n v="2409.35"/>
    <n v="75"/>
    <s v="Credit Card"/>
    <s v="Warranties"/>
    <x v="1"/>
    <n v="28478"/>
    <n v="13280"/>
    <n v="38909"/>
    <n v="21560"/>
    <n v="37619"/>
    <n v="42558"/>
    <n v="30311"/>
    <n v="39326"/>
    <n v="19973"/>
    <n v="18937"/>
    <n v="42559"/>
    <n v="8120"/>
    <n v="341630"/>
  </r>
  <r>
    <s v="CUST640"/>
    <s v="Amazon"/>
    <x v="1"/>
    <n v="1"/>
    <n v="594.53"/>
    <n v="21"/>
    <s v="UPI"/>
    <s v="Warranties"/>
    <x v="3"/>
    <n v="16010"/>
    <n v="45409"/>
    <n v="22889"/>
    <n v="6444"/>
    <n v="49654"/>
    <n v="41514"/>
    <n v="35601"/>
    <n v="14215"/>
    <n v="32546"/>
    <n v="18389"/>
    <n v="10213"/>
    <n v="1461"/>
    <n v="294345"/>
  </r>
  <r>
    <s v="CUST135"/>
    <s v="AJIO"/>
    <x v="2"/>
    <n v="7"/>
    <n v="921.07"/>
    <n v="24"/>
    <s v="Credit Card"/>
    <s v="Warranties"/>
    <x v="4"/>
    <n v="46914"/>
    <n v="44531"/>
    <n v="35209"/>
    <n v="23479"/>
    <n v="18457"/>
    <n v="25427"/>
    <n v="1720"/>
    <n v="24035"/>
    <n v="43798"/>
    <n v="19633"/>
    <n v="17847"/>
    <n v="16288"/>
    <n v="317338"/>
  </r>
  <r>
    <s v="CUST624"/>
    <s v="Flipkart"/>
    <x v="2"/>
    <n v="1"/>
    <n v="2390.5500000000002"/>
    <n v="15"/>
    <s v="Credit Card"/>
    <s v="Refunds"/>
    <x v="1"/>
    <n v="46404"/>
    <n v="5568"/>
    <n v="25515"/>
    <n v="1140"/>
    <n v="14658"/>
    <n v="43280"/>
    <n v="17997"/>
    <n v="8692"/>
    <n v="39785"/>
    <n v="13658"/>
    <n v="46823"/>
    <n v="9681"/>
    <n v="273201"/>
  </r>
  <r>
    <s v="CUST259"/>
    <s v="Snapdeal"/>
    <x v="3"/>
    <n v="9"/>
    <n v="596.41999999999996"/>
    <n v="54"/>
    <s v="Cash on Delivery"/>
    <s v="Warranties"/>
    <x v="0"/>
    <n v="27897"/>
    <n v="10499"/>
    <n v="47696"/>
    <n v="14730"/>
    <n v="5722"/>
    <n v="27887"/>
    <n v="21485"/>
    <n v="36023"/>
    <n v="5038"/>
    <n v="27367"/>
    <n v="2878"/>
    <n v="20903"/>
    <n v="248125"/>
  </r>
  <r>
    <s v="CUST938"/>
    <s v="AJIO"/>
    <x v="2"/>
    <n v="1"/>
    <n v="2757.37"/>
    <n v="33"/>
    <s v="Credit Card"/>
    <s v="Exchanges"/>
    <x v="4"/>
    <n v="23754"/>
    <n v="45938"/>
    <n v="4024"/>
    <n v="34929"/>
    <n v="34015"/>
    <n v="28900"/>
    <n v="27941"/>
    <n v="6713"/>
    <n v="35325"/>
    <n v="26893"/>
    <n v="31169"/>
    <n v="22685"/>
    <n v="322286"/>
  </r>
  <r>
    <s v="CUST798"/>
    <s v="Flipkart"/>
    <x v="1"/>
    <n v="1"/>
    <n v="1302.3599999999999"/>
    <n v="67"/>
    <s v="Cash on Delivery"/>
    <s v="Replacements"/>
    <x v="0"/>
    <n v="1034"/>
    <n v="36489"/>
    <n v="22921"/>
    <n v="45189"/>
    <n v="19322"/>
    <n v="21432"/>
    <n v="35102"/>
    <n v="6580"/>
    <n v="13700"/>
    <n v="23036"/>
    <n v="43682"/>
    <n v="35839"/>
    <n v="304326"/>
  </r>
  <r>
    <s v="CUST342"/>
    <s v="AJIO"/>
    <x v="0"/>
    <n v="7"/>
    <n v="306.76"/>
    <n v="41"/>
    <s v="UPI"/>
    <s v="Replacements"/>
    <x v="2"/>
    <n v="33889"/>
    <n v="46059"/>
    <n v="48953"/>
    <n v="36285"/>
    <n v="31355"/>
    <n v="21968"/>
    <n v="48179"/>
    <n v="5140"/>
    <n v="24345"/>
    <n v="31392"/>
    <n v="45099"/>
    <n v="28665"/>
    <n v="40132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n v="5290374"/>
    <n v="820"/>
    <x v="0"/>
  </r>
  <r>
    <x v="1"/>
    <n v="5241674"/>
    <n v="790"/>
    <x v="1"/>
  </r>
  <r>
    <x v="2"/>
    <n v="5358484"/>
    <n v="860"/>
    <x v="2"/>
  </r>
  <r>
    <x v="3"/>
    <n v="5284275"/>
    <n v="805"/>
    <x v="3"/>
  </r>
  <r>
    <x v="4"/>
    <n v="5125081"/>
    <n v="770"/>
    <x v="4"/>
  </r>
  <r>
    <x v="5"/>
    <n v="5116527"/>
    <n v="755"/>
    <x v="5"/>
  </r>
  <r>
    <x v="6"/>
    <n v="5129855"/>
    <n v="765"/>
    <x v="6"/>
  </r>
  <r>
    <x v="7"/>
    <n v="5219142"/>
    <n v="800"/>
    <x v="7"/>
  </r>
  <r>
    <x v="8"/>
    <n v="5080906"/>
    <n v="740"/>
    <x v="8"/>
  </r>
  <r>
    <x v="9"/>
    <n v="5055445"/>
    <n v="730"/>
    <x v="9"/>
  </r>
  <r>
    <x v="10"/>
    <n v="5155607"/>
    <n v="780"/>
    <x v="10"/>
  </r>
  <r>
    <x v="11"/>
    <n v="5368759"/>
    <n v="890"/>
    <x v="1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21465"/>
    <n v="23462"/>
    <n v="43359"/>
    <n v="8494"/>
    <n v="21412"/>
    <n v="37504"/>
    <n v="38537"/>
    <n v="15742"/>
    <n v="33904"/>
    <n v="33903"/>
    <n v="1147"/>
    <n v="38837"/>
    <s v="india"/>
    <x v="0"/>
    <x v="0"/>
    <x v="0"/>
    <x v="0"/>
    <s v="CUST202"/>
    <x v="0"/>
    <n v="2219.2800000000002"/>
    <n v="45"/>
    <x v="0"/>
    <n v="10604"/>
    <n v="2287707.5299999998"/>
  </r>
  <r>
    <n v="39237"/>
    <n v="39561"/>
    <n v="33935"/>
    <n v="10955"/>
    <n v="1113"/>
    <n v="6956"/>
    <n v="9458"/>
    <n v="29247"/>
    <n v="14492"/>
    <n v="4927"/>
    <n v="45694"/>
    <n v="33554"/>
    <s v="india"/>
    <x v="1"/>
    <x v="1"/>
    <x v="1"/>
    <x v="1"/>
    <s v="CUST535"/>
    <x v="1"/>
    <n v="2314.79"/>
    <n v="64"/>
    <x v="0"/>
    <n v="10623"/>
    <n v="3445603.01"/>
  </r>
  <r>
    <n v="30084"/>
    <n v="32747"/>
    <n v="2283"/>
    <n v="6953"/>
    <n v="15503"/>
    <n v="23083"/>
    <n v="31732"/>
    <n v="34482"/>
    <n v="32673"/>
    <n v="23951"/>
    <n v="1820"/>
    <n v="2842"/>
    <s v="india"/>
    <x v="2"/>
    <x v="2"/>
    <x v="0"/>
    <x v="2"/>
    <s v="CUST960"/>
    <x v="2"/>
    <n v="1539.29"/>
    <n v="31"/>
    <x v="0"/>
    <n v="10590"/>
    <n v="3536584.82"/>
  </r>
  <r>
    <n v="23463"/>
    <n v="19206"/>
    <n v="40324"/>
    <n v="37770"/>
    <n v="11021"/>
    <n v="3700"/>
    <n v="17477"/>
    <n v="30865"/>
    <n v="39069"/>
    <n v="220"/>
    <n v="10390"/>
    <n v="20661"/>
    <s v="india"/>
    <x v="3"/>
    <x v="3"/>
    <x v="1"/>
    <x v="0"/>
    <s v="CUST370"/>
    <x v="0"/>
    <n v="1652.74"/>
    <n v="96"/>
    <x v="1"/>
    <n v="10655"/>
    <n v="2882455.52"/>
  </r>
  <r>
    <n v="31988"/>
    <n v="20892"/>
    <n v="3586"/>
    <n v="873"/>
    <n v="25674"/>
    <n v="11107"/>
    <n v="9260"/>
    <n v="14317"/>
    <n v="31213"/>
    <n v="2315"/>
    <n v="6234"/>
    <n v="11279"/>
    <s v="india"/>
    <x v="2"/>
    <x v="2"/>
    <x v="2"/>
    <x v="1"/>
    <s v="CUST206"/>
    <x v="0"/>
    <n v="1566.29"/>
    <n v="38"/>
    <x v="2"/>
    <n v="10597"/>
    <n v="2220128.2400000002"/>
  </r>
  <r>
    <n v="32828"/>
    <n v="22702"/>
    <n v="42316"/>
    <n v="21855"/>
    <n v="22982"/>
    <n v="37680"/>
    <n v="22582"/>
    <n v="22272"/>
    <n v="42562"/>
    <n v="24031"/>
    <n v="39681"/>
    <n v="720"/>
    <s v="india"/>
    <x v="3"/>
    <x v="3"/>
    <x v="1"/>
    <x v="0"/>
    <s v="CUST171"/>
    <x v="0"/>
    <n v="1784.77"/>
    <n v="86"/>
    <x v="3"/>
    <n v="10645"/>
    <n v="3299188.04"/>
  </r>
  <r>
    <n v="32287"/>
    <n v="4186"/>
    <n v="31236"/>
    <n v="-445"/>
    <n v="19715"/>
    <n v="22495"/>
    <n v="2775"/>
    <n v="13842"/>
    <n v="9872"/>
    <n v="37534"/>
    <n v="2248"/>
    <n v="5508"/>
    <s v="india"/>
    <x v="2"/>
    <x v="2"/>
    <x v="1"/>
    <x v="3"/>
    <s v="CUST800"/>
    <x v="0"/>
    <n v="136.71"/>
    <n v="86"/>
    <x v="3"/>
    <n v="10645"/>
    <n v="2297188.6800000002"/>
  </r>
  <r>
    <n v="37168"/>
    <n v="-3389"/>
    <n v="36978"/>
    <n v="4486"/>
    <n v="43109"/>
    <n v="41933"/>
    <n v="-8309"/>
    <n v="12163"/>
    <n v="4310"/>
    <n v="32778"/>
    <n v="38025"/>
    <n v="38253"/>
    <s v="india"/>
    <x v="1"/>
    <x v="1"/>
    <x v="1"/>
    <x v="1"/>
    <s v="CUST120"/>
    <x v="0"/>
    <n v="1216.77"/>
    <n v="61"/>
    <x v="2"/>
    <n v="10620"/>
    <n v="2644362.2000000002"/>
  </r>
  <r>
    <n v="25403"/>
    <n v="11017"/>
    <n v="28634"/>
    <n v="26258"/>
    <n v="38064"/>
    <n v="2878"/>
    <n v="35441"/>
    <n v="21076"/>
    <n v="44131"/>
    <n v="32230"/>
    <n v="40511"/>
    <n v="47767"/>
    <s v="india"/>
    <x v="3"/>
    <x v="3"/>
    <x v="3"/>
    <x v="2"/>
    <s v="CUST714"/>
    <x v="3"/>
    <n v="1838.26"/>
    <n v="52"/>
    <x v="2"/>
    <n v="10611"/>
    <n v="2770073"/>
  </r>
  <r>
    <n v="10955"/>
    <n v="6531"/>
    <n v="18851"/>
    <n v="31654"/>
    <n v="19351"/>
    <n v="47556"/>
    <n v="26054"/>
    <n v="14565"/>
    <n v="8416"/>
    <n v="17735"/>
    <n v="27808"/>
    <n v="14565"/>
    <s v="india"/>
    <x v="0"/>
    <x v="0"/>
    <x v="0"/>
    <x v="2"/>
    <s v="CUST221"/>
    <x v="2"/>
    <n v="1813.28"/>
    <n v="6"/>
    <x v="2"/>
    <n v="10565"/>
    <n v="2941042.11"/>
  </r>
  <r>
    <n v="4123"/>
    <n v="25707"/>
    <n v="39676"/>
    <n v="24955"/>
    <n v="-1750"/>
    <n v="5912"/>
    <n v="23906"/>
    <n v="2834"/>
    <n v="8278"/>
    <n v="7874"/>
    <n v="36334"/>
    <n v="47740"/>
    <s v="india"/>
    <x v="2"/>
    <x v="2"/>
    <x v="1"/>
    <x v="2"/>
    <s v="CUST566"/>
    <x v="3"/>
    <n v="2389.2199999999998"/>
    <n v="81"/>
    <x v="2"/>
    <n v="10640"/>
    <n v="2639222.4300000002"/>
  </r>
  <r>
    <n v="33522"/>
    <n v="33993"/>
    <n v="33779"/>
    <n v="33221"/>
    <n v="45388"/>
    <n v="17973"/>
    <n v="5864"/>
    <n v="4363"/>
    <n v="28435"/>
    <n v="-4305"/>
    <n v="11618"/>
    <n v="30442"/>
    <s v="india"/>
    <x v="2"/>
    <x v="2"/>
    <x v="1"/>
    <x v="2"/>
    <s v="CUST314"/>
    <x v="1"/>
    <n v="1982.28"/>
    <n v="1"/>
    <x v="1"/>
    <n v="10560"/>
    <n v="1538430.53"/>
  </r>
  <r>
    <n v="28877"/>
    <n v="28985"/>
    <n v="11590"/>
    <n v="40819"/>
    <n v="36017"/>
    <n v="814"/>
    <n v="16030"/>
    <n v="35512"/>
    <n v="25470"/>
    <n v="9479"/>
    <n v="2563"/>
    <n v="35255"/>
    <s v="india"/>
    <x v="3"/>
    <x v="3"/>
    <x v="3"/>
    <x v="0"/>
    <s v="CUST430"/>
    <x v="0"/>
    <n v="2976.79"/>
    <n v="16"/>
    <x v="3"/>
    <n v="10575"/>
    <n v="1528462.53"/>
  </r>
  <r>
    <n v="39262"/>
    <n v="7771"/>
    <n v="7405"/>
    <n v="28319"/>
    <n v="16446"/>
    <n v="9284"/>
    <n v="15778"/>
    <n v="1022"/>
    <n v="44212"/>
    <n v="1009"/>
    <n v="29139"/>
    <n v="21065"/>
    <s v="india"/>
    <x v="0"/>
    <x v="0"/>
    <x v="1"/>
    <x v="0"/>
    <s v="CUST558"/>
    <x v="2"/>
    <n v="887.37"/>
    <n v="77"/>
    <x v="0"/>
    <n v="10636"/>
    <n v="2760392.9"/>
  </r>
  <r>
    <n v="23206"/>
    <n v="28813"/>
    <n v="40301"/>
    <n v="30771"/>
    <n v="43569"/>
    <n v="46440"/>
    <n v="35307"/>
    <n v="17901"/>
    <n v="2062"/>
    <n v="13552"/>
    <n v="3310"/>
    <n v="10746"/>
    <s v="india"/>
    <x v="0"/>
    <x v="0"/>
    <x v="2"/>
    <x v="2"/>
    <s v="CUST187"/>
    <x v="0"/>
    <n v="1109.5"/>
    <n v="74"/>
    <x v="0"/>
    <n v="10633"/>
    <n v="1269964.02"/>
  </r>
  <r>
    <n v="46542"/>
    <n v="16921"/>
    <n v="4725"/>
    <n v="28146"/>
    <n v="9044"/>
    <n v="16204"/>
    <n v="16898"/>
    <n v="12256"/>
    <n v="40152"/>
    <n v="-5880"/>
    <n v="8862"/>
    <n v="37334"/>
    <s v="india"/>
    <x v="1"/>
    <x v="1"/>
    <x v="3"/>
    <x v="2"/>
    <s v="CUST472"/>
    <x v="2"/>
    <n v="1182.3499999999999"/>
    <n v="57"/>
    <x v="1"/>
    <n v="10616"/>
    <n v="1440641.18"/>
  </r>
  <r>
    <n v="32475"/>
    <n v="17672"/>
    <n v="4859"/>
    <n v="41478"/>
    <n v="37865"/>
    <n v="23231"/>
    <n v="37229"/>
    <n v="-7182"/>
    <n v="25193"/>
    <n v="9362"/>
    <n v="-444"/>
    <n v="32642"/>
    <s v="india"/>
    <x v="0"/>
    <x v="0"/>
    <x v="1"/>
    <x v="2"/>
    <s v="CUST199"/>
    <x v="3"/>
    <n v="1424.15"/>
    <n v="49"/>
    <x v="3"/>
    <n v="10608"/>
    <n v="3370088.03"/>
  </r>
  <r>
    <n v="26354"/>
    <n v="39077"/>
    <n v="20081"/>
    <n v="42153"/>
    <n v="-137"/>
    <n v="22817"/>
    <n v="34112"/>
    <n v="-2644"/>
    <n v="38116"/>
    <n v="19546"/>
    <n v="32303"/>
    <n v="31540"/>
    <s v="india"/>
    <x v="0"/>
    <x v="0"/>
    <x v="1"/>
    <x v="0"/>
    <s v="CUST971"/>
    <x v="2"/>
    <n v="2516.19"/>
    <n v="82"/>
    <x v="2"/>
    <n v="10641"/>
    <n v="1407653.76"/>
  </r>
  <r>
    <n v="41477"/>
    <n v="2976"/>
    <n v="4990"/>
    <n v="18892"/>
    <n v="24946"/>
    <n v="7211"/>
    <n v="-6179"/>
    <n v="5960"/>
    <n v="269"/>
    <n v="30219"/>
    <n v="5984"/>
    <n v="6759"/>
    <s v="india"/>
    <x v="0"/>
    <x v="0"/>
    <x v="1"/>
    <x v="2"/>
    <s v="CUST763"/>
    <x v="1"/>
    <n v="745.59"/>
    <n v="73"/>
    <x v="1"/>
    <n v="10632"/>
    <n v="1330962.31"/>
  </r>
  <r>
    <n v="30976"/>
    <n v="8152"/>
    <n v="20320"/>
    <n v="41473"/>
    <n v="7384"/>
    <n v="10525"/>
    <n v="-5160"/>
    <n v="30998"/>
    <n v="27555"/>
    <n v="-3532"/>
    <n v="37769"/>
    <n v="25424"/>
    <s v="india"/>
    <x v="4"/>
    <x v="4"/>
    <x v="0"/>
    <x v="2"/>
    <s v="CUST230"/>
    <x v="1"/>
    <n v="2339.1999999999998"/>
    <n v="18"/>
    <x v="1"/>
    <n v="10577"/>
    <n v="1535243.55"/>
  </r>
  <r>
    <n v="2522"/>
    <n v="13911"/>
    <n v="36056"/>
    <n v="-778"/>
    <n v="41953"/>
    <n v="8893"/>
    <n v="30464"/>
    <n v="15496"/>
    <n v="25702"/>
    <n v="-3396"/>
    <n v="29923"/>
    <n v="32243"/>
    <s v="india"/>
    <x v="1"/>
    <x v="1"/>
    <x v="3"/>
    <x v="3"/>
    <s v="CUST761"/>
    <x v="2"/>
    <n v="1245.67"/>
    <n v="78"/>
    <x v="2"/>
    <n v="10637"/>
    <n v="3101745.47"/>
  </r>
  <r>
    <n v="46409"/>
    <n v="-56"/>
    <n v="12761"/>
    <n v="-3869"/>
    <n v="28205"/>
    <n v="4464"/>
    <n v="6905"/>
    <n v="16683"/>
    <n v="29601"/>
    <n v="100"/>
    <n v="35851"/>
    <n v="5318"/>
    <s v="india"/>
    <x v="2"/>
    <x v="2"/>
    <x v="2"/>
    <x v="3"/>
    <s v="CUST408"/>
    <x v="2"/>
    <n v="1825.47"/>
    <n v="67"/>
    <x v="3"/>
    <n v="10626"/>
    <n v="2307723.98"/>
  </r>
  <r>
    <n v="45608"/>
    <n v="37564"/>
    <n v="11054"/>
    <n v="29422"/>
    <n v="-117"/>
    <n v="38343"/>
    <n v="20148"/>
    <n v="27311"/>
    <n v="25183"/>
    <n v="23022"/>
    <n v="35358"/>
    <n v="48025"/>
    <s v="india"/>
    <x v="3"/>
    <x v="3"/>
    <x v="0"/>
    <x v="2"/>
    <s v="CUST869"/>
    <x v="2"/>
    <n v="1915.99"/>
    <n v="78"/>
    <x v="3"/>
    <n v="10637"/>
    <n v="3302487.3"/>
  </r>
  <r>
    <n v="3031"/>
    <n v="15329"/>
    <n v="34684"/>
    <n v="2331"/>
    <n v="-1039"/>
    <n v="34774"/>
    <n v="14050"/>
    <n v="40329"/>
    <n v="20754"/>
    <n v="31969"/>
    <n v="7662"/>
    <n v="10045"/>
    <s v="india"/>
    <x v="2"/>
    <x v="2"/>
    <x v="2"/>
    <x v="1"/>
    <s v="CUST443"/>
    <x v="2"/>
    <n v="1149.9000000000001"/>
    <n v="14"/>
    <x v="0"/>
    <n v="10573"/>
    <n v="3244653.5"/>
  </r>
  <r>
    <n v="8085"/>
    <n v="18860"/>
    <n v="13359"/>
    <n v="-1945"/>
    <n v="11252"/>
    <n v="40747"/>
    <n v="-4266"/>
    <n v="13970"/>
    <n v="23341"/>
    <n v="4773"/>
    <n v="9506"/>
    <n v="17652"/>
    <s v="india"/>
    <x v="1"/>
    <x v="1"/>
    <x v="0"/>
    <x v="2"/>
    <s v="CUST591"/>
    <x v="1"/>
    <n v="1562.21"/>
    <n v="32"/>
    <x v="2"/>
    <n v="10591"/>
    <n v="3368338.67"/>
  </r>
  <r>
    <n v="44901"/>
    <n v="6204"/>
    <n v="39291"/>
    <n v="-2567"/>
    <n v="33321"/>
    <n v="46"/>
    <n v="2340"/>
    <n v="30885"/>
    <n v="748"/>
    <n v="17871"/>
    <n v="6287"/>
    <n v="18833"/>
    <s v="india"/>
    <x v="3"/>
    <x v="3"/>
    <x v="0"/>
    <x v="3"/>
    <s v="CUST513"/>
    <x v="0"/>
    <n v="1268.44"/>
    <n v="49"/>
    <x v="1"/>
    <n v="10608"/>
    <n v="3305037.22"/>
  </r>
  <r>
    <n v="-1354"/>
    <n v="20936"/>
    <n v="19162"/>
    <n v="12922"/>
    <n v="28759"/>
    <n v="38637"/>
    <n v="3642"/>
    <n v="14382"/>
    <n v="16119"/>
    <n v="36296"/>
    <n v="30475"/>
    <n v="497"/>
    <s v="india"/>
    <x v="1"/>
    <x v="1"/>
    <x v="1"/>
    <x v="1"/>
    <s v="CUST905"/>
    <x v="2"/>
    <n v="253.94"/>
    <n v="72"/>
    <x v="1"/>
    <n v="10631"/>
    <n v="1795482.22"/>
  </r>
  <r>
    <n v="27407"/>
    <n v="-927"/>
    <n v="31828"/>
    <n v="7184"/>
    <n v="21150"/>
    <n v="42153"/>
    <n v="14819"/>
    <n v="10492"/>
    <n v="35"/>
    <n v="13552"/>
    <n v="15450"/>
    <n v="36121"/>
    <s v="india"/>
    <x v="0"/>
    <x v="0"/>
    <x v="0"/>
    <x v="1"/>
    <s v="CUST485"/>
    <x v="2"/>
    <n v="1339.64"/>
    <n v="42"/>
    <x v="1"/>
    <n v="10601"/>
    <n v="1722306.46"/>
  </r>
  <r>
    <n v="25070"/>
    <n v="-7402"/>
    <n v="28169"/>
    <n v="40872"/>
    <n v="35177"/>
    <n v="47324"/>
    <n v="37085"/>
    <n v="39763"/>
    <n v="10674"/>
    <n v="9143"/>
    <n v="29727"/>
    <n v="32367"/>
    <s v="india"/>
    <x v="3"/>
    <x v="3"/>
    <x v="2"/>
    <x v="2"/>
    <s v="CUST291"/>
    <x v="1"/>
    <n v="337.31"/>
    <n v="47"/>
    <x v="1"/>
    <n v="10606"/>
    <n v="1944990.52"/>
  </r>
  <r>
    <n v="8457"/>
    <n v="-2895"/>
    <n v="32476"/>
    <n v="25451"/>
    <n v="10470"/>
    <n v="10871"/>
    <n v="-7851"/>
    <n v="16404"/>
    <n v="20750"/>
    <n v="6729"/>
    <n v="47309"/>
    <n v="42767"/>
    <s v="india"/>
    <x v="0"/>
    <x v="0"/>
    <x v="2"/>
    <x v="3"/>
    <s v="CUST376"/>
    <x v="1"/>
    <n v="1244.81"/>
    <n v="38"/>
    <x v="0"/>
    <n v="10597"/>
    <n v="3309710.56"/>
  </r>
  <r>
    <n v="18130"/>
    <n v="14695"/>
    <n v="41865"/>
    <n v="31415"/>
    <n v="35808"/>
    <n v="42700"/>
    <n v="25265"/>
    <n v="8223"/>
    <n v="30406"/>
    <n v="33472"/>
    <n v="35264"/>
    <n v="10548"/>
    <s v="india"/>
    <x v="2"/>
    <x v="2"/>
    <x v="3"/>
    <x v="3"/>
    <s v="CUST260"/>
    <x v="3"/>
    <n v="1799.11"/>
    <n v="66"/>
    <x v="2"/>
    <n v="10625"/>
    <n v="3166864.37"/>
  </r>
  <r>
    <n v="5830"/>
    <n v="39860"/>
    <n v="38338"/>
    <n v="37974"/>
    <n v="13522"/>
    <n v="22675"/>
    <n v="15840"/>
    <n v="-4155"/>
    <n v="16757"/>
    <n v="28539"/>
    <n v="31744"/>
    <n v="38347"/>
    <s v="india"/>
    <x v="2"/>
    <x v="2"/>
    <x v="2"/>
    <x v="1"/>
    <s v="CUST559"/>
    <x v="2"/>
    <n v="1759.27"/>
    <n v="91"/>
    <x v="0"/>
    <n v="10650"/>
    <n v="1736248.64"/>
  </r>
  <r>
    <n v="4785"/>
    <n v="21971"/>
    <n v="35820"/>
    <n v="17672"/>
    <n v="-1260"/>
    <n v="33528"/>
    <n v="2260"/>
    <n v="-6026"/>
    <n v="29584"/>
    <n v="25642"/>
    <n v="41256"/>
    <n v="40438"/>
    <s v="india"/>
    <x v="3"/>
    <x v="3"/>
    <x v="2"/>
    <x v="2"/>
    <s v="CUST413"/>
    <x v="3"/>
    <n v="2004.73"/>
    <n v="63"/>
    <x v="0"/>
    <n v="10622"/>
    <n v="3043212.82"/>
  </r>
  <r>
    <n v="14435"/>
    <n v="15432"/>
    <n v="17462"/>
    <n v="26657"/>
    <n v="44523"/>
    <n v="14489"/>
    <n v="34609"/>
    <n v="34683"/>
    <n v="16881"/>
    <n v="38069"/>
    <n v="13072"/>
    <n v="28235"/>
    <s v="india"/>
    <x v="3"/>
    <x v="3"/>
    <x v="0"/>
    <x v="0"/>
    <s v="CUST121"/>
    <x v="1"/>
    <n v="331.02"/>
    <n v="65"/>
    <x v="1"/>
    <n v="10624"/>
    <n v="2183729.61"/>
  </r>
  <r>
    <n v="44373"/>
    <n v="13249"/>
    <n v="41605"/>
    <n v="24298"/>
    <n v="8539"/>
    <n v="23683"/>
    <n v="-7837"/>
    <n v="17811"/>
    <n v="35781"/>
    <n v="40305"/>
    <n v="7189"/>
    <n v="17543"/>
    <s v="india"/>
    <x v="1"/>
    <x v="1"/>
    <x v="2"/>
    <x v="0"/>
    <s v="CUST352"/>
    <x v="1"/>
    <n v="1973.76"/>
    <n v="64"/>
    <x v="1"/>
    <n v="10623"/>
    <n v="2163410.39"/>
  </r>
  <r>
    <n v="13122"/>
    <n v="40189"/>
    <n v="28253"/>
    <n v="-1409"/>
    <n v="12586"/>
    <n v="6055"/>
    <n v="30072"/>
    <n v="11584"/>
    <n v="13318"/>
    <n v="22012"/>
    <n v="17167"/>
    <n v="14978"/>
    <s v="india"/>
    <x v="1"/>
    <x v="1"/>
    <x v="1"/>
    <x v="3"/>
    <s v="CUST847"/>
    <x v="0"/>
    <n v="970.84"/>
    <n v="14"/>
    <x v="1"/>
    <n v="10573"/>
    <n v="2381425.0499999998"/>
  </r>
  <r>
    <n v="23452"/>
    <n v="35495"/>
    <n v="26315"/>
    <n v="10559"/>
    <n v="13747"/>
    <n v="40287"/>
    <n v="10044"/>
    <n v="3009"/>
    <n v="1528"/>
    <n v="13624"/>
    <n v="10189"/>
    <n v="47070"/>
    <s v="india"/>
    <x v="0"/>
    <x v="0"/>
    <x v="1"/>
    <x v="0"/>
    <s v="CUST956"/>
    <x v="2"/>
    <n v="1227.19"/>
    <n v="11"/>
    <x v="2"/>
    <n v="10570"/>
    <n v="1836290.7"/>
  </r>
  <r>
    <n v="2759"/>
    <n v="-2505"/>
    <n v="6592"/>
    <n v="33221"/>
    <n v="19247"/>
    <n v="31282"/>
    <n v="16766"/>
    <n v="38214"/>
    <n v="12603"/>
    <n v="7631"/>
    <n v="24616"/>
    <n v="4409"/>
    <s v="india"/>
    <x v="3"/>
    <x v="3"/>
    <x v="0"/>
    <x v="3"/>
    <s v="CUST660"/>
    <x v="3"/>
    <n v="2581.06"/>
    <n v="5"/>
    <x v="2"/>
    <n v="10564"/>
    <n v="2155130.2200000002"/>
  </r>
  <r>
    <n v="34144"/>
    <n v="28984"/>
    <n v="43664"/>
    <n v="35733"/>
    <n v="-2178"/>
    <n v="25043"/>
    <n v="34893"/>
    <n v="35671"/>
    <n v="6591"/>
    <n v="-1062"/>
    <n v="29804"/>
    <n v="22994"/>
    <s v="india"/>
    <x v="2"/>
    <x v="2"/>
    <x v="2"/>
    <x v="3"/>
    <s v="CUST574"/>
    <x v="1"/>
    <n v="76.64"/>
    <n v="34"/>
    <x v="1"/>
    <n v="10593"/>
    <n v="2254107.5499999998"/>
  </r>
  <r>
    <n v="339"/>
    <n v="30384"/>
    <n v="36307"/>
    <n v="51"/>
    <n v="608"/>
    <n v="17167"/>
    <n v="32391"/>
    <n v="-2204"/>
    <n v="31738"/>
    <n v="-6633"/>
    <n v="13609"/>
    <n v="19586"/>
    <s v="india"/>
    <x v="1"/>
    <x v="1"/>
    <x v="3"/>
    <x v="3"/>
    <s v="CUST158"/>
    <x v="1"/>
    <n v="1785.82"/>
    <n v="43"/>
    <x v="1"/>
    <n v="10602"/>
    <n v="2738818.83"/>
  </r>
  <r>
    <n v="3727"/>
    <n v="646"/>
    <n v="15664"/>
    <n v="32097"/>
    <n v="25166"/>
    <n v="14155"/>
    <n v="10833"/>
    <n v="28625"/>
    <n v="29693"/>
    <n v="17969"/>
    <n v="40715"/>
    <n v="23327"/>
    <s v="india"/>
    <x v="1"/>
    <x v="1"/>
    <x v="0"/>
    <x v="0"/>
    <s v="CUST610"/>
    <x v="3"/>
    <n v="1816.21"/>
    <n v="56"/>
    <x v="0"/>
    <n v="10615"/>
    <n v="1174947.81"/>
  </r>
  <r>
    <n v="20468"/>
    <n v="-7813"/>
    <n v="21414"/>
    <n v="6938"/>
    <n v="13056"/>
    <n v="11647"/>
    <n v="8724"/>
    <n v="38000"/>
    <n v="13629"/>
    <n v="-2535"/>
    <n v="46278"/>
    <n v="30304"/>
    <s v="india"/>
    <x v="2"/>
    <x v="2"/>
    <x v="1"/>
    <x v="3"/>
    <s v="CUST781"/>
    <x v="0"/>
    <n v="1220.1500000000001"/>
    <n v="84"/>
    <x v="0"/>
    <n v="10643"/>
    <n v="2336283.56"/>
  </r>
  <r>
    <n v="8225"/>
    <n v="-3681"/>
    <n v="26432"/>
    <n v="32225"/>
    <n v="41553"/>
    <n v="41247"/>
    <n v="-7572"/>
    <n v="-6372"/>
    <n v="23612"/>
    <n v="24840"/>
    <n v="9093"/>
    <n v="27041"/>
    <s v="india"/>
    <x v="1"/>
    <x v="1"/>
    <x v="3"/>
    <x v="1"/>
    <s v="CUST575"/>
    <x v="1"/>
    <n v="749.23"/>
    <n v="23"/>
    <x v="0"/>
    <n v="10582"/>
    <n v="1543200.87"/>
  </r>
  <r>
    <n v="8319"/>
    <n v="-4777"/>
    <n v="43104"/>
    <n v="8637"/>
    <n v="35819"/>
    <n v="11081"/>
    <n v="7265"/>
    <n v="10859"/>
    <n v="29643"/>
    <n v="2317"/>
    <n v="29533"/>
    <n v="-758"/>
    <s v="india"/>
    <x v="0"/>
    <x v="0"/>
    <x v="3"/>
    <x v="2"/>
    <s v="CUST799"/>
    <x v="2"/>
    <n v="742.29"/>
    <n v="70"/>
    <x v="2"/>
    <n v="10629"/>
    <n v="1709908.93"/>
  </r>
  <r>
    <n v="31802"/>
    <n v="6058"/>
    <n v="17687"/>
    <n v="9486"/>
    <n v="39123"/>
    <n v="7757"/>
    <n v="3579"/>
    <n v="20796"/>
    <n v="37447"/>
    <n v="39060"/>
    <n v="12752"/>
    <n v="46636"/>
    <s v="india"/>
    <x v="3"/>
    <x v="3"/>
    <x v="1"/>
    <x v="2"/>
    <s v="CUST882"/>
    <x v="1"/>
    <n v="2656.94"/>
    <n v="16"/>
    <x v="2"/>
    <n v="10575"/>
    <n v="1944774.47"/>
  </r>
  <r>
    <n v="18279"/>
    <n v="-275"/>
    <n v="27532"/>
    <n v="22461"/>
    <n v="2778"/>
    <n v="40654"/>
    <n v="20180"/>
    <n v="12831"/>
    <n v="16517"/>
    <n v="29160"/>
    <n v="23816"/>
    <n v="37805"/>
    <s v="india"/>
    <x v="2"/>
    <x v="2"/>
    <x v="3"/>
    <x v="3"/>
    <s v="CUST289"/>
    <x v="2"/>
    <n v="1353.97"/>
    <n v="79"/>
    <x v="1"/>
    <n v="10638"/>
    <n v="2484477.64"/>
  </r>
  <r>
    <n v="3891"/>
    <n v="22488"/>
    <n v="167"/>
    <n v="1504"/>
    <n v="20348"/>
    <n v="20064"/>
    <n v="4869"/>
    <n v="7450"/>
    <n v="381"/>
    <n v="21259"/>
    <n v="7857"/>
    <n v="14481"/>
    <s v="india"/>
    <x v="3"/>
    <x v="3"/>
    <x v="0"/>
    <x v="2"/>
    <s v="CUST786"/>
    <x v="3"/>
    <n v="1026.1199999999999"/>
    <n v="33"/>
    <x v="0"/>
    <n v="10592"/>
    <n v="3221199.87"/>
  </r>
  <r>
    <n v="36922"/>
    <n v="3222"/>
    <n v="3822"/>
    <n v="21491"/>
    <n v="33578"/>
    <n v="29218"/>
    <n v="15868"/>
    <n v="34378"/>
    <n v="42789"/>
    <n v="23933"/>
    <n v="2953"/>
    <n v="19562"/>
    <s v="india"/>
    <x v="1"/>
    <x v="1"/>
    <x v="1"/>
    <x v="0"/>
    <s v="CUST662"/>
    <x v="2"/>
    <n v="1373.89"/>
    <n v="83"/>
    <x v="0"/>
    <n v="10642"/>
    <n v="2102570.92"/>
  </r>
  <r>
    <n v="5302"/>
    <n v="28388"/>
    <n v="289"/>
    <n v="35872"/>
    <n v="7865"/>
    <n v="25746"/>
    <n v="-9688"/>
    <n v="-6218"/>
    <n v="32504"/>
    <n v="19014"/>
    <n v="5287"/>
    <n v="14492"/>
    <s v="india"/>
    <x v="1"/>
    <x v="1"/>
    <x v="0"/>
    <x v="0"/>
    <s v="CUST975"/>
    <x v="3"/>
    <n v="2024.7"/>
    <n v="64"/>
    <x v="3"/>
    <n v="10623"/>
    <n v="3115400.68"/>
  </r>
  <r>
    <n v="17845"/>
    <n v="14110"/>
    <n v="36101"/>
    <n v="27966"/>
    <n v="3767"/>
    <n v="40232"/>
    <n v="2273"/>
    <n v="9229"/>
    <n v="20304"/>
    <n v="30913"/>
    <n v="24911"/>
    <n v="41807"/>
    <s v="india"/>
    <x v="2"/>
    <x v="2"/>
    <x v="2"/>
    <x v="2"/>
    <s v="CUST666"/>
    <x v="2"/>
    <n v="479.98"/>
    <n v="80"/>
    <x v="0"/>
    <n v="10639"/>
    <n v="1476906.21"/>
  </r>
  <r>
    <n v="32068"/>
    <n v="-6550"/>
    <n v="5858"/>
    <n v="263"/>
    <n v="4386"/>
    <n v="12442"/>
    <n v="245"/>
    <n v="11916"/>
    <n v="7751"/>
    <n v="18119"/>
    <n v="24411"/>
    <n v="30594"/>
    <s v="india"/>
    <x v="0"/>
    <x v="0"/>
    <x v="2"/>
    <x v="0"/>
    <s v="CUST343"/>
    <x v="3"/>
    <n v="1375.83"/>
    <n v="51"/>
    <x v="2"/>
    <n v="10610"/>
    <n v="1950079.52"/>
  </r>
  <r>
    <n v="698"/>
    <n v="14596"/>
    <n v="35631"/>
    <n v="42006"/>
    <n v="7603"/>
    <n v="24453"/>
    <n v="27452"/>
    <n v="28742"/>
    <n v="13006"/>
    <n v="3789"/>
    <n v="6210"/>
    <n v="45563"/>
    <s v="india"/>
    <x v="4"/>
    <x v="4"/>
    <x v="3"/>
    <x v="2"/>
    <s v="CUST931"/>
    <x v="2"/>
    <n v="1784.26"/>
    <n v="94"/>
    <x v="0"/>
    <n v="10653"/>
    <n v="3253543.78"/>
  </r>
  <r>
    <n v="15542"/>
    <n v="13171"/>
    <n v="21506"/>
    <n v="-3862"/>
    <n v="32972"/>
    <n v="27750"/>
    <n v="21928"/>
    <n v="-222"/>
    <n v="22789"/>
    <n v="-7052"/>
    <n v="40558"/>
    <n v="36714"/>
    <s v="india"/>
    <x v="2"/>
    <x v="2"/>
    <x v="1"/>
    <x v="2"/>
    <s v="CUST604"/>
    <x v="0"/>
    <n v="2848.32"/>
    <n v="34"/>
    <x v="1"/>
    <n v="10593"/>
    <n v="2377961.44"/>
  </r>
  <r>
    <n v="6710"/>
    <n v="7702"/>
    <n v="33198"/>
    <n v="-4997"/>
    <n v="46043"/>
    <n v="43784"/>
    <n v="12022"/>
    <n v="35463"/>
    <n v="26909"/>
    <n v="8958"/>
    <n v="29029"/>
    <n v="39537"/>
    <s v="india"/>
    <x v="4"/>
    <x v="4"/>
    <x v="1"/>
    <x v="2"/>
    <s v="CUST230"/>
    <x v="2"/>
    <n v="794.96"/>
    <n v="72"/>
    <x v="1"/>
    <n v="10631"/>
    <n v="3477320.92"/>
  </r>
  <r>
    <n v="6543"/>
    <n v="28224"/>
    <n v="24725"/>
    <n v="-3727"/>
    <n v="14645"/>
    <n v="20688"/>
    <n v="23394"/>
    <n v="31016"/>
    <n v="33488"/>
    <n v="4837"/>
    <n v="3131"/>
    <n v="46111"/>
    <s v="india"/>
    <x v="4"/>
    <x v="4"/>
    <x v="2"/>
    <x v="3"/>
    <s v="CUST584"/>
    <x v="2"/>
    <n v="1109.79"/>
    <n v="60"/>
    <x v="3"/>
    <n v="10619"/>
    <n v="2909908.95"/>
  </r>
  <r>
    <n v="2079"/>
    <n v="37325"/>
    <n v="31530"/>
    <n v="4623"/>
    <n v="31362"/>
    <n v="30765"/>
    <n v="-9630"/>
    <n v="32081"/>
    <n v="30611"/>
    <n v="-3272"/>
    <n v="26482"/>
    <n v="38471"/>
    <s v="india"/>
    <x v="0"/>
    <x v="0"/>
    <x v="2"/>
    <x v="2"/>
    <s v="CUST918"/>
    <x v="0"/>
    <n v="1169.1099999999999"/>
    <n v="39"/>
    <x v="2"/>
    <n v="10598"/>
    <n v="1348176.94"/>
  </r>
  <r>
    <n v="1617"/>
    <n v="40943"/>
    <n v="6870"/>
    <n v="8371"/>
    <n v="6796"/>
    <n v="16253"/>
    <n v="14409"/>
    <n v="24511"/>
    <n v="14150"/>
    <n v="16294"/>
    <n v="8516"/>
    <n v="24160"/>
    <s v="india"/>
    <x v="4"/>
    <x v="4"/>
    <x v="0"/>
    <x v="3"/>
    <s v="CUST746"/>
    <x v="1"/>
    <n v="1836.34"/>
    <n v="82"/>
    <x v="0"/>
    <n v="10641"/>
    <n v="3160417.34"/>
  </r>
  <r>
    <n v="7454"/>
    <n v="10515"/>
    <n v="27257"/>
    <n v="38262"/>
    <n v="36052"/>
    <n v="5399"/>
    <n v="-8774"/>
    <n v="7944"/>
    <n v="5697"/>
    <n v="24972"/>
    <n v="25480"/>
    <n v="18074"/>
    <s v="india"/>
    <x v="4"/>
    <x v="4"/>
    <x v="2"/>
    <x v="2"/>
    <s v="CUST120"/>
    <x v="1"/>
    <n v="1102.3599999999999"/>
    <n v="57"/>
    <x v="3"/>
    <n v="10616"/>
    <n v="1561297.98"/>
  </r>
  <r>
    <n v="26282"/>
    <n v="13977"/>
    <n v="32448"/>
    <n v="14276"/>
    <n v="37448"/>
    <n v="22892"/>
    <n v="-6062"/>
    <n v="-2570"/>
    <n v="46890"/>
    <n v="5735"/>
    <n v="34084"/>
    <n v="17546"/>
    <s v="india"/>
    <x v="0"/>
    <x v="0"/>
    <x v="2"/>
    <x v="2"/>
    <s v="CUST940"/>
    <x v="2"/>
    <n v="1623.86"/>
    <n v="20"/>
    <x v="1"/>
    <n v="10579"/>
    <n v="1698588.58"/>
  </r>
  <r>
    <n v="38397"/>
    <n v="25355"/>
    <n v="17863"/>
    <n v="36660"/>
    <n v="18816"/>
    <n v="23184"/>
    <n v="18489"/>
    <n v="-3051"/>
    <n v="10560"/>
    <n v="1628"/>
    <n v="6398"/>
    <n v="25659"/>
    <s v="india"/>
    <x v="4"/>
    <x v="4"/>
    <x v="1"/>
    <x v="2"/>
    <s v="CUST266"/>
    <x v="0"/>
    <n v="2356.2800000000002"/>
    <n v="52"/>
    <x v="1"/>
    <n v="10611"/>
    <n v="1728049.63"/>
  </r>
  <r>
    <n v="23001"/>
    <n v="37043"/>
    <n v="-2795"/>
    <n v="-4174"/>
    <n v="24563"/>
    <n v="37312"/>
    <n v="-9621"/>
    <n v="5411"/>
    <n v="44853"/>
    <n v="2421"/>
    <n v="42711"/>
    <n v="21399"/>
    <s v="india"/>
    <x v="4"/>
    <x v="4"/>
    <x v="1"/>
    <x v="0"/>
    <s v="CUST373"/>
    <x v="2"/>
    <n v="2130.89"/>
    <n v="94"/>
    <x v="2"/>
    <n v="10653"/>
    <n v="1996589.71"/>
  </r>
  <r>
    <n v="55"/>
    <n v="15231"/>
    <n v="10996"/>
    <n v="24402"/>
    <n v="19762"/>
    <n v="45601"/>
    <n v="32842"/>
    <n v="23337"/>
    <n v="45866"/>
    <n v="-1240"/>
    <n v="986"/>
    <n v="43695"/>
    <s v="india"/>
    <x v="4"/>
    <x v="4"/>
    <x v="1"/>
    <x v="3"/>
    <s v="CUST487"/>
    <x v="3"/>
    <n v="1366.79"/>
    <n v="75"/>
    <x v="0"/>
    <n v="10634"/>
    <n v="3448050.09"/>
  </r>
  <r>
    <n v="27349"/>
    <n v="738"/>
    <n v="29415"/>
    <n v="30458"/>
    <n v="15744"/>
    <n v="41883"/>
    <n v="29855"/>
    <n v="3795"/>
    <n v="46992"/>
    <n v="36832"/>
    <n v="39993"/>
    <n v="30771"/>
    <s v="india"/>
    <x v="2"/>
    <x v="2"/>
    <x v="1"/>
    <x v="3"/>
    <s v="CUST700"/>
    <x v="3"/>
    <n v="2599.44"/>
    <n v="72"/>
    <x v="1"/>
    <n v="10631"/>
    <n v="3041032.52"/>
  </r>
  <r>
    <n v="19559"/>
    <n v="13039"/>
    <n v="6105"/>
    <n v="32188"/>
    <n v="16360"/>
    <n v="40858"/>
    <n v="18299"/>
    <n v="35713"/>
    <n v="13261"/>
    <n v="18603"/>
    <n v="35081"/>
    <n v="35447"/>
    <s v="india"/>
    <x v="2"/>
    <x v="2"/>
    <x v="0"/>
    <x v="2"/>
    <s v="CUST415"/>
    <x v="2"/>
    <n v="1696.51"/>
    <n v="98"/>
    <x v="3"/>
    <n v="10657"/>
    <n v="2363387.66"/>
  </r>
  <r>
    <n v="16091"/>
    <n v="4378"/>
    <n v="32078"/>
    <n v="36802"/>
    <n v="40518"/>
    <n v="34451"/>
    <n v="18579"/>
    <n v="6417"/>
    <n v="24267"/>
    <n v="17523"/>
    <n v="35913"/>
    <n v="3087"/>
    <s v="india"/>
    <x v="2"/>
    <x v="2"/>
    <x v="1"/>
    <x v="2"/>
    <s v="CUST113"/>
    <x v="1"/>
    <n v="1642.72"/>
    <n v="87"/>
    <x v="2"/>
    <n v="10646"/>
    <n v="1745535.84"/>
  </r>
  <r>
    <n v="37484"/>
    <n v="38230"/>
    <n v="27054"/>
    <n v="38109"/>
    <n v="6314"/>
    <n v="796"/>
    <n v="18118"/>
    <n v="20236"/>
    <n v="21007"/>
    <n v="-5778"/>
    <n v="45113"/>
    <n v="2997"/>
    <s v="india"/>
    <x v="0"/>
    <x v="0"/>
    <x v="0"/>
    <x v="0"/>
    <s v="CUST341"/>
    <x v="1"/>
    <n v="150.85"/>
    <n v="93"/>
    <x v="3"/>
    <n v="10652"/>
    <n v="2306373.4700000002"/>
  </r>
  <r>
    <n v="23067"/>
    <n v="28959"/>
    <n v="44633"/>
    <n v="-2392"/>
    <n v="31522"/>
    <n v="19884"/>
    <n v="38764"/>
    <n v="38688"/>
    <n v="34527"/>
    <n v="2765"/>
    <n v="1311"/>
    <n v="8075"/>
    <s v="india"/>
    <x v="1"/>
    <x v="1"/>
    <x v="2"/>
    <x v="0"/>
    <s v="CUST876"/>
    <x v="2"/>
    <n v="2960.74"/>
    <n v="14"/>
    <x v="0"/>
    <n v="10573"/>
    <n v="1293373.8999999999"/>
  </r>
  <r>
    <n v="42767"/>
    <n v="12282"/>
    <n v="19149"/>
    <n v="32950"/>
    <n v="17271"/>
    <n v="33048"/>
    <n v="2781"/>
    <n v="6144"/>
    <n v="44537"/>
    <n v="-312"/>
    <n v="8663"/>
    <n v="43225"/>
    <s v="india"/>
    <x v="4"/>
    <x v="4"/>
    <x v="2"/>
    <x v="0"/>
    <s v="CUST445"/>
    <x v="2"/>
    <n v="412.76"/>
    <n v="81"/>
    <x v="0"/>
    <n v="10640"/>
    <n v="1641175.22"/>
  </r>
  <r>
    <n v="30546"/>
    <n v="35287"/>
    <n v="44468"/>
    <n v="34306"/>
    <n v="22350"/>
    <n v="-254"/>
    <n v="18607"/>
    <n v="8016"/>
    <n v="18903"/>
    <n v="32332"/>
    <n v="28326"/>
    <n v="28525"/>
    <s v="india"/>
    <x v="4"/>
    <x v="4"/>
    <x v="0"/>
    <x v="3"/>
    <s v="CUST664"/>
    <x v="3"/>
    <n v="731.84"/>
    <n v="27"/>
    <x v="0"/>
    <n v="10586"/>
    <n v="1960858.98"/>
  </r>
  <r>
    <n v="24963"/>
    <n v="-3843"/>
    <n v="12746"/>
    <n v="37033"/>
    <n v="3705"/>
    <n v="43663"/>
    <n v="6554"/>
    <n v="7467"/>
    <n v="9750"/>
    <n v="3107"/>
    <n v="34104"/>
    <n v="9778"/>
    <s v="india"/>
    <x v="0"/>
    <x v="0"/>
    <x v="3"/>
    <x v="3"/>
    <s v="CUST997"/>
    <x v="1"/>
    <n v="202.51"/>
    <n v="34"/>
    <x v="1"/>
    <n v="10593"/>
    <n v="1993637.58"/>
  </r>
  <r>
    <n v="24935"/>
    <n v="-7963"/>
    <n v="6519"/>
    <n v="28634"/>
    <n v="34107"/>
    <n v="20106"/>
    <n v="38325"/>
    <n v="35260"/>
    <n v="8100"/>
    <n v="7307"/>
    <n v="13829"/>
    <n v="40681"/>
    <s v="india"/>
    <x v="4"/>
    <x v="4"/>
    <x v="1"/>
    <x v="3"/>
    <s v="CUST439"/>
    <x v="2"/>
    <n v="1938.01"/>
    <n v="69"/>
    <x v="2"/>
    <n v="10628"/>
    <n v="1410674.07"/>
  </r>
  <r>
    <n v="39085"/>
    <n v="34648"/>
    <n v="43805"/>
    <n v="34432"/>
    <n v="40213"/>
    <n v="19007"/>
    <n v="29806"/>
    <n v="26488"/>
    <n v="46177"/>
    <n v="30867"/>
    <n v="13983"/>
    <n v="27944"/>
    <s v="india"/>
    <x v="2"/>
    <x v="2"/>
    <x v="3"/>
    <x v="2"/>
    <s v="CUST191"/>
    <x v="3"/>
    <n v="712.87"/>
    <n v="69"/>
    <x v="0"/>
    <n v="10628"/>
    <n v="3314230.84"/>
  </r>
  <r>
    <n v="9793"/>
    <n v="788"/>
    <n v="33601"/>
    <n v="19794"/>
    <n v="14194"/>
    <n v="16244"/>
    <n v="4122"/>
    <n v="3148"/>
    <n v="24391"/>
    <n v="16316"/>
    <n v="21403"/>
    <n v="19131"/>
    <s v="india"/>
    <x v="1"/>
    <x v="1"/>
    <x v="1"/>
    <x v="3"/>
    <s v="CUST466"/>
    <x v="1"/>
    <n v="581.03"/>
    <n v="99"/>
    <x v="0"/>
    <n v="10658"/>
    <n v="2146009.88"/>
  </r>
  <r>
    <n v="34206"/>
    <n v="35086"/>
    <n v="1649"/>
    <n v="27771"/>
    <n v="11900"/>
    <n v="41913"/>
    <n v="7718"/>
    <n v="30446"/>
    <n v="41876"/>
    <n v="40363"/>
    <n v="7587"/>
    <n v="29747"/>
    <s v="india"/>
    <x v="3"/>
    <x v="3"/>
    <x v="3"/>
    <x v="1"/>
    <s v="CUST554"/>
    <x v="0"/>
    <n v="311.24"/>
    <n v="19"/>
    <x v="0"/>
    <n v="10578"/>
    <n v="3124393.89"/>
  </r>
  <r>
    <n v="17691"/>
    <n v="19979"/>
    <n v="38819"/>
    <n v="41526"/>
    <n v="19828"/>
    <n v="28987"/>
    <n v="27851"/>
    <n v="30817"/>
    <n v="39872"/>
    <n v="16746"/>
    <n v="26971"/>
    <n v="30021"/>
    <s v="india"/>
    <x v="4"/>
    <x v="4"/>
    <x v="1"/>
    <x v="1"/>
    <s v="CUST527"/>
    <x v="3"/>
    <n v="354.76"/>
    <n v="71"/>
    <x v="0"/>
    <n v="10630"/>
    <n v="1864562.36"/>
  </r>
  <r>
    <n v="15551"/>
    <n v="21533"/>
    <n v="-2048"/>
    <n v="43065"/>
    <n v="17685"/>
    <n v="26251"/>
    <n v="-7557"/>
    <n v="12516"/>
    <n v="42542"/>
    <n v="5792"/>
    <n v="18684"/>
    <n v="42770"/>
    <s v="india"/>
    <x v="2"/>
    <x v="2"/>
    <x v="3"/>
    <x v="0"/>
    <s v="CUST608"/>
    <x v="1"/>
    <n v="1774.78"/>
    <n v="39"/>
    <x v="1"/>
    <n v="10598"/>
    <n v="2268408.38"/>
  </r>
  <r>
    <n v="5733"/>
    <n v="6247"/>
    <n v="38685"/>
    <n v="-1188"/>
    <n v="21995"/>
    <n v="21119"/>
    <n v="7214"/>
    <n v="35769"/>
    <n v="25226"/>
    <n v="38450"/>
    <n v="45509"/>
    <n v="35763"/>
    <s v="india"/>
    <x v="3"/>
    <x v="3"/>
    <x v="0"/>
    <x v="3"/>
    <s v="CUST875"/>
    <x v="1"/>
    <n v="2080.21"/>
    <n v="10"/>
    <x v="3"/>
    <n v="10569"/>
    <n v="2399876.04"/>
  </r>
  <r>
    <n v="25951"/>
    <n v="2220"/>
    <n v="18299"/>
    <n v="9608"/>
    <n v="26773"/>
    <n v="25220"/>
    <n v="20833"/>
    <n v="38351"/>
    <n v="20446"/>
    <n v="31417"/>
    <n v="17045"/>
    <n v="29668"/>
    <s v="india"/>
    <x v="1"/>
    <x v="1"/>
    <x v="0"/>
    <x v="1"/>
    <s v="CUST134"/>
    <x v="3"/>
    <n v="1222.27"/>
    <n v="65"/>
    <x v="0"/>
    <n v="10624"/>
    <n v="3085768.94"/>
  </r>
  <r>
    <n v="44669"/>
    <n v="5856"/>
    <n v="9198"/>
    <n v="30999"/>
    <n v="8290"/>
    <n v="23892"/>
    <n v="14833"/>
    <n v="33575"/>
    <n v="14369"/>
    <n v="1277"/>
    <n v="18290"/>
    <n v="38565"/>
    <s v="india"/>
    <x v="3"/>
    <x v="3"/>
    <x v="1"/>
    <x v="0"/>
    <s v="CUST305"/>
    <x v="0"/>
    <n v="1465.7"/>
    <n v="21"/>
    <x v="0"/>
    <n v="10580"/>
    <n v="2782062.62"/>
  </r>
  <r>
    <n v="10301"/>
    <n v="5553"/>
    <n v="23780"/>
    <n v="26075"/>
    <n v="21431"/>
    <n v="32766"/>
    <n v="13980"/>
    <n v="34566"/>
    <n v="31914"/>
    <n v="32291"/>
    <n v="7190"/>
    <n v="4891"/>
    <s v="india"/>
    <x v="2"/>
    <x v="2"/>
    <x v="1"/>
    <x v="3"/>
    <s v="CUST180"/>
    <x v="3"/>
    <n v="2073.6"/>
    <n v="94"/>
    <x v="3"/>
    <n v="10653"/>
    <n v="2852311.58"/>
  </r>
  <r>
    <n v="42068"/>
    <n v="11681"/>
    <n v="15483"/>
    <n v="41010"/>
    <n v="42564"/>
    <n v="5270"/>
    <n v="10412"/>
    <n v="16929"/>
    <n v="48124"/>
    <n v="32087"/>
    <n v="34874"/>
    <n v="2058"/>
    <s v="india"/>
    <x v="3"/>
    <x v="3"/>
    <x v="2"/>
    <x v="2"/>
    <s v="CUST661"/>
    <x v="1"/>
    <n v="101.27"/>
    <n v="11"/>
    <x v="0"/>
    <n v="10570"/>
    <n v="2411455.83"/>
  </r>
  <r>
    <n v="8940"/>
    <n v="39048"/>
    <n v="8620"/>
    <n v="-5739"/>
    <n v="44113"/>
    <n v="44771"/>
    <n v="12792"/>
    <n v="31685"/>
    <n v="17948"/>
    <n v="31046"/>
    <n v="19132"/>
    <n v="37082"/>
    <s v="india"/>
    <x v="0"/>
    <x v="0"/>
    <x v="1"/>
    <x v="1"/>
    <s v="CUST971"/>
    <x v="2"/>
    <n v="1003.24"/>
    <n v="30"/>
    <x v="3"/>
    <n v="10589"/>
    <n v="1876157.67"/>
  </r>
  <r>
    <n v="7823"/>
    <n v="26913"/>
    <n v="9270"/>
    <n v="15620"/>
    <n v="45937"/>
    <n v="45436"/>
    <n v="38709"/>
    <n v="15431"/>
    <n v="46558"/>
    <n v="9564"/>
    <n v="20816"/>
    <n v="18911"/>
    <s v="india"/>
    <x v="3"/>
    <x v="3"/>
    <x v="3"/>
    <x v="2"/>
    <s v="CUST487"/>
    <x v="2"/>
    <n v="2920.64"/>
    <n v="19"/>
    <x v="3"/>
    <n v="10578"/>
    <n v="3463775.34"/>
  </r>
  <r>
    <n v="46546"/>
    <n v="40346"/>
    <n v="17174"/>
    <n v="35549"/>
    <n v="36466"/>
    <n v="27304"/>
    <n v="11229"/>
    <n v="39716"/>
    <n v="34545"/>
    <n v="11094"/>
    <n v="46417"/>
    <n v="14598"/>
    <s v="india"/>
    <x v="4"/>
    <x v="4"/>
    <x v="0"/>
    <x v="3"/>
    <s v="CUST101"/>
    <x v="3"/>
    <n v="1761.33"/>
    <n v="68"/>
    <x v="1"/>
    <n v="10627"/>
    <n v="1361246.84"/>
  </r>
  <r>
    <n v="32700"/>
    <n v="37262"/>
    <n v="32425"/>
    <n v="12005"/>
    <n v="40872"/>
    <n v="2872"/>
    <n v="24897"/>
    <n v="39653"/>
    <n v="11214"/>
    <n v="16722"/>
    <n v="7625"/>
    <n v="43006"/>
    <s v="india"/>
    <x v="4"/>
    <x v="4"/>
    <x v="0"/>
    <x v="1"/>
    <s v="CUST489"/>
    <x v="1"/>
    <n v="799.96"/>
    <n v="63"/>
    <x v="0"/>
    <n v="10622"/>
    <n v="2645335.4300000002"/>
  </r>
  <r>
    <n v="18018"/>
    <n v="23532"/>
    <n v="-2212"/>
    <n v="32174"/>
    <n v="23599"/>
    <n v="23664"/>
    <n v="7863"/>
    <n v="-6496"/>
    <n v="29876"/>
    <n v="36007"/>
    <n v="45921"/>
    <n v="2569"/>
    <s v="india"/>
    <x v="0"/>
    <x v="0"/>
    <x v="2"/>
    <x v="3"/>
    <s v="CUST665"/>
    <x v="2"/>
    <n v="1589.1"/>
    <n v="38"/>
    <x v="1"/>
    <n v="10597"/>
    <n v="2638064.34"/>
  </r>
  <r>
    <n v="23928"/>
    <n v="18952"/>
    <n v="22754"/>
    <n v="30303"/>
    <n v="13133"/>
    <n v="5548"/>
    <n v="6465"/>
    <n v="8031"/>
    <n v="36570"/>
    <n v="33799"/>
    <n v="13867"/>
    <n v="14667"/>
    <s v="india"/>
    <x v="2"/>
    <x v="2"/>
    <x v="0"/>
    <x v="2"/>
    <s v="CUST205"/>
    <x v="1"/>
    <n v="1060.83"/>
    <n v="12"/>
    <x v="1"/>
    <n v="10571"/>
    <n v="1305842.1000000001"/>
  </r>
  <r>
    <n v="9969"/>
    <n v="31306"/>
    <n v="42554"/>
    <n v="42913"/>
    <n v="23861"/>
    <n v="24093"/>
    <n v="-9613"/>
    <n v="39706"/>
    <n v="47467"/>
    <n v="14604"/>
    <n v="40106"/>
    <n v="31051"/>
    <s v="india"/>
    <x v="4"/>
    <x v="4"/>
    <x v="2"/>
    <x v="1"/>
    <s v="CUST871"/>
    <x v="3"/>
    <n v="1620.12"/>
    <n v="84"/>
    <x v="3"/>
    <n v="10643"/>
    <n v="3475579.66"/>
  </r>
  <r>
    <n v="32782"/>
    <n v="21484"/>
    <n v="24438"/>
    <n v="5300"/>
    <n v="6471"/>
    <n v="33014"/>
    <n v="2907"/>
    <n v="31044"/>
    <n v="27472"/>
    <n v="19797"/>
    <n v="16755"/>
    <n v="21296"/>
    <s v="india"/>
    <x v="1"/>
    <x v="1"/>
    <x v="2"/>
    <x v="2"/>
    <s v="CUST921"/>
    <x v="2"/>
    <n v="420.94"/>
    <n v="86"/>
    <x v="1"/>
    <n v="10645"/>
    <n v="3522338.58"/>
  </r>
  <r>
    <n v="5527"/>
    <n v="28647"/>
    <n v="38626"/>
    <n v="14018"/>
    <n v="9169"/>
    <n v="29160"/>
    <n v="18156"/>
    <n v="20174"/>
    <n v="16562"/>
    <n v="33832"/>
    <n v="-1151"/>
    <n v="38204"/>
    <s v="india"/>
    <x v="4"/>
    <x v="4"/>
    <x v="3"/>
    <x v="3"/>
    <s v="CUST576"/>
    <x v="1"/>
    <n v="441.51"/>
    <n v="88"/>
    <x v="0"/>
    <n v="10647"/>
    <n v="1698566.8"/>
  </r>
  <r>
    <n v="23748"/>
    <n v="18605"/>
    <n v="-1027"/>
    <n v="9794"/>
    <n v="23988"/>
    <n v="26487"/>
    <n v="35617"/>
    <n v="3242"/>
    <n v="29375"/>
    <n v="-4443"/>
    <n v="43851"/>
    <n v="-39"/>
    <s v="india"/>
    <x v="4"/>
    <x v="4"/>
    <x v="2"/>
    <x v="3"/>
    <s v="CUST802"/>
    <x v="2"/>
    <n v="473.45"/>
    <n v="34"/>
    <x v="2"/>
    <n v="10593"/>
    <n v="2487201.1"/>
  </r>
  <r>
    <n v="28005"/>
    <n v="18441"/>
    <n v="17270"/>
    <n v="-2010"/>
    <n v="11691"/>
    <n v="28842"/>
    <n v="34143"/>
    <n v="27328"/>
    <n v="18564"/>
    <n v="25387"/>
    <n v="39757"/>
    <n v="40146"/>
    <s v="india"/>
    <x v="2"/>
    <x v="2"/>
    <x v="0"/>
    <x v="2"/>
    <s v="CUST501"/>
    <x v="3"/>
    <n v="2822.47"/>
    <n v="89"/>
    <x v="0"/>
    <n v="10648"/>
    <n v="2036167.29"/>
  </r>
  <r>
    <n v="42901"/>
    <n v="18139"/>
    <n v="18940"/>
    <n v="5676"/>
    <n v="22075"/>
    <n v="22150"/>
    <n v="-4975"/>
    <n v="21531"/>
    <n v="6597"/>
    <n v="32169"/>
    <n v="180"/>
    <n v="33551"/>
    <s v="india"/>
    <x v="3"/>
    <x v="3"/>
    <x v="1"/>
    <x v="1"/>
    <s v="CUST829"/>
    <x v="1"/>
    <n v="2212.0500000000002"/>
    <n v="93"/>
    <x v="0"/>
    <n v="10652"/>
    <n v="1657997.43"/>
  </r>
  <r>
    <n v="16728"/>
    <n v="12157"/>
    <n v="-3003"/>
    <n v="27979"/>
    <n v="19738"/>
    <n v="48436"/>
    <n v="3088"/>
    <n v="36762"/>
    <n v="15975"/>
    <n v="34501"/>
    <n v="19533"/>
    <n v="20067"/>
    <s v="india"/>
    <x v="4"/>
    <x v="4"/>
    <x v="1"/>
    <x v="2"/>
    <s v="CUST655"/>
    <x v="2"/>
    <n v="529.03"/>
    <n v="70"/>
    <x v="1"/>
    <n v="10629"/>
    <n v="2137476.5"/>
  </r>
  <r>
    <n v="21155"/>
    <n v="4550"/>
    <n v="6360"/>
    <n v="7855"/>
    <n v="27297"/>
    <n v="42936"/>
    <n v="5899"/>
    <n v="-5823"/>
    <n v="31675"/>
    <n v="-6332"/>
    <n v="9829"/>
    <n v="43999"/>
    <s v="india"/>
    <x v="0"/>
    <x v="0"/>
    <x v="1"/>
    <x v="3"/>
    <s v="CUST261"/>
    <x v="3"/>
    <n v="605.63"/>
    <n v="87"/>
    <x v="1"/>
    <n v="10646"/>
    <n v="1527679.35"/>
  </r>
  <r>
    <n v="10596"/>
    <n v="2745"/>
    <n v="6993"/>
    <n v="4507"/>
    <n v="13110"/>
    <n v="45358"/>
    <n v="-516"/>
    <n v="3896"/>
    <n v="4668"/>
    <n v="20008"/>
    <n v="18528"/>
    <n v="18107"/>
    <s v="india"/>
    <x v="3"/>
    <x v="3"/>
    <x v="3"/>
    <x v="2"/>
    <s v="CUST301"/>
    <x v="2"/>
    <n v="2205.9499999999998"/>
    <n v="24"/>
    <x v="3"/>
    <n v="10583"/>
    <n v="3261571.85"/>
  </r>
  <r>
    <n v="9287"/>
    <n v="-7918"/>
    <n v="9222"/>
    <n v="34474"/>
    <n v="28757"/>
    <n v="36182"/>
    <n v="-5408"/>
    <n v="9048"/>
    <n v="32373"/>
    <n v="-7642"/>
    <n v="46957"/>
    <n v="19429"/>
    <s v="india"/>
    <x v="1"/>
    <x v="1"/>
    <x v="0"/>
    <x v="3"/>
    <s v="CUST369"/>
    <x v="2"/>
    <n v="510.68"/>
    <n v="23"/>
    <x v="2"/>
    <n v="10582"/>
    <n v="2082432.89"/>
  </r>
  <r>
    <n v="26688"/>
    <n v="10983"/>
    <n v="33200"/>
    <n v="42702"/>
    <n v="23373"/>
    <n v="42379"/>
    <n v="18703"/>
    <n v="36400"/>
    <n v="28406"/>
    <n v="33714"/>
    <n v="13530"/>
    <n v="32022"/>
    <s v="india"/>
    <x v="2"/>
    <x v="2"/>
    <x v="3"/>
    <x v="2"/>
    <s v="CUST962"/>
    <x v="0"/>
    <n v="741.96"/>
    <n v="58"/>
    <x v="0"/>
    <n v="10617"/>
    <n v="3479113.31"/>
  </r>
  <r>
    <n v="16689"/>
    <n v="19953"/>
    <n v="20106"/>
    <n v="27421"/>
    <n v="2609"/>
    <n v="8681"/>
    <n v="36621"/>
    <n v="2618"/>
    <n v="14699"/>
    <n v="5111"/>
    <n v="37550"/>
    <n v="16716"/>
    <s v="india"/>
    <x v="1"/>
    <x v="1"/>
    <x v="3"/>
    <x v="1"/>
    <s v="CUST915"/>
    <x v="0"/>
    <n v="2891.87"/>
    <n v="24"/>
    <x v="0"/>
    <n v="10583"/>
    <n v="2521334.5499999998"/>
  </r>
  <r>
    <n v="40777"/>
    <n v="30587"/>
    <n v="29962"/>
    <n v="31025"/>
    <n v="28514"/>
    <n v="16123"/>
    <n v="1622"/>
    <n v="-3240"/>
    <n v="24230"/>
    <n v="32823"/>
    <n v="30458"/>
    <n v="9485"/>
    <s v="india"/>
    <x v="3"/>
    <x v="3"/>
    <x v="1"/>
    <x v="1"/>
    <s v="CUST370"/>
    <x v="3"/>
    <n v="803.15"/>
    <n v="1"/>
    <x v="1"/>
    <n v="10560"/>
    <n v="1643211.33"/>
  </r>
  <r>
    <n v="27984"/>
    <n v="5343"/>
    <n v="5849"/>
    <n v="2432"/>
    <n v="38875"/>
    <n v="24518"/>
    <n v="24943"/>
    <n v="39774"/>
    <n v="35623"/>
    <n v="19497"/>
    <n v="14484"/>
    <n v="18485"/>
    <s v="india"/>
    <x v="3"/>
    <x v="3"/>
    <x v="2"/>
    <x v="2"/>
    <s v="CUST555"/>
    <x v="0"/>
    <n v="2001.82"/>
    <n v="64"/>
    <x v="0"/>
    <n v="10623"/>
    <n v="1447550.09"/>
  </r>
  <r>
    <n v="20932"/>
    <n v="-2372"/>
    <n v="42247"/>
    <n v="41246"/>
    <n v="18606"/>
    <n v="3708"/>
    <n v="24010"/>
    <n v="-3782"/>
    <n v="36870"/>
    <n v="30556"/>
    <n v="3633"/>
    <n v="26444"/>
    <s v="india"/>
    <x v="3"/>
    <x v="3"/>
    <x v="3"/>
    <x v="2"/>
    <s v="CUST561"/>
    <x v="3"/>
    <n v="2936.96"/>
    <n v="19"/>
    <x v="3"/>
    <n v="10578"/>
    <n v="3392847.91"/>
  </r>
  <r>
    <n v="29269"/>
    <n v="9261"/>
    <n v="21734"/>
    <n v="8321"/>
    <n v="43112"/>
    <n v="5634"/>
    <n v="1385"/>
    <n v="-6051"/>
    <n v="36393"/>
    <n v="6085"/>
    <n v="39767"/>
    <n v="44217"/>
    <s v="india"/>
    <x v="1"/>
    <x v="1"/>
    <x v="1"/>
    <x v="1"/>
    <s v="CUST826"/>
    <x v="0"/>
    <n v="1154.18"/>
    <n v="70"/>
    <x v="0"/>
    <n v="10629"/>
    <n v="1997417.76"/>
  </r>
  <r>
    <n v="21023"/>
    <n v="34487"/>
    <n v="8621"/>
    <n v="4108"/>
    <n v="6418"/>
    <n v="9071"/>
    <n v="34496"/>
    <n v="20921"/>
    <n v="10758"/>
    <n v="36466"/>
    <n v="9545"/>
    <n v="17972"/>
    <s v="india"/>
    <x v="3"/>
    <x v="3"/>
    <x v="2"/>
    <x v="3"/>
    <s v="CUST351"/>
    <x v="2"/>
    <n v="101.67"/>
    <n v="29"/>
    <x v="2"/>
    <n v="10588"/>
    <n v="2057069.43"/>
  </r>
  <r>
    <n v="45502"/>
    <n v="40490"/>
    <n v="-2864"/>
    <n v="10468"/>
    <n v="-2663"/>
    <n v="26947"/>
    <n v="3324"/>
    <n v="19763"/>
    <n v="38970"/>
    <n v="20187"/>
    <n v="13710"/>
    <n v="17545"/>
    <s v="india"/>
    <x v="1"/>
    <x v="1"/>
    <x v="0"/>
    <x v="1"/>
    <s v="CUST801"/>
    <x v="3"/>
    <n v="770.23"/>
    <n v="91"/>
    <x v="3"/>
    <n v="10650"/>
    <n v="2754935.85"/>
  </r>
  <r>
    <n v="5303"/>
    <n v="-2517"/>
    <n v="-932"/>
    <n v="18078"/>
    <n v="21354"/>
    <n v="2519"/>
    <n v="38515"/>
    <n v="4763"/>
    <n v="29542"/>
    <n v="24742"/>
    <n v="26792"/>
    <n v="38694"/>
    <s v="india"/>
    <x v="3"/>
    <x v="3"/>
    <x v="0"/>
    <x v="3"/>
    <s v="CUST395"/>
    <x v="3"/>
    <n v="2501.09"/>
    <n v="82"/>
    <x v="1"/>
    <n v="10641"/>
    <n v="2727717.4"/>
  </r>
  <r>
    <n v="31557"/>
    <n v="22168"/>
    <n v="36519"/>
    <n v="18151"/>
    <n v="2422"/>
    <n v="45459"/>
    <n v="14918"/>
    <n v="-2085"/>
    <n v="2277"/>
    <n v="5193"/>
    <n v="37483"/>
    <n v="19206"/>
    <s v="india"/>
    <x v="0"/>
    <x v="0"/>
    <x v="1"/>
    <x v="2"/>
    <s v="CUST824"/>
    <x v="2"/>
    <n v="2600.6"/>
    <n v="85"/>
    <x v="0"/>
    <n v="10644"/>
    <n v="1961553.9"/>
  </r>
  <r>
    <n v="39662"/>
    <n v="18541"/>
    <n v="1099"/>
    <n v="19884"/>
    <n v="24847"/>
    <n v="47012"/>
    <n v="39071"/>
    <n v="-2898"/>
    <n v="36912"/>
    <n v="396"/>
    <n v="44778"/>
    <n v="26582"/>
    <s v="india"/>
    <x v="3"/>
    <x v="3"/>
    <x v="1"/>
    <x v="2"/>
    <s v="CUST819"/>
    <x v="3"/>
    <n v="2317.13"/>
    <n v="7"/>
    <x v="2"/>
    <n v="10566"/>
    <n v="2576787.61"/>
  </r>
  <r>
    <n v="18345"/>
    <n v="28481"/>
    <n v="5104"/>
    <n v="21980"/>
    <n v="3520"/>
    <n v="37133"/>
    <n v="20466"/>
    <n v="19216"/>
    <n v="29402"/>
    <n v="1215"/>
    <n v="27319"/>
    <n v="39178"/>
    <s v="india"/>
    <x v="1"/>
    <x v="1"/>
    <x v="2"/>
    <x v="3"/>
    <s v="CUST848"/>
    <x v="3"/>
    <n v="383.67"/>
    <n v="93"/>
    <x v="2"/>
    <n v="10652"/>
    <n v="2460062.9700000002"/>
  </r>
  <r>
    <n v="22437"/>
    <n v="12098"/>
    <n v="21395"/>
    <n v="36583"/>
    <n v="12015"/>
    <n v="34678"/>
    <n v="35889"/>
    <n v="20874"/>
    <n v="1941"/>
    <n v="-906"/>
    <n v="21179"/>
    <n v="43070"/>
    <s v="india"/>
    <x v="4"/>
    <x v="4"/>
    <x v="2"/>
    <x v="2"/>
    <s v="CUST437"/>
    <x v="0"/>
    <n v="2396.7600000000002"/>
    <n v="9"/>
    <x v="2"/>
    <n v="10568"/>
    <n v="2822506.35"/>
  </r>
  <r>
    <n v="37059"/>
    <n v="7723"/>
    <n v="21833"/>
    <n v="27312"/>
    <n v="2743"/>
    <n v="37094"/>
    <n v="2586"/>
    <n v="246"/>
    <n v="27575"/>
    <n v="40595"/>
    <n v="7796"/>
    <n v="37516"/>
    <s v="india"/>
    <x v="3"/>
    <x v="3"/>
    <x v="3"/>
    <x v="3"/>
    <s v="CUST978"/>
    <x v="3"/>
    <n v="2760.1"/>
    <n v="99"/>
    <x v="2"/>
    <n v="10658"/>
    <n v="1517011.99"/>
  </r>
  <r>
    <n v="40637"/>
    <n v="37440"/>
    <n v="29235"/>
    <n v="8905"/>
    <n v="33647"/>
    <n v="21410"/>
    <n v="5551"/>
    <n v="35920"/>
    <n v="18810"/>
    <n v="10545"/>
    <n v="28739"/>
    <n v="40687"/>
    <s v="india"/>
    <x v="4"/>
    <x v="4"/>
    <x v="0"/>
    <x v="0"/>
    <s v="CUST152"/>
    <x v="1"/>
    <n v="1821.8"/>
    <n v="33"/>
    <x v="0"/>
    <n v="10592"/>
    <n v="2424194.66"/>
  </r>
  <r>
    <n v="22327"/>
    <n v="1612"/>
    <n v="32797"/>
    <n v="37510"/>
    <n v="39129"/>
    <n v="32914"/>
    <n v="36063"/>
    <n v="40483"/>
    <n v="44556"/>
    <n v="35749"/>
    <n v="47599"/>
    <n v="28273"/>
    <s v="india"/>
    <x v="0"/>
    <x v="0"/>
    <x v="3"/>
    <x v="1"/>
    <s v="CUST891"/>
    <x v="2"/>
    <n v="2825.58"/>
    <n v="19"/>
    <x v="2"/>
    <n v="10578"/>
    <n v="3446595.78"/>
  </r>
  <r>
    <n v="33943"/>
    <n v="700"/>
    <n v="20908"/>
    <n v="24856"/>
    <n v="38512"/>
    <n v="45106"/>
    <n v="19683"/>
    <n v="-5229"/>
    <n v="4588"/>
    <n v="31376"/>
    <n v="47292"/>
    <n v="241"/>
    <s v="india"/>
    <x v="2"/>
    <x v="2"/>
    <x v="3"/>
    <x v="0"/>
    <s v="CUST316"/>
    <x v="0"/>
    <n v="2489.17"/>
    <n v="39"/>
    <x v="0"/>
    <n v="10598"/>
    <n v="2833844.14"/>
  </r>
  <r>
    <n v="2218"/>
    <n v="39055"/>
    <n v="11335"/>
    <n v="9399"/>
    <n v="3432"/>
    <n v="23851"/>
    <n v="10652"/>
    <n v="23094"/>
    <n v="3726"/>
    <n v="-5276"/>
    <n v="32295"/>
    <n v="38928"/>
    <s v="india"/>
    <x v="0"/>
    <x v="0"/>
    <x v="2"/>
    <x v="3"/>
    <s v="CUST863"/>
    <x v="0"/>
    <n v="2017.57"/>
    <n v="99"/>
    <x v="0"/>
    <n v="10658"/>
    <n v="1132497.96"/>
  </r>
  <r>
    <n v="6846"/>
    <n v="24867"/>
    <n v="12768"/>
    <n v="6916"/>
    <n v="24075"/>
    <n v="16785"/>
    <n v="32856"/>
    <n v="2125"/>
    <n v="30395"/>
    <n v="34566"/>
    <n v="33760"/>
    <n v="40342"/>
    <s v="india"/>
    <x v="3"/>
    <x v="3"/>
    <x v="2"/>
    <x v="1"/>
    <s v="CUST287"/>
    <x v="1"/>
    <n v="1752.7"/>
    <n v="16"/>
    <x v="0"/>
    <n v="10575"/>
    <n v="1435641.79"/>
  </r>
  <r>
    <n v="16463"/>
    <n v="13652"/>
    <n v="11261"/>
    <n v="33642"/>
    <n v="8847"/>
    <n v="48105"/>
    <n v="30879"/>
    <n v="1143"/>
    <n v="6369"/>
    <n v="15143"/>
    <n v="24389"/>
    <n v="43005"/>
    <s v="india"/>
    <x v="4"/>
    <x v="4"/>
    <x v="1"/>
    <x v="3"/>
    <s v="CUST479"/>
    <x v="2"/>
    <n v="1078.29"/>
    <n v="70"/>
    <x v="3"/>
    <n v="10629"/>
    <n v="3061066.35"/>
  </r>
  <r>
    <n v="20364"/>
    <n v="37795"/>
    <n v="-1178"/>
    <n v="36011"/>
    <n v="15529"/>
    <n v="8068"/>
    <n v="8805"/>
    <n v="23656"/>
    <n v="28545"/>
    <n v="13159"/>
    <n v="19773"/>
    <n v="22603"/>
    <s v="india"/>
    <x v="4"/>
    <x v="4"/>
    <x v="0"/>
    <x v="1"/>
    <s v="CUST592"/>
    <x v="2"/>
    <n v="519.9"/>
    <n v="84"/>
    <x v="1"/>
    <n v="10643"/>
    <n v="2489608.4500000002"/>
  </r>
  <r>
    <n v="39281"/>
    <n v="11782"/>
    <n v="8761"/>
    <n v="17455"/>
    <n v="42172"/>
    <n v="9550"/>
    <n v="15567"/>
    <n v="31925"/>
    <n v="836"/>
    <n v="39169"/>
    <n v="2434"/>
    <n v="44610"/>
    <s v="india"/>
    <x v="1"/>
    <x v="1"/>
    <x v="3"/>
    <x v="1"/>
    <s v="CUST140"/>
    <x v="0"/>
    <n v="1834.61"/>
    <n v="23"/>
    <x v="2"/>
    <n v="10582"/>
    <n v="1718146.69"/>
  </r>
  <r>
    <n v="45651"/>
    <n v="27794"/>
    <n v="8052"/>
    <n v="34364"/>
    <n v="42071"/>
    <n v="43072"/>
    <n v="1152"/>
    <n v="40451"/>
    <n v="2819"/>
    <n v="35559"/>
    <n v="36990"/>
    <n v="9805"/>
    <s v="india"/>
    <x v="4"/>
    <x v="4"/>
    <x v="3"/>
    <x v="1"/>
    <s v="CUST256"/>
    <x v="3"/>
    <n v="988.43"/>
    <n v="81"/>
    <x v="2"/>
    <n v="10640"/>
    <n v="1337300.51"/>
  </r>
  <r>
    <n v="27351"/>
    <n v="38805"/>
    <n v="28592"/>
    <n v="35359"/>
    <n v="4224"/>
    <n v="8981"/>
    <n v="22166"/>
    <n v="8604"/>
    <n v="6394"/>
    <n v="23763"/>
    <n v="13581"/>
    <n v="31010"/>
    <s v="india"/>
    <x v="1"/>
    <x v="1"/>
    <x v="1"/>
    <x v="1"/>
    <s v="CUST114"/>
    <x v="0"/>
    <n v="2605.9899999999998"/>
    <n v="6"/>
    <x v="3"/>
    <n v="10565"/>
    <n v="1896374.09"/>
  </r>
  <r>
    <n v="45636"/>
    <n v="4858"/>
    <n v="25903"/>
    <n v="-303"/>
    <n v="44016"/>
    <n v="1355"/>
    <n v="20063"/>
    <n v="27362"/>
    <n v="26687"/>
    <n v="7429"/>
    <n v="11947"/>
    <n v="24276"/>
    <s v="india"/>
    <x v="2"/>
    <x v="2"/>
    <x v="0"/>
    <x v="3"/>
    <s v="CUST912"/>
    <x v="2"/>
    <n v="2980.34"/>
    <n v="48"/>
    <x v="1"/>
    <n v="10607"/>
    <n v="1127387.4099999999"/>
  </r>
  <r>
    <n v="23266"/>
    <n v="25624"/>
    <n v="24018"/>
    <n v="17286"/>
    <n v="2760"/>
    <n v="38534"/>
    <n v="32031"/>
    <n v="37041"/>
    <n v="20319"/>
    <n v="35555"/>
    <n v="38904"/>
    <n v="2919"/>
    <s v="india"/>
    <x v="3"/>
    <x v="3"/>
    <x v="0"/>
    <x v="1"/>
    <s v="CUST164"/>
    <x v="1"/>
    <n v="2269.66"/>
    <n v="95"/>
    <x v="3"/>
    <n v="10654"/>
    <n v="2850182.39"/>
  </r>
  <r>
    <n v="-85"/>
    <n v="-2983"/>
    <n v="22143"/>
    <n v="39383"/>
    <n v="13641"/>
    <n v="10087"/>
    <n v="11271"/>
    <n v="34409"/>
    <n v="15260"/>
    <n v="-5325"/>
    <n v="21376"/>
    <n v="22233"/>
    <s v="india"/>
    <x v="1"/>
    <x v="1"/>
    <x v="2"/>
    <x v="1"/>
    <s v="CUST956"/>
    <x v="0"/>
    <n v="316.92"/>
    <n v="71"/>
    <x v="3"/>
    <n v="10630"/>
    <n v="3580063.66"/>
  </r>
  <r>
    <n v="26109"/>
    <n v="11388"/>
    <n v="20368"/>
    <n v="9232"/>
    <n v="39234"/>
    <n v="42454"/>
    <n v="14101"/>
    <n v="-2657"/>
    <n v="46081"/>
    <n v="39425"/>
    <n v="13499"/>
    <n v="9451"/>
    <s v="india"/>
    <x v="2"/>
    <x v="2"/>
    <x v="2"/>
    <x v="0"/>
    <s v="CUST938"/>
    <x v="2"/>
    <n v="901.62"/>
    <n v="16"/>
    <x v="2"/>
    <n v="10575"/>
    <n v="2517394.81"/>
  </r>
  <r>
    <n v="10039"/>
    <n v="498"/>
    <n v="33552"/>
    <n v="15234"/>
    <n v="20039"/>
    <n v="8912"/>
    <n v="25148"/>
    <n v="5166"/>
    <n v="41003"/>
    <n v="27351"/>
    <n v="40818"/>
    <n v="10448"/>
    <s v="india"/>
    <x v="4"/>
    <x v="4"/>
    <x v="3"/>
    <x v="2"/>
    <s v="CUST620"/>
    <x v="0"/>
    <n v="371.87"/>
    <n v="71"/>
    <x v="3"/>
    <n v="10630"/>
    <n v="2124147.2599999998"/>
  </r>
  <r>
    <n v="16763"/>
    <n v="36839"/>
    <n v="36606"/>
    <n v="-3771"/>
    <n v="14086"/>
    <n v="10605"/>
    <n v="9394"/>
    <n v="34231"/>
    <n v="13824"/>
    <n v="28515"/>
    <n v="25981"/>
    <n v="17790"/>
    <s v="india"/>
    <x v="4"/>
    <x v="4"/>
    <x v="3"/>
    <x v="2"/>
    <s v="CUST443"/>
    <x v="3"/>
    <n v="1969.01"/>
    <n v="7"/>
    <x v="0"/>
    <n v="10566"/>
    <n v="3018459.02"/>
  </r>
  <r>
    <n v="736"/>
    <n v="8227"/>
    <n v="38735"/>
    <n v="34269"/>
    <n v="5274"/>
    <n v="22400"/>
    <n v="11838"/>
    <n v="20600"/>
    <n v="42299"/>
    <n v="19487"/>
    <n v="31406"/>
    <n v="23518"/>
    <s v="india"/>
    <x v="2"/>
    <x v="2"/>
    <x v="2"/>
    <x v="0"/>
    <s v="CUST228"/>
    <x v="0"/>
    <n v="2307.31"/>
    <n v="63"/>
    <x v="0"/>
    <n v="10622"/>
    <n v="1490381.92"/>
  </r>
  <r>
    <n v="31104"/>
    <n v="27453"/>
    <n v="19317"/>
    <n v="32914"/>
    <n v="35639"/>
    <n v="48190"/>
    <n v="2372"/>
    <n v="22385"/>
    <n v="33609"/>
    <n v="34180"/>
    <n v="12005"/>
    <n v="43475"/>
    <s v="india"/>
    <x v="4"/>
    <x v="4"/>
    <x v="0"/>
    <x v="0"/>
    <s v="CUST747"/>
    <x v="0"/>
    <n v="2780.74"/>
    <n v="37"/>
    <x v="2"/>
    <n v="10596"/>
    <n v="1338299.58"/>
  </r>
  <r>
    <n v="11374"/>
    <n v="29667"/>
    <n v="2225"/>
    <n v="580"/>
    <n v="35844"/>
    <n v="45966"/>
    <n v="38848"/>
    <n v="8977"/>
    <n v="4856"/>
    <n v="33681"/>
    <n v="1868"/>
    <n v="43768"/>
    <s v="india"/>
    <x v="2"/>
    <x v="2"/>
    <x v="2"/>
    <x v="3"/>
    <s v="CUST571"/>
    <x v="2"/>
    <n v="1342.61"/>
    <n v="95"/>
    <x v="1"/>
    <n v="10654"/>
    <n v="1761028.5"/>
  </r>
  <r>
    <n v="15925"/>
    <n v="-5505"/>
    <n v="40087"/>
    <n v="12482"/>
    <n v="17477"/>
    <n v="7156"/>
    <n v="37372"/>
    <n v="145"/>
    <n v="18136"/>
    <n v="23039"/>
    <n v="2096"/>
    <n v="44053"/>
    <s v="india"/>
    <x v="1"/>
    <x v="1"/>
    <x v="0"/>
    <x v="3"/>
    <s v="CUST162"/>
    <x v="2"/>
    <n v="2709.06"/>
    <n v="93"/>
    <x v="2"/>
    <n v="10652"/>
    <n v="3291989.86"/>
  </r>
  <r>
    <n v="32736"/>
    <n v="6955"/>
    <n v="41904"/>
    <n v="36448"/>
    <n v="11072"/>
    <n v="14741"/>
    <n v="35884"/>
    <n v="-1998"/>
    <n v="35118"/>
    <n v="6643"/>
    <n v="5749"/>
    <n v="28852"/>
    <s v="india"/>
    <x v="1"/>
    <x v="1"/>
    <x v="3"/>
    <x v="3"/>
    <s v="CUST238"/>
    <x v="2"/>
    <n v="2639.78"/>
    <n v="5"/>
    <x v="3"/>
    <n v="10564"/>
    <n v="1145061.1200000001"/>
  </r>
  <r>
    <n v="478"/>
    <n v="29253"/>
    <n v="6767"/>
    <n v="35591"/>
    <n v="3493"/>
    <n v="26217"/>
    <n v="15703"/>
    <n v="-4682"/>
    <n v="42762"/>
    <n v="35072"/>
    <n v="4746"/>
    <n v="10667"/>
    <s v="india"/>
    <x v="2"/>
    <x v="2"/>
    <x v="1"/>
    <x v="0"/>
    <s v="CUST598"/>
    <x v="0"/>
    <n v="985.73"/>
    <n v="76"/>
    <x v="0"/>
    <n v="10635"/>
    <n v="1803563.29"/>
  </r>
  <r>
    <n v="40524"/>
    <n v="30715"/>
    <n v="5226"/>
    <n v="5999"/>
    <n v="-468"/>
    <n v="18605"/>
    <n v="4506"/>
    <n v="39574"/>
    <n v="27009"/>
    <n v="-7268"/>
    <n v="40596"/>
    <n v="25793"/>
    <s v="india"/>
    <x v="1"/>
    <x v="1"/>
    <x v="0"/>
    <x v="0"/>
    <s v="CUST692"/>
    <x v="3"/>
    <n v="2613.2600000000002"/>
    <n v="99"/>
    <x v="0"/>
    <n v="10658"/>
    <n v="2206462.36"/>
  </r>
  <r>
    <n v="46106"/>
    <n v="5866"/>
    <n v="38327"/>
    <n v="23674"/>
    <n v="24911"/>
    <n v="19053"/>
    <n v="-6463"/>
    <n v="41087"/>
    <n v="42665"/>
    <n v="29518"/>
    <n v="36388"/>
    <n v="39893"/>
    <s v="india"/>
    <x v="1"/>
    <x v="1"/>
    <x v="3"/>
    <x v="1"/>
    <s v="CUST491"/>
    <x v="1"/>
    <n v="1158.23"/>
    <n v="51"/>
    <x v="3"/>
    <n v="10610"/>
    <n v="2649092.21"/>
  </r>
  <r>
    <n v="37276"/>
    <n v="3378"/>
    <n v="43078"/>
    <n v="13080"/>
    <n v="36558"/>
    <n v="46954"/>
    <n v="6307"/>
    <n v="28839"/>
    <n v="33817"/>
    <n v="14263"/>
    <n v="15833"/>
    <n v="25662"/>
    <s v="india"/>
    <x v="1"/>
    <x v="1"/>
    <x v="2"/>
    <x v="3"/>
    <s v="CUST774"/>
    <x v="1"/>
    <n v="925.76"/>
    <n v="88"/>
    <x v="0"/>
    <n v="10647"/>
    <n v="3067787.24"/>
  </r>
  <r>
    <n v="29171"/>
    <n v="9712"/>
    <n v="16710"/>
    <n v="18353"/>
    <n v="44764"/>
    <n v="12531"/>
    <n v="880"/>
    <n v="35185"/>
    <n v="14142"/>
    <n v="21325"/>
    <n v="4276"/>
    <n v="30248"/>
    <s v="india"/>
    <x v="0"/>
    <x v="0"/>
    <x v="1"/>
    <x v="3"/>
    <s v="CUST518"/>
    <x v="2"/>
    <n v="1964.77"/>
    <n v="40"/>
    <x v="2"/>
    <n v="10599"/>
    <n v="3155832.05"/>
  </r>
  <r>
    <n v="38065"/>
    <n v="-3158"/>
    <n v="25739"/>
    <n v="21474"/>
    <n v="15774"/>
    <n v="12162"/>
    <n v="11046"/>
    <n v="20793"/>
    <n v="4542"/>
    <n v="12578"/>
    <n v="44712"/>
    <n v="5107"/>
    <s v="india"/>
    <x v="3"/>
    <x v="3"/>
    <x v="1"/>
    <x v="3"/>
    <s v="CUST388"/>
    <x v="2"/>
    <n v="1018.72"/>
    <n v="82"/>
    <x v="0"/>
    <n v="10641"/>
    <n v="1822897.13"/>
  </r>
  <r>
    <n v="1940"/>
    <n v="10502"/>
    <n v="43448"/>
    <n v="-4882"/>
    <n v="3399"/>
    <n v="32364"/>
    <n v="19261"/>
    <n v="38416"/>
    <n v="47776"/>
    <n v="31104"/>
    <n v="27800"/>
    <n v="23558"/>
    <s v="india"/>
    <x v="4"/>
    <x v="4"/>
    <x v="2"/>
    <x v="2"/>
    <s v="CUST478"/>
    <x v="0"/>
    <n v="1909.12"/>
    <n v="11"/>
    <x v="3"/>
    <n v="10570"/>
    <n v="2936396.57"/>
  </r>
  <r>
    <n v="42567"/>
    <n v="33692"/>
    <n v="23885"/>
    <n v="12960"/>
    <n v="26442"/>
    <n v="39966"/>
    <n v="-6980"/>
    <n v="28823"/>
    <n v="15333"/>
    <n v="21801"/>
    <n v="18953"/>
    <n v="7672"/>
    <s v="india"/>
    <x v="0"/>
    <x v="0"/>
    <x v="0"/>
    <x v="1"/>
    <s v="CUST872"/>
    <x v="1"/>
    <n v="1849"/>
    <n v="32"/>
    <x v="3"/>
    <n v="10591"/>
    <n v="1702209.54"/>
  </r>
  <r>
    <n v="46008"/>
    <n v="28036"/>
    <n v="21760"/>
    <n v="15494"/>
    <n v="41383"/>
    <n v="24649"/>
    <n v="30284"/>
    <n v="-7090"/>
    <n v="4402"/>
    <n v="7676"/>
    <n v="3657"/>
    <n v="13046"/>
    <s v="india"/>
    <x v="1"/>
    <x v="1"/>
    <x v="1"/>
    <x v="3"/>
    <s v="CUST589"/>
    <x v="2"/>
    <n v="1712.14"/>
    <n v="30"/>
    <x v="1"/>
    <n v="10589"/>
    <n v="2068810.21"/>
  </r>
  <r>
    <n v="18154"/>
    <n v="10998"/>
    <n v="29735"/>
    <n v="10113"/>
    <n v="13630"/>
    <n v="16320"/>
    <n v="36276"/>
    <n v="5548"/>
    <n v="35474"/>
    <n v="23478"/>
    <n v="46095"/>
    <n v="22194"/>
    <s v="india"/>
    <x v="2"/>
    <x v="2"/>
    <x v="1"/>
    <x v="3"/>
    <s v="CUST330"/>
    <x v="3"/>
    <n v="1172.24"/>
    <n v="46"/>
    <x v="3"/>
    <n v="10605"/>
    <n v="2677626.75"/>
  </r>
  <r>
    <n v="21754"/>
    <n v="16175"/>
    <n v="-3562"/>
    <n v="23640"/>
    <n v="3533"/>
    <n v="21307"/>
    <n v="5434"/>
    <n v="28415"/>
    <n v="22775"/>
    <n v="15945"/>
    <n v="33529"/>
    <n v="21561"/>
    <s v="india"/>
    <x v="1"/>
    <x v="1"/>
    <x v="2"/>
    <x v="3"/>
    <s v="CUST140"/>
    <x v="3"/>
    <n v="1668.07"/>
    <n v="32"/>
    <x v="0"/>
    <n v="10591"/>
    <n v="1619097.54"/>
  </r>
  <r>
    <n v="5949"/>
    <n v="30665"/>
    <n v="40625"/>
    <n v="16435"/>
    <n v="42807"/>
    <n v="25216"/>
    <n v="11155"/>
    <n v="40022"/>
    <n v="42298"/>
    <n v="19411"/>
    <n v="40699"/>
    <n v="35991"/>
    <s v="india"/>
    <x v="3"/>
    <x v="3"/>
    <x v="0"/>
    <x v="2"/>
    <s v="CUST127"/>
    <x v="2"/>
    <n v="1809.63"/>
    <n v="23"/>
    <x v="0"/>
    <n v="10582"/>
    <n v="2520515.75"/>
  </r>
  <r>
    <n v="20756"/>
    <n v="-7790"/>
    <n v="27201"/>
    <n v="1410"/>
    <n v="24089"/>
    <n v="16221"/>
    <n v="18350"/>
    <n v="-2259"/>
    <n v="4340"/>
    <n v="-4046"/>
    <n v="36742"/>
    <n v="26582"/>
    <s v="india"/>
    <x v="1"/>
    <x v="1"/>
    <x v="0"/>
    <x v="2"/>
    <s v="CUST234"/>
    <x v="2"/>
    <n v="1659.78"/>
    <n v="78"/>
    <x v="3"/>
    <n v="10637"/>
    <n v="2436487.66"/>
  </r>
  <r>
    <n v="5977"/>
    <n v="-3686"/>
    <n v="29302"/>
    <n v="21142"/>
    <n v="11508"/>
    <n v="15751"/>
    <n v="2646"/>
    <n v="369"/>
    <n v="41553"/>
    <n v="9609"/>
    <n v="18662"/>
    <n v="8962"/>
    <s v="india"/>
    <x v="2"/>
    <x v="2"/>
    <x v="1"/>
    <x v="0"/>
    <s v="CUST300"/>
    <x v="1"/>
    <n v="1361.04"/>
    <n v="59"/>
    <x v="3"/>
    <n v="10618"/>
    <n v="3079950.06"/>
  </r>
  <r>
    <n v="32488"/>
    <n v="28006"/>
    <n v="1634"/>
    <n v="38401"/>
    <n v="45158"/>
    <n v="16434"/>
    <n v="6264"/>
    <n v="-3036"/>
    <n v="47125"/>
    <n v="20378"/>
    <n v="2936"/>
    <n v="45047"/>
    <s v="india"/>
    <x v="3"/>
    <x v="3"/>
    <x v="1"/>
    <x v="1"/>
    <s v="CUST939"/>
    <x v="1"/>
    <n v="93.27"/>
    <n v="88"/>
    <x v="1"/>
    <n v="10647"/>
    <n v="3200794.86"/>
  </r>
  <r>
    <n v="16830"/>
    <n v="25256"/>
    <n v="37933"/>
    <n v="42089"/>
    <n v="24625"/>
    <n v="34442"/>
    <n v="-9868"/>
    <n v="1464"/>
    <n v="47327"/>
    <n v="15954"/>
    <n v="26049"/>
    <n v="1573"/>
    <s v="india"/>
    <x v="1"/>
    <x v="1"/>
    <x v="0"/>
    <x v="0"/>
    <s v="CUST879"/>
    <x v="0"/>
    <n v="1781.83"/>
    <n v="58"/>
    <x v="1"/>
    <n v="10617"/>
    <n v="1347985.32"/>
  </r>
  <r>
    <n v="15975"/>
    <n v="-2017"/>
    <n v="30918"/>
    <n v="18303"/>
    <n v="17425"/>
    <n v="19615"/>
    <n v="32620"/>
    <n v="30611"/>
    <n v="30255"/>
    <n v="33808"/>
    <n v="25436"/>
    <n v="24289"/>
    <s v="india"/>
    <x v="3"/>
    <x v="3"/>
    <x v="3"/>
    <x v="1"/>
    <s v="CUST132"/>
    <x v="1"/>
    <n v="546.91"/>
    <n v="15"/>
    <x v="3"/>
    <n v="10574"/>
    <n v="1522672.1"/>
  </r>
  <r>
    <n v="34679"/>
    <n v="30573"/>
    <n v="37466"/>
    <n v="36421"/>
    <n v="40603"/>
    <n v="31587"/>
    <n v="36224"/>
    <n v="31219"/>
    <n v="5303"/>
    <n v="27952"/>
    <n v="43603"/>
    <n v="46050"/>
    <s v="india"/>
    <x v="4"/>
    <x v="4"/>
    <x v="1"/>
    <x v="2"/>
    <s v="CUST147"/>
    <x v="3"/>
    <n v="1945.6"/>
    <n v="47"/>
    <x v="1"/>
    <n v="10606"/>
    <n v="1655417.82"/>
  </r>
  <r>
    <n v="31296"/>
    <n v="18594"/>
    <n v="7567"/>
    <n v="36977"/>
    <n v="30947"/>
    <n v="15158"/>
    <n v="-5531"/>
    <n v="22850"/>
    <n v="33894"/>
    <n v="30702"/>
    <n v="42558"/>
    <n v="15654"/>
    <s v="india"/>
    <x v="4"/>
    <x v="4"/>
    <x v="0"/>
    <x v="3"/>
    <s v="CUST602"/>
    <x v="3"/>
    <n v="2290.0700000000002"/>
    <n v="74"/>
    <x v="0"/>
    <n v="10633"/>
    <n v="3525663.95"/>
  </r>
  <r>
    <n v="12792"/>
    <n v="24835"/>
    <n v="2723"/>
    <n v="23952"/>
    <n v="1073"/>
    <n v="19456"/>
    <n v="33282"/>
    <n v="30414"/>
    <n v="13754"/>
    <n v="32699"/>
    <n v="29310"/>
    <n v="22108"/>
    <s v="india"/>
    <x v="1"/>
    <x v="1"/>
    <x v="1"/>
    <x v="0"/>
    <s v="CUST506"/>
    <x v="2"/>
    <n v="1526.31"/>
    <n v="42"/>
    <x v="3"/>
    <n v="10601"/>
    <n v="3277798.16"/>
  </r>
  <r>
    <n v="46699"/>
    <n v="11687"/>
    <n v="15590"/>
    <n v="34492"/>
    <n v="29141"/>
    <n v="4292"/>
    <n v="7690"/>
    <n v="22680"/>
    <n v="8306"/>
    <n v="-7617"/>
    <n v="36309"/>
    <n v="41262"/>
    <s v="india"/>
    <x v="3"/>
    <x v="3"/>
    <x v="2"/>
    <x v="3"/>
    <s v="CUST673"/>
    <x v="1"/>
    <n v="1649.97"/>
    <n v="75"/>
    <x v="0"/>
    <n v="10634"/>
    <n v="1989926.2"/>
  </r>
  <r>
    <n v="34618"/>
    <n v="27360"/>
    <n v="1061"/>
    <n v="5921"/>
    <n v="43045"/>
    <n v="11767"/>
    <n v="21514"/>
    <n v="3784"/>
    <n v="48379"/>
    <n v="-6672"/>
    <n v="18452"/>
    <n v="7388"/>
    <s v="india"/>
    <x v="2"/>
    <x v="2"/>
    <x v="2"/>
    <x v="0"/>
    <s v="CUST827"/>
    <x v="0"/>
    <n v="2856.86"/>
    <n v="52"/>
    <x v="3"/>
    <n v="10611"/>
    <n v="2398017.1800000002"/>
  </r>
  <r>
    <n v="16717"/>
    <n v="35434"/>
    <n v="6931"/>
    <n v="22640"/>
    <n v="21041"/>
    <n v="30839"/>
    <n v="13628"/>
    <n v="5029"/>
    <n v="48246"/>
    <n v="40587"/>
    <n v="7256"/>
    <n v="2843"/>
    <s v="india"/>
    <x v="1"/>
    <x v="1"/>
    <x v="3"/>
    <x v="2"/>
    <s v="CUST904"/>
    <x v="3"/>
    <n v="2549.14"/>
    <n v="16"/>
    <x v="1"/>
    <n v="10575"/>
    <n v="1434385.54"/>
  </r>
  <r>
    <n v="10837"/>
    <n v="16782"/>
    <n v="35802"/>
    <n v="7238"/>
    <n v="37472"/>
    <n v="16724"/>
    <n v="15679"/>
    <n v="24789"/>
    <n v="6969"/>
    <n v="21606"/>
    <n v="38732"/>
    <n v="20782"/>
    <s v="india"/>
    <x v="4"/>
    <x v="4"/>
    <x v="1"/>
    <x v="2"/>
    <s v="CUST198"/>
    <x v="3"/>
    <n v="2747"/>
    <n v="28"/>
    <x v="3"/>
    <n v="10587"/>
    <n v="1970737"/>
  </r>
  <r>
    <n v="23048"/>
    <n v="25121"/>
    <n v="15475"/>
    <n v="13113"/>
    <n v="28864"/>
    <n v="33308"/>
    <n v="28816"/>
    <n v="22109"/>
    <n v="25573"/>
    <n v="-1727"/>
    <n v="30358"/>
    <n v="10463"/>
    <s v="india"/>
    <x v="4"/>
    <x v="4"/>
    <x v="3"/>
    <x v="2"/>
    <s v="CUST783"/>
    <x v="0"/>
    <n v="2450.61"/>
    <n v="71"/>
    <x v="1"/>
    <n v="10630"/>
    <n v="1123464.5900000001"/>
  </r>
  <r>
    <n v="43455"/>
    <n v="27744"/>
    <n v="25505"/>
    <n v="10066"/>
    <n v="22135"/>
    <n v="8108"/>
    <n v="18625"/>
    <n v="-731"/>
    <n v="47736"/>
    <n v="-2212"/>
    <n v="39109"/>
    <n v="35325"/>
    <s v="india"/>
    <x v="1"/>
    <x v="1"/>
    <x v="0"/>
    <x v="0"/>
    <s v="CUST971"/>
    <x v="0"/>
    <n v="371.31"/>
    <n v="34"/>
    <x v="1"/>
    <n v="10593"/>
    <n v="1523001.66"/>
  </r>
  <r>
    <n v="23902"/>
    <n v="7284"/>
    <n v="19979"/>
    <n v="-5516"/>
    <n v="42643"/>
    <n v="20115"/>
    <n v="27421"/>
    <n v="17489"/>
    <n v="17347"/>
    <n v="-3285"/>
    <n v="686"/>
    <n v="35720"/>
    <s v="india"/>
    <x v="3"/>
    <x v="3"/>
    <x v="0"/>
    <x v="1"/>
    <s v="CUST825"/>
    <x v="3"/>
    <n v="489.53"/>
    <n v="72"/>
    <x v="2"/>
    <n v="10631"/>
    <n v="2359469.61"/>
  </r>
  <r>
    <n v="26186"/>
    <n v="12370"/>
    <n v="44727"/>
    <n v="37044"/>
    <n v="31524"/>
    <n v="37904"/>
    <n v="18494"/>
    <n v="17888"/>
    <n v="7843"/>
    <n v="14100"/>
    <n v="29407"/>
    <n v="46168"/>
    <s v="india"/>
    <x v="4"/>
    <x v="4"/>
    <x v="1"/>
    <x v="0"/>
    <s v="CUST646"/>
    <x v="3"/>
    <n v="1603.54"/>
    <n v="4"/>
    <x v="2"/>
    <n v="10563"/>
    <n v="2336808.7000000002"/>
  </r>
  <r>
    <n v="5276"/>
    <n v="22458"/>
    <n v="-84"/>
    <n v="1570"/>
    <n v="31284"/>
    <n v="4222"/>
    <n v="-743"/>
    <n v="13094"/>
    <n v="29561"/>
    <n v="7257"/>
    <n v="26662"/>
    <n v="16003"/>
    <s v="india"/>
    <x v="3"/>
    <x v="3"/>
    <x v="1"/>
    <x v="1"/>
    <s v="CUST838"/>
    <x v="0"/>
    <n v="775.91"/>
    <n v="1"/>
    <x v="0"/>
    <n v="10560"/>
    <n v="1184220.75"/>
  </r>
  <r>
    <n v="25467"/>
    <n v="34321"/>
    <n v="13736"/>
    <n v="6069"/>
    <n v="10438"/>
    <n v="47233"/>
    <n v="21618"/>
    <n v="36579"/>
    <n v="19467"/>
    <n v="-7651"/>
    <n v="37347"/>
    <n v="23602"/>
    <s v="india"/>
    <x v="4"/>
    <x v="4"/>
    <x v="3"/>
    <x v="0"/>
    <s v="CUST712"/>
    <x v="3"/>
    <n v="1456.25"/>
    <n v="61"/>
    <x v="2"/>
    <n v="10620"/>
    <n v="2971540.56"/>
  </r>
  <r>
    <n v="19824"/>
    <n v="12923"/>
    <n v="12606"/>
    <n v="21596"/>
    <n v="27382"/>
    <n v="47943"/>
    <n v="-7839"/>
    <n v="8468"/>
    <n v="35424"/>
    <n v="4789"/>
    <n v="43568"/>
    <n v="37092"/>
    <s v="india"/>
    <x v="4"/>
    <x v="4"/>
    <x v="2"/>
    <x v="0"/>
    <s v="CUST561"/>
    <x v="2"/>
    <n v="1213.3800000000001"/>
    <n v="5"/>
    <x v="0"/>
    <n v="10564"/>
    <n v="2954130.75"/>
  </r>
  <r>
    <n v="-45"/>
    <n v="8691"/>
    <n v="13545"/>
    <n v="3565"/>
    <n v="32991"/>
    <n v="17362"/>
    <n v="-1846"/>
    <n v="-5908"/>
    <n v="28358"/>
    <n v="29399"/>
    <n v="12568"/>
    <n v="37692"/>
    <s v="india"/>
    <x v="0"/>
    <x v="0"/>
    <x v="1"/>
    <x v="2"/>
    <s v="CUST742"/>
    <x v="2"/>
    <n v="1670.77"/>
    <n v="1"/>
    <x v="0"/>
    <n v="10560"/>
    <n v="1604085.39"/>
  </r>
  <r>
    <n v="41803"/>
    <n v="23765"/>
    <n v="30085"/>
    <n v="2410"/>
    <n v="5577"/>
    <n v="9320"/>
    <n v="-4592"/>
    <n v="23548"/>
    <n v="5987"/>
    <n v="-742"/>
    <n v="16421"/>
    <n v="47045"/>
    <s v="india"/>
    <x v="4"/>
    <x v="4"/>
    <x v="2"/>
    <x v="3"/>
    <s v="CUST868"/>
    <x v="0"/>
    <n v="2253.2800000000002"/>
    <n v="42"/>
    <x v="1"/>
    <n v="10601"/>
    <n v="2363362.5"/>
  </r>
  <r>
    <n v="4042"/>
    <n v="23516"/>
    <n v="41240"/>
    <n v="3762"/>
    <n v="17364"/>
    <n v="27051"/>
    <n v="4572"/>
    <n v="18465"/>
    <n v="3534"/>
    <n v="-7336"/>
    <n v="12530"/>
    <n v="5969"/>
    <s v="india"/>
    <x v="2"/>
    <x v="2"/>
    <x v="2"/>
    <x v="3"/>
    <s v="CUST104"/>
    <x v="1"/>
    <n v="2160.6999999999998"/>
    <n v="29"/>
    <x v="2"/>
    <n v="10588"/>
    <n v="3136262.44"/>
  </r>
  <r>
    <n v="41202"/>
    <n v="26647"/>
    <n v="24446"/>
    <n v="40110"/>
    <n v="6622"/>
    <n v="42942"/>
    <n v="-4716"/>
    <n v="24046"/>
    <n v="20369"/>
    <n v="2705"/>
    <n v="12327"/>
    <n v="34505"/>
    <s v="india"/>
    <x v="1"/>
    <x v="1"/>
    <x v="3"/>
    <x v="1"/>
    <s v="CUST317"/>
    <x v="0"/>
    <n v="1587.64"/>
    <n v="71"/>
    <x v="3"/>
    <n v="10630"/>
    <n v="2712210.4"/>
  </r>
  <r>
    <n v="36273"/>
    <n v="15980"/>
    <n v="35633"/>
    <n v="24418"/>
    <n v="26181"/>
    <n v="16332"/>
    <n v="4995"/>
    <n v="31791"/>
    <n v="1955"/>
    <n v="30013"/>
    <n v="36284"/>
    <n v="282"/>
    <s v="india"/>
    <x v="1"/>
    <x v="1"/>
    <x v="2"/>
    <x v="3"/>
    <s v="CUST602"/>
    <x v="0"/>
    <n v="2476.06"/>
    <n v="5"/>
    <x v="2"/>
    <n v="10564"/>
    <n v="2522199.58"/>
  </r>
  <r>
    <n v="16554"/>
    <n v="-2974"/>
    <n v="15777"/>
    <n v="33669"/>
    <n v="1213"/>
    <n v="21175"/>
    <n v="29610"/>
    <n v="23405"/>
    <n v="27488"/>
    <n v="20976"/>
    <n v="34814"/>
    <n v="39783"/>
    <s v="india"/>
    <x v="3"/>
    <x v="3"/>
    <x v="3"/>
    <x v="0"/>
    <s v="CUST866"/>
    <x v="1"/>
    <n v="1321.04"/>
    <n v="64"/>
    <x v="3"/>
    <n v="10623"/>
    <n v="3150497.43"/>
  </r>
  <r>
    <n v="36181"/>
    <n v="14657"/>
    <n v="44060"/>
    <n v="12689"/>
    <n v="30884"/>
    <n v="27379"/>
    <n v="15962"/>
    <n v="27954"/>
    <n v="23740"/>
    <n v="-5539"/>
    <n v="36445"/>
    <n v="18782"/>
    <s v="india"/>
    <x v="4"/>
    <x v="4"/>
    <x v="3"/>
    <x v="0"/>
    <s v="CUST497"/>
    <x v="1"/>
    <n v="2695.31"/>
    <n v="57"/>
    <x v="2"/>
    <n v="10616"/>
    <n v="1450182.9"/>
  </r>
  <r>
    <n v="20317"/>
    <n v="35985"/>
    <n v="14748"/>
    <n v="20249"/>
    <n v="41506"/>
    <n v="16053"/>
    <n v="9081"/>
    <n v="26988"/>
    <n v="42750"/>
    <n v="-6907"/>
    <n v="39256"/>
    <n v="18953"/>
    <s v="india"/>
    <x v="2"/>
    <x v="2"/>
    <x v="0"/>
    <x v="2"/>
    <s v="CUST970"/>
    <x v="1"/>
    <n v="260.27999999999997"/>
    <n v="6"/>
    <x v="0"/>
    <n v="10565"/>
    <n v="3022562.76"/>
  </r>
  <r>
    <n v="41435"/>
    <n v="22128"/>
    <n v="9049"/>
    <n v="41323"/>
    <n v="30788"/>
    <n v="1276"/>
    <n v="7911"/>
    <n v="7441"/>
    <n v="25771"/>
    <n v="1136"/>
    <n v="38900"/>
    <n v="35173"/>
    <s v="india"/>
    <x v="3"/>
    <x v="3"/>
    <x v="3"/>
    <x v="2"/>
    <s v="CUST894"/>
    <x v="2"/>
    <n v="2866.25"/>
    <n v="98"/>
    <x v="0"/>
    <n v="10657"/>
    <n v="2707271.72"/>
  </r>
  <r>
    <n v="45326"/>
    <n v="37913"/>
    <n v="21222"/>
    <n v="17291"/>
    <n v="13261"/>
    <n v="5286"/>
    <n v="-459"/>
    <n v="34098"/>
    <n v="22069"/>
    <n v="18588"/>
    <n v="31109"/>
    <n v="26695"/>
    <s v="india"/>
    <x v="0"/>
    <x v="0"/>
    <x v="3"/>
    <x v="3"/>
    <s v="CUST492"/>
    <x v="3"/>
    <n v="1981.34"/>
    <n v="66"/>
    <x v="1"/>
    <n v="10625"/>
    <n v="3184816.45"/>
  </r>
  <r>
    <n v="13992"/>
    <n v="166"/>
    <n v="10651"/>
    <n v="-2842"/>
    <n v="36138"/>
    <n v="21927"/>
    <n v="14465"/>
    <n v="19425"/>
    <n v="36810"/>
    <n v="34377"/>
    <n v="12251"/>
    <n v="24645"/>
    <s v="india"/>
    <x v="3"/>
    <x v="3"/>
    <x v="0"/>
    <x v="1"/>
    <s v="CUST306"/>
    <x v="2"/>
    <n v="1171.22"/>
    <n v="32"/>
    <x v="1"/>
    <n v="10591"/>
    <n v="3224042.88"/>
  </r>
  <r>
    <n v="21730"/>
    <n v="18543"/>
    <n v="5808"/>
    <n v="-4509"/>
    <n v="26161"/>
    <n v="8835"/>
    <n v="-998"/>
    <n v="981"/>
    <n v="28149"/>
    <n v="32443"/>
    <n v="3720"/>
    <n v="20398"/>
    <s v="india"/>
    <x v="3"/>
    <x v="3"/>
    <x v="0"/>
    <x v="3"/>
    <s v="CUST114"/>
    <x v="3"/>
    <n v="631.6"/>
    <n v="8"/>
    <x v="2"/>
    <n v="10567"/>
    <n v="2743555.7"/>
  </r>
  <r>
    <n v="5867"/>
    <n v="5732"/>
    <n v="44152"/>
    <n v="31538"/>
    <n v="12399"/>
    <n v="22062"/>
    <n v="-2482"/>
    <n v="24334"/>
    <n v="1128"/>
    <n v="25279"/>
    <n v="5577"/>
    <n v="22391"/>
    <s v="india"/>
    <x v="4"/>
    <x v="4"/>
    <x v="3"/>
    <x v="3"/>
    <s v="CUST957"/>
    <x v="2"/>
    <n v="1463.59"/>
    <n v="95"/>
    <x v="0"/>
    <n v="10654"/>
    <n v="1601346.32"/>
  </r>
  <r>
    <n v="38738"/>
    <n v="15993"/>
    <n v="23995"/>
    <n v="33283"/>
    <n v="30200"/>
    <n v="16136"/>
    <n v="37195"/>
    <n v="-7782"/>
    <n v="4274"/>
    <n v="23495"/>
    <n v="-1064"/>
    <n v="19333"/>
    <s v="india"/>
    <x v="0"/>
    <x v="0"/>
    <x v="3"/>
    <x v="3"/>
    <s v="CUST653"/>
    <x v="3"/>
    <n v="623.95000000000005"/>
    <n v="56"/>
    <x v="2"/>
    <n v="10615"/>
    <n v="2862671.45"/>
  </r>
  <r>
    <n v="13961"/>
    <n v="-3531"/>
    <n v="6621"/>
    <n v="9812"/>
    <n v="38567"/>
    <n v="13573"/>
    <n v="21469"/>
    <n v="19244"/>
    <n v="106"/>
    <n v="30259"/>
    <n v="39307"/>
    <n v="-171"/>
    <s v="india"/>
    <x v="3"/>
    <x v="3"/>
    <x v="2"/>
    <x v="3"/>
    <s v="CUST991"/>
    <x v="2"/>
    <n v="540.67999999999995"/>
    <n v="40"/>
    <x v="3"/>
    <n v="10599"/>
    <n v="1406234.41"/>
  </r>
  <r>
    <n v="22638"/>
    <n v="37335"/>
    <n v="21566"/>
    <n v="-3535"/>
    <n v="31258"/>
    <n v="44700"/>
    <n v="39057"/>
    <n v="23832"/>
    <n v="10167"/>
    <n v="1151"/>
    <n v="44782"/>
    <n v="1505"/>
    <s v="india"/>
    <x v="2"/>
    <x v="2"/>
    <x v="3"/>
    <x v="0"/>
    <s v="CUST560"/>
    <x v="1"/>
    <n v="1871.19"/>
    <n v="51"/>
    <x v="3"/>
    <n v="10610"/>
    <n v="3269508.66"/>
  </r>
  <r>
    <n v="15063"/>
    <n v="3717"/>
    <n v="30826"/>
    <n v="12273"/>
    <n v="-602"/>
    <n v="15413"/>
    <n v="38274"/>
    <n v="539"/>
    <n v="40774"/>
    <n v="34300"/>
    <n v="-221"/>
    <n v="24713"/>
    <s v="india"/>
    <x v="2"/>
    <x v="2"/>
    <x v="2"/>
    <x v="1"/>
    <s v="CUST790"/>
    <x v="0"/>
    <n v="1593.1"/>
    <n v="56"/>
    <x v="0"/>
    <n v="10615"/>
    <n v="3281278.27"/>
  </r>
  <r>
    <n v="27743"/>
    <n v="32368"/>
    <n v="11699"/>
    <n v="1956"/>
    <n v="3925"/>
    <n v="4419"/>
    <n v="13830"/>
    <n v="10700"/>
    <n v="35454"/>
    <n v="17656"/>
    <n v="2010"/>
    <n v="43660"/>
    <s v="india"/>
    <x v="1"/>
    <x v="1"/>
    <x v="3"/>
    <x v="0"/>
    <s v="CUST674"/>
    <x v="2"/>
    <n v="2026.78"/>
    <n v="7"/>
    <x v="2"/>
    <n v="10566"/>
    <n v="1930799.81"/>
  </r>
  <r>
    <n v="24305"/>
    <n v="10856"/>
    <n v="33783"/>
    <n v="7689"/>
    <n v="13733"/>
    <n v="1983"/>
    <n v="35375"/>
    <n v="35773"/>
    <n v="14980"/>
    <n v="38637"/>
    <n v="23702"/>
    <n v="32434"/>
    <s v="india"/>
    <x v="0"/>
    <x v="0"/>
    <x v="0"/>
    <x v="1"/>
    <s v="CUST963"/>
    <x v="3"/>
    <n v="2792.34"/>
    <n v="54"/>
    <x v="2"/>
    <n v="10613"/>
    <n v="3356656.76"/>
  </r>
  <r>
    <n v="44656"/>
    <n v="-3203"/>
    <n v="4243"/>
    <n v="21238"/>
    <n v="9515"/>
    <n v="17791"/>
    <n v="-6359"/>
    <n v="4411"/>
    <n v="8856"/>
    <n v="245"/>
    <n v="25974"/>
    <n v="45374"/>
    <s v="india"/>
    <x v="0"/>
    <x v="0"/>
    <x v="1"/>
    <x v="2"/>
    <s v="CUST842"/>
    <x v="1"/>
    <n v="1620.17"/>
    <n v="84"/>
    <x v="1"/>
    <n v="10643"/>
    <n v="1989218.51"/>
  </r>
  <r>
    <n v="34673"/>
    <n v="37424"/>
    <n v="28409"/>
    <n v="2091"/>
    <n v="37319"/>
    <n v="44458"/>
    <n v="8736"/>
    <n v="-4077"/>
    <n v="29695"/>
    <n v="30559"/>
    <n v="5477"/>
    <n v="35464"/>
    <s v="india"/>
    <x v="1"/>
    <x v="1"/>
    <x v="1"/>
    <x v="3"/>
    <s v="CUST340"/>
    <x v="2"/>
    <n v="1763.75"/>
    <n v="88"/>
    <x v="3"/>
    <n v="10647"/>
    <n v="1546827.1"/>
  </r>
  <r>
    <n v="35284"/>
    <n v="35951"/>
    <n v="35987"/>
    <n v="7389"/>
    <n v="8929"/>
    <n v="33774"/>
    <n v="13294"/>
    <n v="15182"/>
    <n v="1816"/>
    <n v="10909"/>
    <n v="6067"/>
    <n v="39402"/>
    <s v="india"/>
    <x v="3"/>
    <x v="3"/>
    <x v="1"/>
    <x v="0"/>
    <s v="CUST663"/>
    <x v="2"/>
    <n v="314.39999999999998"/>
    <n v="37"/>
    <x v="0"/>
    <n v="10596"/>
    <n v="3189286.03"/>
  </r>
  <r>
    <n v="10657"/>
    <n v="17374"/>
    <n v="8932"/>
    <n v="29560"/>
    <n v="19347"/>
    <n v="36508"/>
    <n v="-7902"/>
    <n v="15860"/>
    <n v="40577"/>
    <n v="2631"/>
    <n v="41433"/>
    <n v="38414"/>
    <s v="india"/>
    <x v="0"/>
    <x v="0"/>
    <x v="3"/>
    <x v="1"/>
    <s v="CUST195"/>
    <x v="1"/>
    <n v="2167.0300000000002"/>
    <n v="70"/>
    <x v="3"/>
    <n v="10629"/>
    <n v="2228318.96"/>
  </r>
  <r>
    <n v="43446"/>
    <n v="17074"/>
    <n v="42555"/>
    <n v="22453"/>
    <n v="13700"/>
    <n v="9552"/>
    <n v="-7147"/>
    <n v="38845"/>
    <n v="21324"/>
    <n v="6514"/>
    <n v="47123"/>
    <n v="2519"/>
    <s v="india"/>
    <x v="2"/>
    <x v="2"/>
    <x v="1"/>
    <x v="2"/>
    <s v="CUST833"/>
    <x v="2"/>
    <n v="1229.72"/>
    <n v="22"/>
    <x v="3"/>
    <n v="10581"/>
    <n v="1266949.67"/>
  </r>
  <r>
    <n v="44197"/>
    <n v="26887"/>
    <n v="19614"/>
    <n v="26853"/>
    <n v="5271"/>
    <n v="26388"/>
    <n v="25673"/>
    <n v="12107"/>
    <n v="38286"/>
    <n v="21218"/>
    <n v="32464"/>
    <n v="21794"/>
    <s v="india"/>
    <x v="2"/>
    <x v="2"/>
    <x v="0"/>
    <x v="2"/>
    <s v="CUST584"/>
    <x v="0"/>
    <n v="2931.34"/>
    <n v="60"/>
    <x v="3"/>
    <n v="10619"/>
    <n v="1213745.6100000001"/>
  </r>
  <r>
    <n v="40739"/>
    <n v="16131"/>
    <n v="25693"/>
    <n v="25159"/>
    <n v="2847"/>
    <n v="43368"/>
    <n v="26107"/>
    <n v="18999"/>
    <n v="25725"/>
    <n v="5174"/>
    <n v="25735"/>
    <n v="17282"/>
    <s v="india"/>
    <x v="4"/>
    <x v="4"/>
    <x v="1"/>
    <x v="3"/>
    <s v="CUST506"/>
    <x v="2"/>
    <n v="2478.36"/>
    <n v="60"/>
    <x v="2"/>
    <n v="10619"/>
    <n v="1117579.3"/>
  </r>
  <r>
    <n v="22946"/>
    <n v="6816"/>
    <n v="2729"/>
    <n v="29711"/>
    <n v="41875"/>
    <n v="3139"/>
    <n v="16510"/>
    <n v="23647"/>
    <n v="16673"/>
    <n v="9912"/>
    <n v="35522"/>
    <n v="12510"/>
    <s v="india"/>
    <x v="0"/>
    <x v="0"/>
    <x v="1"/>
    <x v="1"/>
    <s v="CUST330"/>
    <x v="0"/>
    <n v="1591.32"/>
    <n v="54"/>
    <x v="0"/>
    <n v="10613"/>
    <n v="3147814.54"/>
  </r>
  <r>
    <n v="46332"/>
    <n v="-3718"/>
    <n v="2489"/>
    <n v="24778"/>
    <n v="26877"/>
    <n v="6774"/>
    <n v="22039"/>
    <n v="17890"/>
    <n v="33263"/>
    <n v="25194"/>
    <n v="34780"/>
    <n v="10834"/>
    <s v="india"/>
    <x v="3"/>
    <x v="3"/>
    <x v="3"/>
    <x v="0"/>
    <s v="CUST848"/>
    <x v="0"/>
    <n v="413.51"/>
    <n v="43"/>
    <x v="0"/>
    <n v="10602"/>
    <n v="1350528.57"/>
  </r>
  <r>
    <n v="31529"/>
    <n v="1775"/>
    <n v="19509"/>
    <n v="21943"/>
    <n v="11014"/>
    <n v="31979"/>
    <n v="2718"/>
    <n v="20247"/>
    <n v="34606"/>
    <n v="15130"/>
    <n v="21016"/>
    <n v="14256"/>
    <s v="india"/>
    <x v="1"/>
    <x v="1"/>
    <x v="2"/>
    <x v="3"/>
    <s v="CUST754"/>
    <x v="1"/>
    <n v="2585.2800000000002"/>
    <n v="11"/>
    <x v="0"/>
    <n v="10570"/>
    <n v="3494454.41"/>
  </r>
  <r>
    <n v="25828"/>
    <n v="4280"/>
    <n v="34009"/>
    <n v="14660"/>
    <n v="33719"/>
    <n v="41158"/>
    <n v="19411"/>
    <n v="30426"/>
    <n v="18873"/>
    <n v="10237"/>
    <n v="40359"/>
    <n v="6220"/>
    <s v="india"/>
    <x v="1"/>
    <x v="1"/>
    <x v="0"/>
    <x v="0"/>
    <s v="CUST270"/>
    <x v="2"/>
    <n v="2409.35"/>
    <n v="75"/>
    <x v="3"/>
    <n v="10634"/>
    <n v="3495386.92"/>
  </r>
  <r>
    <n v="13360"/>
    <n v="36409"/>
    <n v="17989"/>
    <n v="-456"/>
    <n v="45754"/>
    <n v="40114"/>
    <n v="24701"/>
    <n v="5315"/>
    <n v="31446"/>
    <n v="9689"/>
    <n v="8013"/>
    <n v="-439"/>
    <s v="india"/>
    <x v="3"/>
    <x v="3"/>
    <x v="3"/>
    <x v="2"/>
    <s v="CUST640"/>
    <x v="1"/>
    <n v="594.53"/>
    <n v="21"/>
    <x v="3"/>
    <n v="10580"/>
    <n v="2587437.12"/>
  </r>
  <r>
    <n v="44264"/>
    <n v="35531"/>
    <n v="30309"/>
    <n v="16579"/>
    <n v="14557"/>
    <n v="24027"/>
    <n v="-9180"/>
    <n v="15135"/>
    <n v="42698"/>
    <n v="10933"/>
    <n v="15647"/>
    <n v="14388"/>
    <s v="india"/>
    <x v="4"/>
    <x v="4"/>
    <x v="0"/>
    <x v="0"/>
    <s v="CUST135"/>
    <x v="2"/>
    <n v="921.07"/>
    <n v="24"/>
    <x v="3"/>
    <n v="10583"/>
    <n v="2975579.25"/>
  </r>
  <r>
    <n v="43754"/>
    <n v="-3432"/>
    <n v="20615"/>
    <n v="-5760"/>
    <n v="10758"/>
    <n v="41880"/>
    <n v="7097"/>
    <n v="-208"/>
    <n v="38685"/>
    <n v="4958"/>
    <n v="44623"/>
    <n v="7781"/>
    <s v="india"/>
    <x v="1"/>
    <x v="1"/>
    <x v="2"/>
    <x v="0"/>
    <s v="CUST624"/>
    <x v="2"/>
    <n v="2390.5500000000002"/>
    <n v="15"/>
    <x v="2"/>
    <n v="10574"/>
    <n v="2098176.89"/>
  </r>
  <r>
    <n v="25247"/>
    <n v="1499"/>
    <n v="42796"/>
    <n v="7830"/>
    <n v="1822"/>
    <n v="26487"/>
    <n v="10585"/>
    <n v="27123"/>
    <n v="3938"/>
    <n v="18667"/>
    <n v="678"/>
    <n v="19003"/>
    <s v="india"/>
    <x v="0"/>
    <x v="0"/>
    <x v="1"/>
    <x v="3"/>
    <s v="CUST259"/>
    <x v="3"/>
    <n v="596.41999999999996"/>
    <n v="54"/>
    <x v="3"/>
    <n v="10613"/>
    <n v="2627970.29"/>
  </r>
  <r>
    <n v="21104"/>
    <n v="36938"/>
    <n v="-876"/>
    <n v="28029"/>
    <n v="30115"/>
    <n v="27500"/>
    <n v="17041"/>
    <n v="-2187"/>
    <n v="34225"/>
    <n v="18193"/>
    <n v="28969"/>
    <n v="20785"/>
    <s v="india"/>
    <x v="4"/>
    <x v="4"/>
    <x v="0"/>
    <x v="0"/>
    <s v="CUST938"/>
    <x v="2"/>
    <n v="2757.37"/>
    <n v="33"/>
    <x v="0"/>
    <n v="10592"/>
    <n v="2667866.8199999998"/>
  </r>
  <r>
    <n v="-1616"/>
    <n v="27489"/>
    <n v="18021"/>
    <n v="38289"/>
    <n v="15422"/>
    <n v="20032"/>
    <n v="24202"/>
    <n v="-2320"/>
    <n v="12600"/>
    <n v="14336"/>
    <n v="41482"/>
    <n v="33939"/>
    <s v="india"/>
    <x v="0"/>
    <x v="0"/>
    <x v="2"/>
    <x v="3"/>
    <s v="CUST798"/>
    <x v="1"/>
    <n v="1302.3599999999999"/>
    <n v="67"/>
    <x v="1"/>
    <n v="10626"/>
    <n v="1439639.71"/>
  </r>
  <r>
    <n v="31239"/>
    <n v="37059"/>
    <n v="44053"/>
    <n v="29385"/>
    <n v="27455"/>
    <n v="20568"/>
    <n v="37279"/>
    <n v="-3760"/>
    <n v="23245"/>
    <n v="22692"/>
    <n v="42899"/>
    <n v="26765"/>
    <s v="india"/>
    <x v="2"/>
    <x v="2"/>
    <x v="0"/>
    <x v="2"/>
    <s v="CUST342"/>
    <x v="0"/>
    <n v="306.76"/>
    <n v="41"/>
    <x v="1"/>
    <n v="10600"/>
    <n v="2026845.0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n v="118820"/>
    <x v="0"/>
    <n v="5290374"/>
    <n v="1116480.92710377"/>
    <n v="0.245629331068281"/>
  </r>
  <r>
    <n v="186790"/>
    <x v="1"/>
    <n v="5241674"/>
    <n v="2116363.0849381699"/>
    <n v="0.28440412415079103"/>
  </r>
  <r>
    <n v="110860"/>
    <x v="2"/>
    <n v="5358484"/>
    <n v="1126104.5227034099"/>
    <n v="0.25631554673573198"/>
  </r>
  <r>
    <n v="202805"/>
    <x v="3"/>
    <n v="5284275"/>
    <n v="3106673.6190178702"/>
    <n v="0.35399826627460002"/>
  </r>
  <r>
    <n v="189770"/>
    <x v="4"/>
    <n v="5125081"/>
    <n v="2145580.2703588302"/>
    <n v="0.29574376500961003"/>
  </r>
  <r>
    <n v="119175"/>
    <x v="5"/>
    <n v="5116527"/>
    <n v="1125544.09476381"/>
    <n v="0.22543590633633931"/>
  </r>
  <r>
    <n v="182765"/>
    <x v="6"/>
    <n v="5129855"/>
    <n v="2216142.4436867898"/>
    <n v="0.28249136433682898"/>
  </r>
  <r>
    <n v="120800"/>
    <x v="7"/>
    <n v="5219142"/>
    <n v="1556085.95411052"/>
    <n v="0.244595080381622"/>
  </r>
  <r>
    <n v="202740"/>
    <x v="8"/>
    <n v="5080906"/>
    <n v="3105856.2607281399"/>
    <n v="0.30290004357404299"/>
  </r>
  <r>
    <n v="190730"/>
    <x v="9"/>
    <n v="5055445"/>
    <n v="2115984.2119172402"/>
    <n v="0.28153078970268502"/>
  </r>
  <r>
    <n v="220780"/>
    <x v="10"/>
    <n v="5155607"/>
    <n v="3115739.8972575902"/>
    <n v="0.353687215459842"/>
  </r>
  <r>
    <n v="228900"/>
    <x v="11"/>
    <n v="5368759"/>
    <n v="3655712.0356729799"/>
    <n v="0.3750889537496390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202"/>
    <s v="AJIO"/>
    <s v="Fashion"/>
    <n v="2219.2800000000002"/>
    <n v="45"/>
    <x v="0"/>
    <x v="0"/>
    <x v="0"/>
    <n v="10604"/>
  </r>
  <r>
    <s v="CUST535"/>
    <s v="Snapdeal"/>
    <s v="Beauty"/>
    <n v="2314.79"/>
    <n v="64"/>
    <x v="1"/>
    <x v="0"/>
    <x v="1"/>
    <n v="10623"/>
  </r>
  <r>
    <s v="CUST960"/>
    <s v="AJIO"/>
    <s v="Electronics"/>
    <n v="1539.29"/>
    <n v="31"/>
    <x v="2"/>
    <x v="0"/>
    <x v="2"/>
    <n v="10590"/>
  </r>
  <r>
    <s v="CUST370"/>
    <s v="Snapdeal"/>
    <s v="Fashion"/>
    <n v="1652.74"/>
    <n v="96"/>
    <x v="0"/>
    <x v="1"/>
    <x v="3"/>
    <n v="10655"/>
  </r>
  <r>
    <s v="CUST206"/>
    <s v="Flipkart"/>
    <s v="Fashion"/>
    <n v="1566.29"/>
    <n v="38"/>
    <x v="1"/>
    <x v="2"/>
    <x v="2"/>
    <n v="10597"/>
  </r>
  <r>
    <s v="CUST171"/>
    <s v="Snapdeal"/>
    <s v="Fashion"/>
    <n v="1784.77"/>
    <n v="86"/>
    <x v="0"/>
    <x v="3"/>
    <x v="3"/>
    <n v="10645"/>
  </r>
  <r>
    <s v="CUST800"/>
    <s v="Snapdeal"/>
    <s v="Fashion"/>
    <n v="136.71"/>
    <n v="86"/>
    <x v="3"/>
    <x v="3"/>
    <x v="2"/>
    <n v="10645"/>
  </r>
  <r>
    <s v="CUST120"/>
    <s v="Snapdeal"/>
    <s v="Fashion"/>
    <n v="1216.77"/>
    <n v="61"/>
    <x v="1"/>
    <x v="2"/>
    <x v="1"/>
    <n v="10620"/>
  </r>
  <r>
    <s v="CUST714"/>
    <s v="Amazon"/>
    <s v="Home"/>
    <n v="1838.26"/>
    <n v="52"/>
    <x v="2"/>
    <x v="2"/>
    <x v="3"/>
    <n v="10611"/>
  </r>
  <r>
    <s v="CUST221"/>
    <s v="AJIO"/>
    <s v="Electronics"/>
    <n v="1813.28"/>
    <n v="6"/>
    <x v="2"/>
    <x v="2"/>
    <x v="0"/>
    <n v="10565"/>
  </r>
  <r>
    <s v="CUST566"/>
    <s v="Snapdeal"/>
    <s v="Home"/>
    <n v="2389.2199999999998"/>
    <n v="81"/>
    <x v="2"/>
    <x v="2"/>
    <x v="2"/>
    <n v="10640"/>
  </r>
  <r>
    <s v="CUST314"/>
    <s v="Snapdeal"/>
    <s v="Beauty"/>
    <n v="1982.28"/>
    <n v="1"/>
    <x v="2"/>
    <x v="1"/>
    <x v="2"/>
    <n v="10560"/>
  </r>
  <r>
    <s v="CUST430"/>
    <s v="Amazon"/>
    <s v="Fashion"/>
    <n v="2976.79"/>
    <n v="16"/>
    <x v="0"/>
    <x v="3"/>
    <x v="3"/>
    <n v="10575"/>
  </r>
  <r>
    <s v="CUST558"/>
    <s v="Snapdeal"/>
    <s v="Electronics"/>
    <n v="887.37"/>
    <n v="77"/>
    <x v="0"/>
    <x v="0"/>
    <x v="0"/>
    <n v="10636"/>
  </r>
  <r>
    <s v="CUST187"/>
    <s v="Flipkart"/>
    <s v="Fashion"/>
    <n v="1109.5"/>
    <n v="74"/>
    <x v="2"/>
    <x v="0"/>
    <x v="0"/>
    <n v="10633"/>
  </r>
  <r>
    <s v="CUST472"/>
    <s v="Amazon"/>
    <s v="Electronics"/>
    <n v="1182.3499999999999"/>
    <n v="57"/>
    <x v="2"/>
    <x v="1"/>
    <x v="1"/>
    <n v="10616"/>
  </r>
  <r>
    <s v="CUST199"/>
    <s v="Snapdeal"/>
    <s v="Home"/>
    <n v="1424.15"/>
    <n v="49"/>
    <x v="2"/>
    <x v="3"/>
    <x v="0"/>
    <n v="10608"/>
  </r>
  <r>
    <s v="CUST971"/>
    <s v="Snapdeal"/>
    <s v="Electronics"/>
    <n v="2516.19"/>
    <n v="82"/>
    <x v="0"/>
    <x v="2"/>
    <x v="0"/>
    <n v="10641"/>
  </r>
  <r>
    <s v="CUST763"/>
    <s v="Snapdeal"/>
    <s v="Beauty"/>
    <n v="745.59"/>
    <n v="73"/>
    <x v="2"/>
    <x v="1"/>
    <x v="0"/>
    <n v="10632"/>
  </r>
  <r>
    <s v="CUST230"/>
    <s v="AJIO"/>
    <s v="Beauty"/>
    <n v="2339.1999999999998"/>
    <n v="18"/>
    <x v="2"/>
    <x v="1"/>
    <x v="4"/>
    <n v="10577"/>
  </r>
  <r>
    <s v="CUST761"/>
    <s v="Amazon"/>
    <s v="Electronics"/>
    <n v="1245.67"/>
    <n v="78"/>
    <x v="3"/>
    <x v="2"/>
    <x v="1"/>
    <n v="10637"/>
  </r>
  <r>
    <s v="CUST408"/>
    <s v="Flipkart"/>
    <s v="Electronics"/>
    <n v="1825.47"/>
    <n v="67"/>
    <x v="3"/>
    <x v="3"/>
    <x v="2"/>
    <n v="10626"/>
  </r>
  <r>
    <s v="CUST869"/>
    <s v="AJIO"/>
    <s v="Electronics"/>
    <n v="1915.99"/>
    <n v="78"/>
    <x v="2"/>
    <x v="3"/>
    <x v="3"/>
    <n v="10637"/>
  </r>
  <r>
    <s v="CUST443"/>
    <s v="Flipkart"/>
    <s v="Electronics"/>
    <n v="1149.9000000000001"/>
    <n v="14"/>
    <x v="1"/>
    <x v="0"/>
    <x v="2"/>
    <n v="10573"/>
  </r>
  <r>
    <s v="CUST591"/>
    <s v="AJIO"/>
    <s v="Beauty"/>
    <n v="1562.21"/>
    <n v="32"/>
    <x v="2"/>
    <x v="2"/>
    <x v="1"/>
    <n v="10591"/>
  </r>
  <r>
    <s v="CUST513"/>
    <s v="AJIO"/>
    <s v="Fashion"/>
    <n v="1268.44"/>
    <n v="49"/>
    <x v="3"/>
    <x v="1"/>
    <x v="3"/>
    <n v="10608"/>
  </r>
  <r>
    <s v="CUST905"/>
    <s v="Snapdeal"/>
    <s v="Electronics"/>
    <n v="253.94"/>
    <n v="72"/>
    <x v="1"/>
    <x v="1"/>
    <x v="1"/>
    <n v="10631"/>
  </r>
  <r>
    <s v="CUST485"/>
    <s v="AJIO"/>
    <s v="Electronics"/>
    <n v="1339.64"/>
    <n v="42"/>
    <x v="1"/>
    <x v="1"/>
    <x v="0"/>
    <n v="10601"/>
  </r>
  <r>
    <s v="CUST291"/>
    <s v="Flipkart"/>
    <s v="Beauty"/>
    <n v="337.31"/>
    <n v="47"/>
    <x v="2"/>
    <x v="1"/>
    <x v="3"/>
    <n v="10606"/>
  </r>
  <r>
    <s v="CUST376"/>
    <s v="Flipkart"/>
    <s v="Beauty"/>
    <n v="1244.81"/>
    <n v="38"/>
    <x v="3"/>
    <x v="0"/>
    <x v="0"/>
    <n v="10597"/>
  </r>
  <r>
    <s v="CUST260"/>
    <s v="Amazon"/>
    <s v="Home"/>
    <n v="1799.11"/>
    <n v="66"/>
    <x v="3"/>
    <x v="2"/>
    <x v="2"/>
    <n v="10625"/>
  </r>
  <r>
    <s v="CUST559"/>
    <s v="Flipkart"/>
    <s v="Electronics"/>
    <n v="1759.27"/>
    <n v="91"/>
    <x v="1"/>
    <x v="0"/>
    <x v="2"/>
    <n v="10650"/>
  </r>
  <r>
    <s v="CUST413"/>
    <s v="Flipkart"/>
    <s v="Home"/>
    <n v="2004.73"/>
    <n v="63"/>
    <x v="2"/>
    <x v="0"/>
    <x v="3"/>
    <n v="10622"/>
  </r>
  <r>
    <s v="CUST121"/>
    <s v="AJIO"/>
    <s v="Beauty"/>
    <n v="331.02"/>
    <n v="65"/>
    <x v="0"/>
    <x v="1"/>
    <x v="3"/>
    <n v="10624"/>
  </r>
  <r>
    <s v="CUST352"/>
    <s v="Flipkart"/>
    <s v="Beauty"/>
    <n v="1973.76"/>
    <n v="64"/>
    <x v="0"/>
    <x v="1"/>
    <x v="1"/>
    <n v="10623"/>
  </r>
  <r>
    <s v="CUST847"/>
    <s v="Snapdeal"/>
    <s v="Fashion"/>
    <n v="970.84"/>
    <n v="14"/>
    <x v="3"/>
    <x v="1"/>
    <x v="1"/>
    <n v="10573"/>
  </r>
  <r>
    <s v="CUST956"/>
    <s v="Snapdeal"/>
    <s v="Electronics"/>
    <n v="1227.19"/>
    <n v="11"/>
    <x v="0"/>
    <x v="2"/>
    <x v="0"/>
    <n v="10570"/>
  </r>
  <r>
    <s v="CUST660"/>
    <s v="AJIO"/>
    <s v="Home"/>
    <n v="2581.06"/>
    <n v="5"/>
    <x v="3"/>
    <x v="2"/>
    <x v="3"/>
    <n v="10564"/>
  </r>
  <r>
    <s v="CUST574"/>
    <s v="Flipkart"/>
    <s v="Beauty"/>
    <n v="76.64"/>
    <n v="34"/>
    <x v="3"/>
    <x v="1"/>
    <x v="2"/>
    <n v="10593"/>
  </r>
  <r>
    <s v="CUST158"/>
    <s v="Amazon"/>
    <s v="Beauty"/>
    <n v="1785.82"/>
    <n v="43"/>
    <x v="3"/>
    <x v="1"/>
    <x v="1"/>
    <n v="10602"/>
  </r>
  <r>
    <s v="CUST610"/>
    <s v="AJIO"/>
    <s v="Home"/>
    <n v="1816.21"/>
    <n v="56"/>
    <x v="0"/>
    <x v="0"/>
    <x v="1"/>
    <n v="10615"/>
  </r>
  <r>
    <s v="CUST781"/>
    <s v="Snapdeal"/>
    <s v="Fashion"/>
    <n v="1220.1500000000001"/>
    <n v="84"/>
    <x v="3"/>
    <x v="0"/>
    <x v="2"/>
    <n v="10643"/>
  </r>
  <r>
    <s v="CUST575"/>
    <s v="Amazon"/>
    <s v="Beauty"/>
    <n v="749.23"/>
    <n v="23"/>
    <x v="1"/>
    <x v="0"/>
    <x v="1"/>
    <n v="10582"/>
  </r>
  <r>
    <s v="CUST799"/>
    <s v="Amazon"/>
    <s v="Electronics"/>
    <n v="742.29"/>
    <n v="70"/>
    <x v="2"/>
    <x v="2"/>
    <x v="0"/>
    <n v="10629"/>
  </r>
  <r>
    <s v="CUST882"/>
    <s v="Snapdeal"/>
    <s v="Beauty"/>
    <n v="2656.94"/>
    <n v="16"/>
    <x v="2"/>
    <x v="2"/>
    <x v="3"/>
    <n v="10575"/>
  </r>
  <r>
    <s v="CUST289"/>
    <s v="Amazon"/>
    <s v="Electronics"/>
    <n v="1353.97"/>
    <n v="79"/>
    <x v="3"/>
    <x v="1"/>
    <x v="2"/>
    <n v="10638"/>
  </r>
  <r>
    <s v="CUST786"/>
    <s v="AJIO"/>
    <s v="Home"/>
    <n v="1026.1199999999999"/>
    <n v="33"/>
    <x v="2"/>
    <x v="0"/>
    <x v="3"/>
    <n v="10592"/>
  </r>
  <r>
    <s v="CUST662"/>
    <s v="Snapdeal"/>
    <s v="Electronics"/>
    <n v="1373.89"/>
    <n v="83"/>
    <x v="0"/>
    <x v="0"/>
    <x v="1"/>
    <n v="10642"/>
  </r>
  <r>
    <s v="CUST975"/>
    <s v="AJIO"/>
    <s v="Home"/>
    <n v="2024.7"/>
    <n v="64"/>
    <x v="0"/>
    <x v="3"/>
    <x v="1"/>
    <n v="10623"/>
  </r>
  <r>
    <s v="CUST666"/>
    <s v="Flipkart"/>
    <s v="Electronics"/>
    <n v="479.98"/>
    <n v="80"/>
    <x v="2"/>
    <x v="0"/>
    <x v="2"/>
    <n v="10639"/>
  </r>
  <r>
    <s v="CUST343"/>
    <s v="Flipkart"/>
    <s v="Home"/>
    <n v="1375.83"/>
    <n v="51"/>
    <x v="0"/>
    <x v="2"/>
    <x v="0"/>
    <n v="10610"/>
  </r>
  <r>
    <s v="CUST931"/>
    <s v="Amazon"/>
    <s v="Electronics"/>
    <n v="1784.26"/>
    <n v="94"/>
    <x v="2"/>
    <x v="0"/>
    <x v="4"/>
    <n v="10653"/>
  </r>
  <r>
    <s v="CUST604"/>
    <s v="Snapdeal"/>
    <s v="Fashion"/>
    <n v="2848.32"/>
    <n v="34"/>
    <x v="2"/>
    <x v="1"/>
    <x v="2"/>
    <n v="10593"/>
  </r>
  <r>
    <s v="CUST230"/>
    <s v="Snapdeal"/>
    <s v="Electronics"/>
    <n v="794.96"/>
    <n v="72"/>
    <x v="2"/>
    <x v="1"/>
    <x v="4"/>
    <n v="10631"/>
  </r>
  <r>
    <s v="CUST584"/>
    <s v="Flipkart"/>
    <s v="Electronics"/>
    <n v="1109.79"/>
    <n v="60"/>
    <x v="3"/>
    <x v="3"/>
    <x v="4"/>
    <n v="10619"/>
  </r>
  <r>
    <s v="CUST918"/>
    <s v="Flipkart"/>
    <s v="Fashion"/>
    <n v="1169.1099999999999"/>
    <n v="39"/>
    <x v="2"/>
    <x v="2"/>
    <x v="0"/>
    <n v="10598"/>
  </r>
  <r>
    <s v="CUST746"/>
    <s v="AJIO"/>
    <s v="Beauty"/>
    <n v="1836.34"/>
    <n v="82"/>
    <x v="3"/>
    <x v="0"/>
    <x v="4"/>
    <n v="10641"/>
  </r>
  <r>
    <s v="CUST120"/>
    <s v="Flipkart"/>
    <s v="Beauty"/>
    <n v="1102.3599999999999"/>
    <n v="57"/>
    <x v="2"/>
    <x v="3"/>
    <x v="4"/>
    <n v="10616"/>
  </r>
  <r>
    <s v="CUST940"/>
    <s v="Flipkart"/>
    <s v="Electronics"/>
    <n v="1623.86"/>
    <n v="20"/>
    <x v="2"/>
    <x v="1"/>
    <x v="0"/>
    <n v="10579"/>
  </r>
  <r>
    <s v="CUST266"/>
    <s v="Snapdeal"/>
    <s v="Fashion"/>
    <n v="2356.2800000000002"/>
    <n v="52"/>
    <x v="2"/>
    <x v="1"/>
    <x v="4"/>
    <n v="10611"/>
  </r>
  <r>
    <s v="CUST373"/>
    <s v="Snapdeal"/>
    <s v="Electronics"/>
    <n v="2130.89"/>
    <n v="94"/>
    <x v="0"/>
    <x v="2"/>
    <x v="4"/>
    <n v="10653"/>
  </r>
  <r>
    <s v="CUST487"/>
    <s v="Snapdeal"/>
    <s v="Home"/>
    <n v="1366.79"/>
    <n v="75"/>
    <x v="3"/>
    <x v="0"/>
    <x v="4"/>
    <n v="10634"/>
  </r>
  <r>
    <s v="CUST700"/>
    <s v="Snapdeal"/>
    <s v="Home"/>
    <n v="2599.44"/>
    <n v="72"/>
    <x v="3"/>
    <x v="1"/>
    <x v="2"/>
    <n v="10631"/>
  </r>
  <r>
    <s v="CUST415"/>
    <s v="AJIO"/>
    <s v="Electronics"/>
    <n v="1696.51"/>
    <n v="98"/>
    <x v="2"/>
    <x v="3"/>
    <x v="2"/>
    <n v="10657"/>
  </r>
  <r>
    <s v="CUST113"/>
    <s v="Snapdeal"/>
    <s v="Beauty"/>
    <n v="1642.72"/>
    <n v="87"/>
    <x v="2"/>
    <x v="2"/>
    <x v="2"/>
    <n v="10646"/>
  </r>
  <r>
    <s v="CUST341"/>
    <s v="AJIO"/>
    <s v="Beauty"/>
    <n v="150.85"/>
    <n v="93"/>
    <x v="0"/>
    <x v="3"/>
    <x v="0"/>
    <n v="10652"/>
  </r>
  <r>
    <s v="CUST876"/>
    <s v="Flipkart"/>
    <s v="Electronics"/>
    <n v="2960.74"/>
    <n v="14"/>
    <x v="0"/>
    <x v="0"/>
    <x v="1"/>
    <n v="10573"/>
  </r>
  <r>
    <s v="CUST445"/>
    <s v="Flipkart"/>
    <s v="Electronics"/>
    <n v="412.76"/>
    <n v="81"/>
    <x v="0"/>
    <x v="0"/>
    <x v="4"/>
    <n v="10640"/>
  </r>
  <r>
    <s v="CUST664"/>
    <s v="AJIO"/>
    <s v="Home"/>
    <n v="731.84"/>
    <n v="27"/>
    <x v="3"/>
    <x v="0"/>
    <x v="4"/>
    <n v="10586"/>
  </r>
  <r>
    <s v="CUST997"/>
    <s v="Amazon"/>
    <s v="Beauty"/>
    <n v="202.51"/>
    <n v="34"/>
    <x v="3"/>
    <x v="1"/>
    <x v="0"/>
    <n v="10593"/>
  </r>
  <r>
    <s v="CUST439"/>
    <s v="Snapdeal"/>
    <s v="Electronics"/>
    <n v="1938.01"/>
    <n v="69"/>
    <x v="3"/>
    <x v="2"/>
    <x v="4"/>
    <n v="10628"/>
  </r>
  <r>
    <s v="CUST191"/>
    <s v="Amazon"/>
    <s v="Home"/>
    <n v="712.87"/>
    <n v="69"/>
    <x v="2"/>
    <x v="0"/>
    <x v="2"/>
    <n v="10628"/>
  </r>
  <r>
    <s v="CUST466"/>
    <s v="Snapdeal"/>
    <s v="Beauty"/>
    <n v="581.03"/>
    <n v="99"/>
    <x v="3"/>
    <x v="0"/>
    <x v="1"/>
    <n v="10658"/>
  </r>
  <r>
    <s v="CUST554"/>
    <s v="Amazon"/>
    <s v="Fashion"/>
    <n v="311.24"/>
    <n v="19"/>
    <x v="1"/>
    <x v="0"/>
    <x v="3"/>
    <n v="10578"/>
  </r>
  <r>
    <s v="CUST527"/>
    <s v="Snapdeal"/>
    <s v="Home"/>
    <n v="354.76"/>
    <n v="71"/>
    <x v="1"/>
    <x v="0"/>
    <x v="4"/>
    <n v="10630"/>
  </r>
  <r>
    <s v="CUST608"/>
    <s v="Amazon"/>
    <s v="Beauty"/>
    <n v="1774.78"/>
    <n v="39"/>
    <x v="0"/>
    <x v="1"/>
    <x v="2"/>
    <n v="10598"/>
  </r>
  <r>
    <s v="CUST875"/>
    <s v="AJIO"/>
    <s v="Beauty"/>
    <n v="2080.21"/>
    <n v="10"/>
    <x v="3"/>
    <x v="3"/>
    <x v="3"/>
    <n v="10569"/>
  </r>
  <r>
    <s v="CUST134"/>
    <s v="AJIO"/>
    <s v="Home"/>
    <n v="1222.27"/>
    <n v="65"/>
    <x v="1"/>
    <x v="0"/>
    <x v="1"/>
    <n v="10624"/>
  </r>
  <r>
    <s v="CUST305"/>
    <s v="Snapdeal"/>
    <s v="Fashion"/>
    <n v="1465.7"/>
    <n v="21"/>
    <x v="0"/>
    <x v="0"/>
    <x v="3"/>
    <n v="10580"/>
  </r>
  <r>
    <s v="CUST180"/>
    <s v="Snapdeal"/>
    <s v="Home"/>
    <n v="2073.6"/>
    <n v="94"/>
    <x v="3"/>
    <x v="3"/>
    <x v="2"/>
    <n v="10653"/>
  </r>
  <r>
    <s v="CUST661"/>
    <s v="Flipkart"/>
    <s v="Beauty"/>
    <n v="101.27"/>
    <n v="11"/>
    <x v="2"/>
    <x v="0"/>
    <x v="3"/>
    <n v="10570"/>
  </r>
  <r>
    <s v="CUST971"/>
    <s v="Snapdeal"/>
    <s v="Electronics"/>
    <n v="1003.24"/>
    <n v="30"/>
    <x v="1"/>
    <x v="3"/>
    <x v="0"/>
    <n v="10589"/>
  </r>
  <r>
    <s v="CUST487"/>
    <s v="Amazon"/>
    <s v="Electronics"/>
    <n v="2920.64"/>
    <n v="19"/>
    <x v="2"/>
    <x v="3"/>
    <x v="3"/>
    <n v="10578"/>
  </r>
  <r>
    <s v="CUST101"/>
    <s v="AJIO"/>
    <s v="Home"/>
    <n v="1761.33"/>
    <n v="68"/>
    <x v="3"/>
    <x v="1"/>
    <x v="4"/>
    <n v="10627"/>
  </r>
  <r>
    <s v="CUST489"/>
    <s v="AJIO"/>
    <s v="Beauty"/>
    <n v="799.96"/>
    <n v="63"/>
    <x v="1"/>
    <x v="0"/>
    <x v="4"/>
    <n v="10622"/>
  </r>
  <r>
    <s v="CUST665"/>
    <s v="Flipkart"/>
    <s v="Electronics"/>
    <n v="1589.1"/>
    <n v="38"/>
    <x v="3"/>
    <x v="1"/>
    <x v="0"/>
    <n v="10597"/>
  </r>
  <r>
    <s v="CUST205"/>
    <s v="AJIO"/>
    <s v="Beauty"/>
    <n v="1060.83"/>
    <n v="12"/>
    <x v="2"/>
    <x v="1"/>
    <x v="2"/>
    <n v="10571"/>
  </r>
  <r>
    <s v="CUST871"/>
    <s v="Flipkart"/>
    <s v="Home"/>
    <n v="1620.12"/>
    <n v="84"/>
    <x v="1"/>
    <x v="3"/>
    <x v="4"/>
    <n v="10643"/>
  </r>
  <r>
    <s v="CUST921"/>
    <s v="Flipkart"/>
    <s v="Electronics"/>
    <n v="420.94"/>
    <n v="86"/>
    <x v="2"/>
    <x v="1"/>
    <x v="1"/>
    <n v="10645"/>
  </r>
  <r>
    <s v="CUST576"/>
    <s v="Amazon"/>
    <s v="Beauty"/>
    <n v="441.51"/>
    <n v="88"/>
    <x v="3"/>
    <x v="0"/>
    <x v="4"/>
    <n v="10647"/>
  </r>
  <r>
    <s v="CUST802"/>
    <s v="Flipkart"/>
    <s v="Electronics"/>
    <n v="473.45"/>
    <n v="34"/>
    <x v="3"/>
    <x v="2"/>
    <x v="4"/>
    <n v="10593"/>
  </r>
  <r>
    <s v="CUST501"/>
    <s v="AJIO"/>
    <s v="Home"/>
    <n v="2822.47"/>
    <n v="89"/>
    <x v="2"/>
    <x v="0"/>
    <x v="2"/>
    <n v="10648"/>
  </r>
  <r>
    <s v="CUST829"/>
    <s v="Snapdeal"/>
    <s v="Beauty"/>
    <n v="2212.0500000000002"/>
    <n v="93"/>
    <x v="1"/>
    <x v="0"/>
    <x v="3"/>
    <n v="10652"/>
  </r>
  <r>
    <s v="CUST655"/>
    <s v="Snapdeal"/>
    <s v="Electronics"/>
    <n v="529.03"/>
    <n v="70"/>
    <x v="2"/>
    <x v="1"/>
    <x v="4"/>
    <n v="10629"/>
  </r>
  <r>
    <s v="CUST261"/>
    <s v="Snapdeal"/>
    <s v="Home"/>
    <n v="605.63"/>
    <n v="87"/>
    <x v="3"/>
    <x v="1"/>
    <x v="0"/>
    <n v="10646"/>
  </r>
  <r>
    <s v="CUST301"/>
    <s v="Amazon"/>
    <s v="Electronics"/>
    <n v="2205.9499999999998"/>
    <n v="24"/>
    <x v="2"/>
    <x v="3"/>
    <x v="3"/>
    <n v="10583"/>
  </r>
  <r>
    <s v="CUST369"/>
    <s v="AJIO"/>
    <s v="Electronics"/>
    <n v="510.68"/>
    <n v="23"/>
    <x v="3"/>
    <x v="2"/>
    <x v="1"/>
    <n v="10582"/>
  </r>
  <r>
    <s v="CUST962"/>
    <s v="Amazon"/>
    <s v="Fashion"/>
    <n v="741.96"/>
    <n v="58"/>
    <x v="2"/>
    <x v="0"/>
    <x v="2"/>
    <n v="10617"/>
  </r>
  <r>
    <s v="CUST915"/>
    <s v="Amazon"/>
    <s v="Fashion"/>
    <n v="2891.87"/>
    <n v="24"/>
    <x v="1"/>
    <x v="0"/>
    <x v="1"/>
    <n v="10583"/>
  </r>
  <r>
    <s v="CUST370"/>
    <s v="Snapdeal"/>
    <s v="Home"/>
    <n v="803.15"/>
    <n v="1"/>
    <x v="1"/>
    <x v="1"/>
    <x v="3"/>
    <n v="10560"/>
  </r>
  <r>
    <s v="CUST555"/>
    <s v="Flipkart"/>
    <s v="Fashion"/>
    <n v="2001.82"/>
    <n v="64"/>
    <x v="2"/>
    <x v="0"/>
    <x v="3"/>
    <n v="10623"/>
  </r>
  <r>
    <s v="CUST561"/>
    <s v="Amazon"/>
    <s v="Home"/>
    <n v="2936.96"/>
    <n v="19"/>
    <x v="2"/>
    <x v="3"/>
    <x v="3"/>
    <n v="10578"/>
  </r>
  <r>
    <s v="CUST826"/>
    <s v="Snapdeal"/>
    <s v="Fashion"/>
    <n v="1154.18"/>
    <n v="70"/>
    <x v="1"/>
    <x v="0"/>
    <x v="1"/>
    <n v="10629"/>
  </r>
  <r>
    <s v="CUST351"/>
    <s v="Flipkart"/>
    <s v="Electronics"/>
    <n v="101.67"/>
    <n v="29"/>
    <x v="3"/>
    <x v="2"/>
    <x v="3"/>
    <n v="10588"/>
  </r>
  <r>
    <s v="CUST801"/>
    <s v="AJIO"/>
    <s v="Home"/>
    <n v="770.23"/>
    <n v="91"/>
    <x v="1"/>
    <x v="3"/>
    <x v="1"/>
    <n v="10650"/>
  </r>
  <r>
    <s v="CUST395"/>
    <s v="AJIO"/>
    <s v="Home"/>
    <n v="2501.09"/>
    <n v="82"/>
    <x v="3"/>
    <x v="1"/>
    <x v="3"/>
    <n v="10641"/>
  </r>
  <r>
    <s v="CUST824"/>
    <s v="Snapdeal"/>
    <s v="Electronics"/>
    <n v="2600.6"/>
    <n v="85"/>
    <x v="2"/>
    <x v="0"/>
    <x v="0"/>
    <n v="10644"/>
  </r>
  <r>
    <s v="CUST819"/>
    <s v="Snapdeal"/>
    <s v="Home"/>
    <n v="2317.13"/>
    <n v="7"/>
    <x v="2"/>
    <x v="2"/>
    <x v="3"/>
    <n v="10566"/>
  </r>
  <r>
    <s v="CUST848"/>
    <s v="Flipkart"/>
    <s v="Home"/>
    <n v="383.67"/>
    <n v="93"/>
    <x v="3"/>
    <x v="2"/>
    <x v="1"/>
    <n v="10652"/>
  </r>
  <r>
    <s v="CUST437"/>
    <s v="Flipkart"/>
    <s v="Fashion"/>
    <n v="2396.7600000000002"/>
    <n v="9"/>
    <x v="2"/>
    <x v="2"/>
    <x v="4"/>
    <n v="10568"/>
  </r>
  <r>
    <s v="CUST978"/>
    <s v="Amazon"/>
    <s v="Home"/>
    <n v="2760.1"/>
    <n v="99"/>
    <x v="3"/>
    <x v="2"/>
    <x v="3"/>
    <n v="10658"/>
  </r>
  <r>
    <s v="CUST152"/>
    <s v="AJIO"/>
    <s v="Beauty"/>
    <n v="1821.8"/>
    <n v="33"/>
    <x v="0"/>
    <x v="0"/>
    <x v="4"/>
    <n v="10592"/>
  </r>
  <r>
    <s v="CUST891"/>
    <s v="Amazon"/>
    <s v="Electronics"/>
    <n v="2825.58"/>
    <n v="19"/>
    <x v="1"/>
    <x v="2"/>
    <x v="0"/>
    <n v="10578"/>
  </r>
  <r>
    <s v="CUST316"/>
    <s v="Amazon"/>
    <s v="Fashion"/>
    <n v="2489.17"/>
    <n v="39"/>
    <x v="0"/>
    <x v="0"/>
    <x v="2"/>
    <n v="10598"/>
  </r>
  <r>
    <s v="CUST863"/>
    <s v="Flipkart"/>
    <s v="Fashion"/>
    <n v="2017.57"/>
    <n v="99"/>
    <x v="3"/>
    <x v="0"/>
    <x v="0"/>
    <n v="10658"/>
  </r>
  <r>
    <s v="CUST287"/>
    <s v="Flipkart"/>
    <s v="Beauty"/>
    <n v="1752.7"/>
    <n v="16"/>
    <x v="1"/>
    <x v="0"/>
    <x v="3"/>
    <n v="10575"/>
  </r>
  <r>
    <s v="CUST479"/>
    <s v="Snapdeal"/>
    <s v="Electronics"/>
    <n v="1078.29"/>
    <n v="70"/>
    <x v="3"/>
    <x v="3"/>
    <x v="4"/>
    <n v="10629"/>
  </r>
  <r>
    <s v="CUST592"/>
    <s v="AJIO"/>
    <s v="Electronics"/>
    <n v="519.9"/>
    <n v="84"/>
    <x v="1"/>
    <x v="1"/>
    <x v="4"/>
    <n v="10643"/>
  </r>
  <r>
    <s v="CUST140"/>
    <s v="Amazon"/>
    <s v="Fashion"/>
    <n v="1834.61"/>
    <n v="23"/>
    <x v="1"/>
    <x v="2"/>
    <x v="1"/>
    <n v="10582"/>
  </r>
  <r>
    <s v="CUST256"/>
    <s v="Amazon"/>
    <s v="Home"/>
    <n v="988.43"/>
    <n v="81"/>
    <x v="1"/>
    <x v="2"/>
    <x v="4"/>
    <n v="10640"/>
  </r>
  <r>
    <s v="CUST114"/>
    <s v="Snapdeal"/>
    <s v="Fashion"/>
    <n v="2605.9899999999998"/>
    <n v="6"/>
    <x v="1"/>
    <x v="3"/>
    <x v="1"/>
    <n v="10565"/>
  </r>
  <r>
    <s v="CUST912"/>
    <s v="AJIO"/>
    <s v="Electronics"/>
    <n v="2980.34"/>
    <n v="48"/>
    <x v="3"/>
    <x v="1"/>
    <x v="2"/>
    <n v="10607"/>
  </r>
  <r>
    <s v="CUST164"/>
    <s v="AJIO"/>
    <s v="Beauty"/>
    <n v="2269.66"/>
    <n v="95"/>
    <x v="1"/>
    <x v="3"/>
    <x v="3"/>
    <n v="10654"/>
  </r>
  <r>
    <s v="CUST956"/>
    <s v="Flipkart"/>
    <s v="Fashion"/>
    <n v="316.92"/>
    <n v="71"/>
    <x v="1"/>
    <x v="3"/>
    <x v="1"/>
    <n v="10630"/>
  </r>
  <r>
    <s v="CUST938"/>
    <s v="Flipkart"/>
    <s v="Electronics"/>
    <n v="901.62"/>
    <n v="16"/>
    <x v="0"/>
    <x v="2"/>
    <x v="2"/>
    <n v="10575"/>
  </r>
  <r>
    <s v="CUST620"/>
    <s v="Amazon"/>
    <s v="Fashion"/>
    <n v="371.87"/>
    <n v="71"/>
    <x v="2"/>
    <x v="3"/>
    <x v="4"/>
    <n v="10630"/>
  </r>
  <r>
    <s v="CUST443"/>
    <s v="Amazon"/>
    <s v="Home"/>
    <n v="1969.01"/>
    <n v="7"/>
    <x v="2"/>
    <x v="0"/>
    <x v="4"/>
    <n v="10566"/>
  </r>
  <r>
    <s v="CUST228"/>
    <s v="Flipkart"/>
    <s v="Fashion"/>
    <n v="2307.31"/>
    <n v="63"/>
    <x v="0"/>
    <x v="0"/>
    <x v="2"/>
    <n v="10622"/>
  </r>
  <r>
    <s v="CUST747"/>
    <s v="AJIO"/>
    <s v="Fashion"/>
    <n v="2780.74"/>
    <n v="37"/>
    <x v="0"/>
    <x v="2"/>
    <x v="4"/>
    <n v="10596"/>
  </r>
  <r>
    <s v="CUST571"/>
    <s v="Flipkart"/>
    <s v="Electronics"/>
    <n v="1342.61"/>
    <n v="95"/>
    <x v="3"/>
    <x v="1"/>
    <x v="2"/>
    <n v="10654"/>
  </r>
  <r>
    <s v="CUST162"/>
    <s v="AJIO"/>
    <s v="Electronics"/>
    <n v="2709.06"/>
    <n v="93"/>
    <x v="3"/>
    <x v="2"/>
    <x v="1"/>
    <n v="10652"/>
  </r>
  <r>
    <s v="CUST238"/>
    <s v="Amazon"/>
    <s v="Electronics"/>
    <n v="2639.78"/>
    <n v="5"/>
    <x v="3"/>
    <x v="3"/>
    <x v="1"/>
    <n v="10564"/>
  </r>
  <r>
    <s v="CUST598"/>
    <s v="Snapdeal"/>
    <s v="Fashion"/>
    <n v="985.73"/>
    <n v="76"/>
    <x v="0"/>
    <x v="0"/>
    <x v="2"/>
    <n v="10635"/>
  </r>
  <r>
    <s v="CUST692"/>
    <s v="AJIO"/>
    <s v="Home"/>
    <n v="2613.2600000000002"/>
    <n v="99"/>
    <x v="0"/>
    <x v="0"/>
    <x v="1"/>
    <n v="10658"/>
  </r>
  <r>
    <s v="CUST491"/>
    <s v="Amazon"/>
    <s v="Beauty"/>
    <n v="1158.23"/>
    <n v="51"/>
    <x v="1"/>
    <x v="3"/>
    <x v="1"/>
    <n v="10610"/>
  </r>
  <r>
    <s v="CUST774"/>
    <s v="Flipkart"/>
    <s v="Beauty"/>
    <n v="925.76"/>
    <n v="88"/>
    <x v="3"/>
    <x v="0"/>
    <x v="1"/>
    <n v="10647"/>
  </r>
  <r>
    <s v="CUST518"/>
    <s v="Snapdeal"/>
    <s v="Electronics"/>
    <n v="1964.77"/>
    <n v="40"/>
    <x v="3"/>
    <x v="2"/>
    <x v="0"/>
    <n v="10599"/>
  </r>
  <r>
    <s v="CUST388"/>
    <s v="Snapdeal"/>
    <s v="Electronics"/>
    <n v="1018.72"/>
    <n v="82"/>
    <x v="3"/>
    <x v="0"/>
    <x v="3"/>
    <n v="10641"/>
  </r>
  <r>
    <s v="CUST478"/>
    <s v="Flipkart"/>
    <s v="Fashion"/>
    <n v="1909.12"/>
    <n v="11"/>
    <x v="2"/>
    <x v="3"/>
    <x v="4"/>
    <n v="10570"/>
  </r>
  <r>
    <s v="CUST872"/>
    <s v="AJIO"/>
    <s v="Beauty"/>
    <n v="1849"/>
    <n v="32"/>
    <x v="1"/>
    <x v="3"/>
    <x v="0"/>
    <n v="10591"/>
  </r>
  <r>
    <s v="CUST589"/>
    <s v="Snapdeal"/>
    <s v="Electronics"/>
    <n v="1712.14"/>
    <n v="30"/>
    <x v="3"/>
    <x v="1"/>
    <x v="1"/>
    <n v="10589"/>
  </r>
  <r>
    <s v="CUST330"/>
    <s v="Snapdeal"/>
    <s v="Home"/>
    <n v="1172.24"/>
    <n v="46"/>
    <x v="3"/>
    <x v="3"/>
    <x v="2"/>
    <n v="10605"/>
  </r>
  <r>
    <s v="CUST140"/>
    <s v="Flipkart"/>
    <s v="Home"/>
    <n v="1668.07"/>
    <n v="32"/>
    <x v="3"/>
    <x v="0"/>
    <x v="1"/>
    <n v="10591"/>
  </r>
  <r>
    <s v="CUST127"/>
    <s v="AJIO"/>
    <s v="Electronics"/>
    <n v="1809.63"/>
    <n v="23"/>
    <x v="2"/>
    <x v="0"/>
    <x v="3"/>
    <n v="10582"/>
  </r>
  <r>
    <s v="CUST234"/>
    <s v="AJIO"/>
    <s v="Electronics"/>
    <n v="1659.78"/>
    <n v="78"/>
    <x v="2"/>
    <x v="3"/>
    <x v="1"/>
    <n v="10637"/>
  </r>
  <r>
    <s v="CUST300"/>
    <s v="Snapdeal"/>
    <s v="Beauty"/>
    <n v="1361.04"/>
    <n v="59"/>
    <x v="0"/>
    <x v="3"/>
    <x v="2"/>
    <n v="10618"/>
  </r>
  <r>
    <s v="CUST939"/>
    <s v="Snapdeal"/>
    <s v="Beauty"/>
    <n v="93.27"/>
    <n v="88"/>
    <x v="1"/>
    <x v="1"/>
    <x v="3"/>
    <n v="10647"/>
  </r>
  <r>
    <s v="CUST879"/>
    <s v="AJIO"/>
    <s v="Fashion"/>
    <n v="1781.83"/>
    <n v="58"/>
    <x v="0"/>
    <x v="1"/>
    <x v="1"/>
    <n v="10617"/>
  </r>
  <r>
    <s v="CUST132"/>
    <s v="Amazon"/>
    <s v="Beauty"/>
    <n v="546.91"/>
    <n v="15"/>
    <x v="1"/>
    <x v="3"/>
    <x v="3"/>
    <n v="10574"/>
  </r>
  <r>
    <s v="CUST147"/>
    <s v="Snapdeal"/>
    <s v="Home"/>
    <n v="1945.6"/>
    <n v="47"/>
    <x v="2"/>
    <x v="1"/>
    <x v="4"/>
    <n v="10606"/>
  </r>
  <r>
    <s v="CUST602"/>
    <s v="AJIO"/>
    <s v="Home"/>
    <n v="2290.0700000000002"/>
    <n v="74"/>
    <x v="3"/>
    <x v="0"/>
    <x v="4"/>
    <n v="10633"/>
  </r>
  <r>
    <s v="CUST506"/>
    <s v="Snapdeal"/>
    <s v="Electronics"/>
    <n v="1526.31"/>
    <n v="42"/>
    <x v="0"/>
    <x v="3"/>
    <x v="1"/>
    <n v="10601"/>
  </r>
  <r>
    <s v="CUST673"/>
    <s v="Flipkart"/>
    <s v="Beauty"/>
    <n v="1649.97"/>
    <n v="75"/>
    <x v="3"/>
    <x v="0"/>
    <x v="3"/>
    <n v="10634"/>
  </r>
  <r>
    <s v="CUST827"/>
    <s v="Flipkart"/>
    <s v="Fashion"/>
    <n v="2856.86"/>
    <n v="52"/>
    <x v="0"/>
    <x v="3"/>
    <x v="2"/>
    <n v="10611"/>
  </r>
  <r>
    <s v="CUST904"/>
    <s v="Amazon"/>
    <s v="Home"/>
    <n v="2549.14"/>
    <n v="16"/>
    <x v="2"/>
    <x v="1"/>
    <x v="1"/>
    <n v="10575"/>
  </r>
  <r>
    <s v="CUST198"/>
    <s v="Snapdeal"/>
    <s v="Home"/>
    <n v="2747"/>
    <n v="28"/>
    <x v="2"/>
    <x v="3"/>
    <x v="4"/>
    <n v="10587"/>
  </r>
  <r>
    <s v="CUST783"/>
    <s v="Amazon"/>
    <s v="Fashion"/>
    <n v="2450.61"/>
    <n v="71"/>
    <x v="2"/>
    <x v="1"/>
    <x v="4"/>
    <n v="10630"/>
  </r>
  <r>
    <s v="CUST971"/>
    <s v="AJIO"/>
    <s v="Fashion"/>
    <n v="371.31"/>
    <n v="34"/>
    <x v="0"/>
    <x v="1"/>
    <x v="1"/>
    <n v="10593"/>
  </r>
  <r>
    <s v="CUST825"/>
    <s v="AJIO"/>
    <s v="Home"/>
    <n v="489.53"/>
    <n v="72"/>
    <x v="1"/>
    <x v="2"/>
    <x v="3"/>
    <n v="10631"/>
  </r>
  <r>
    <s v="CUST646"/>
    <s v="Snapdeal"/>
    <s v="Home"/>
    <n v="1603.54"/>
    <n v="4"/>
    <x v="0"/>
    <x v="2"/>
    <x v="4"/>
    <n v="10563"/>
  </r>
  <r>
    <s v="CUST838"/>
    <s v="Snapdeal"/>
    <s v="Fashion"/>
    <n v="775.91"/>
    <n v="1"/>
    <x v="1"/>
    <x v="0"/>
    <x v="3"/>
    <n v="10560"/>
  </r>
  <r>
    <s v="CUST712"/>
    <s v="Amazon"/>
    <s v="Home"/>
    <n v="1456.25"/>
    <n v="61"/>
    <x v="0"/>
    <x v="2"/>
    <x v="4"/>
    <n v="10620"/>
  </r>
  <r>
    <s v="CUST561"/>
    <s v="Flipkart"/>
    <s v="Electronics"/>
    <n v="1213.3800000000001"/>
    <n v="5"/>
    <x v="0"/>
    <x v="0"/>
    <x v="4"/>
    <n v="10564"/>
  </r>
  <r>
    <s v="CUST742"/>
    <s v="Snapdeal"/>
    <s v="Electronics"/>
    <n v="1670.77"/>
    <n v="1"/>
    <x v="2"/>
    <x v="0"/>
    <x v="0"/>
    <n v="10560"/>
  </r>
  <r>
    <s v="CUST868"/>
    <s v="Flipkart"/>
    <s v="Fashion"/>
    <n v="2253.2800000000002"/>
    <n v="42"/>
    <x v="3"/>
    <x v="1"/>
    <x v="4"/>
    <n v="10601"/>
  </r>
  <r>
    <s v="CUST104"/>
    <s v="Flipkart"/>
    <s v="Beauty"/>
    <n v="2160.6999999999998"/>
    <n v="29"/>
    <x v="3"/>
    <x v="2"/>
    <x v="2"/>
    <n v="10588"/>
  </r>
  <r>
    <s v="CUST317"/>
    <s v="Amazon"/>
    <s v="Fashion"/>
    <n v="1587.64"/>
    <n v="71"/>
    <x v="1"/>
    <x v="3"/>
    <x v="1"/>
    <n v="10630"/>
  </r>
  <r>
    <s v="CUST602"/>
    <s v="Flipkart"/>
    <s v="Fashion"/>
    <n v="2476.06"/>
    <n v="5"/>
    <x v="3"/>
    <x v="2"/>
    <x v="1"/>
    <n v="10564"/>
  </r>
  <r>
    <s v="CUST866"/>
    <s v="Amazon"/>
    <s v="Beauty"/>
    <n v="1321.04"/>
    <n v="64"/>
    <x v="0"/>
    <x v="3"/>
    <x v="3"/>
    <n v="10623"/>
  </r>
  <r>
    <s v="CUST497"/>
    <s v="Amazon"/>
    <s v="Beauty"/>
    <n v="2695.31"/>
    <n v="57"/>
    <x v="0"/>
    <x v="2"/>
    <x v="4"/>
    <n v="10616"/>
  </r>
  <r>
    <s v="CUST970"/>
    <s v="AJIO"/>
    <s v="Beauty"/>
    <n v="260.27999999999997"/>
    <n v="6"/>
    <x v="2"/>
    <x v="0"/>
    <x v="2"/>
    <n v="10565"/>
  </r>
  <r>
    <s v="CUST894"/>
    <s v="Amazon"/>
    <s v="Electronics"/>
    <n v="2866.25"/>
    <n v="98"/>
    <x v="2"/>
    <x v="0"/>
    <x v="3"/>
    <n v="10657"/>
  </r>
  <r>
    <s v="CUST492"/>
    <s v="Amazon"/>
    <s v="Home"/>
    <n v="1981.34"/>
    <n v="66"/>
    <x v="3"/>
    <x v="1"/>
    <x v="0"/>
    <n v="10625"/>
  </r>
  <r>
    <s v="CUST306"/>
    <s v="AJIO"/>
    <s v="Electronics"/>
    <n v="1171.22"/>
    <n v="32"/>
    <x v="1"/>
    <x v="1"/>
    <x v="3"/>
    <n v="10591"/>
  </r>
  <r>
    <s v="CUST114"/>
    <s v="AJIO"/>
    <s v="Home"/>
    <n v="631.6"/>
    <n v="8"/>
    <x v="3"/>
    <x v="2"/>
    <x v="3"/>
    <n v="10567"/>
  </r>
  <r>
    <s v="CUST957"/>
    <s v="Amazon"/>
    <s v="Electronics"/>
    <n v="1463.59"/>
    <n v="95"/>
    <x v="3"/>
    <x v="0"/>
    <x v="4"/>
    <n v="10654"/>
  </r>
  <r>
    <s v="CUST653"/>
    <s v="Amazon"/>
    <s v="Home"/>
    <n v="623.95000000000005"/>
    <n v="56"/>
    <x v="3"/>
    <x v="2"/>
    <x v="0"/>
    <n v="10615"/>
  </r>
  <r>
    <s v="CUST991"/>
    <s v="Flipkart"/>
    <s v="Electronics"/>
    <n v="540.67999999999995"/>
    <n v="40"/>
    <x v="3"/>
    <x v="3"/>
    <x v="3"/>
    <n v="10599"/>
  </r>
  <r>
    <s v="CUST560"/>
    <s v="Amazon"/>
    <s v="Beauty"/>
    <n v="1871.19"/>
    <n v="51"/>
    <x v="0"/>
    <x v="3"/>
    <x v="2"/>
    <n v="10610"/>
  </r>
  <r>
    <s v="CUST790"/>
    <s v="Flipkart"/>
    <s v="Fashion"/>
    <n v="1593.1"/>
    <n v="56"/>
    <x v="1"/>
    <x v="0"/>
    <x v="2"/>
    <n v="10615"/>
  </r>
  <r>
    <s v="CUST674"/>
    <s v="Amazon"/>
    <s v="Electronics"/>
    <n v="2026.78"/>
    <n v="7"/>
    <x v="0"/>
    <x v="2"/>
    <x v="1"/>
    <n v="10566"/>
  </r>
  <r>
    <s v="CUST963"/>
    <s v="AJIO"/>
    <s v="Home"/>
    <n v="2792.34"/>
    <n v="54"/>
    <x v="1"/>
    <x v="2"/>
    <x v="0"/>
    <n v="10613"/>
  </r>
  <r>
    <s v="CUST842"/>
    <s v="Snapdeal"/>
    <s v="Beauty"/>
    <n v="1620.17"/>
    <n v="84"/>
    <x v="2"/>
    <x v="1"/>
    <x v="0"/>
    <n v="10643"/>
  </r>
  <r>
    <s v="CUST340"/>
    <s v="Snapdeal"/>
    <s v="Electronics"/>
    <n v="1763.75"/>
    <n v="88"/>
    <x v="3"/>
    <x v="3"/>
    <x v="1"/>
    <n v="10647"/>
  </r>
  <r>
    <s v="CUST663"/>
    <s v="Snapdeal"/>
    <s v="Electronics"/>
    <n v="314.39999999999998"/>
    <n v="37"/>
    <x v="0"/>
    <x v="0"/>
    <x v="3"/>
    <n v="10596"/>
  </r>
  <r>
    <s v="CUST195"/>
    <s v="Amazon"/>
    <s v="Beauty"/>
    <n v="2167.0300000000002"/>
    <n v="70"/>
    <x v="1"/>
    <x v="3"/>
    <x v="0"/>
    <n v="10629"/>
  </r>
  <r>
    <s v="CUST833"/>
    <s v="Snapdeal"/>
    <s v="Electronics"/>
    <n v="1229.72"/>
    <n v="22"/>
    <x v="2"/>
    <x v="3"/>
    <x v="2"/>
    <n v="10581"/>
  </r>
  <r>
    <s v="CUST584"/>
    <s v="AJIO"/>
    <s v="Fashion"/>
    <n v="2931.34"/>
    <n v="60"/>
    <x v="2"/>
    <x v="3"/>
    <x v="2"/>
    <n v="10619"/>
  </r>
  <r>
    <s v="CUST506"/>
    <s v="Snapdeal"/>
    <s v="Electronics"/>
    <n v="2478.36"/>
    <n v="60"/>
    <x v="3"/>
    <x v="2"/>
    <x v="4"/>
    <n v="10619"/>
  </r>
  <r>
    <s v="CUST330"/>
    <s v="Snapdeal"/>
    <s v="Fashion"/>
    <n v="1591.32"/>
    <n v="54"/>
    <x v="1"/>
    <x v="0"/>
    <x v="0"/>
    <n v="10613"/>
  </r>
  <r>
    <s v="CUST848"/>
    <s v="Amazon"/>
    <s v="Fashion"/>
    <n v="413.51"/>
    <n v="43"/>
    <x v="0"/>
    <x v="0"/>
    <x v="3"/>
    <n v="10602"/>
  </r>
  <r>
    <s v="CUST754"/>
    <s v="Flipkart"/>
    <s v="Beauty"/>
    <n v="2585.2800000000002"/>
    <n v="11"/>
    <x v="3"/>
    <x v="0"/>
    <x v="1"/>
    <n v="10570"/>
  </r>
  <r>
    <s v="CUST270"/>
    <s v="AJIO"/>
    <s v="Electronics"/>
    <n v="2409.35"/>
    <n v="75"/>
    <x v="0"/>
    <x v="3"/>
    <x v="1"/>
    <n v="10634"/>
  </r>
  <r>
    <s v="CUST640"/>
    <s v="Amazon"/>
    <s v="Beauty"/>
    <n v="594.53"/>
    <n v="21"/>
    <x v="2"/>
    <x v="3"/>
    <x v="3"/>
    <n v="10580"/>
  </r>
  <r>
    <s v="CUST135"/>
    <s v="AJIO"/>
    <s v="Electronics"/>
    <n v="921.07"/>
    <n v="24"/>
    <x v="0"/>
    <x v="3"/>
    <x v="4"/>
    <n v="10583"/>
  </r>
  <r>
    <s v="CUST624"/>
    <s v="Flipkart"/>
    <s v="Electronics"/>
    <n v="2390.5500000000002"/>
    <n v="15"/>
    <x v="0"/>
    <x v="2"/>
    <x v="1"/>
    <n v="10574"/>
  </r>
  <r>
    <s v="CUST259"/>
    <s v="Snapdeal"/>
    <s v="Home"/>
    <n v="596.41999999999996"/>
    <n v="54"/>
    <x v="3"/>
    <x v="3"/>
    <x v="0"/>
    <n v="10613"/>
  </r>
  <r>
    <s v="CUST938"/>
    <s v="AJIO"/>
    <s v="Electronics"/>
    <n v="2757.37"/>
    <n v="33"/>
    <x v="0"/>
    <x v="0"/>
    <x v="4"/>
    <n v="10592"/>
  </r>
  <r>
    <s v="CUST798"/>
    <s v="Flipkart"/>
    <s v="Beauty"/>
    <n v="1302.3599999999999"/>
    <n v="67"/>
    <x v="3"/>
    <x v="1"/>
    <x v="0"/>
    <n v="10626"/>
  </r>
  <r>
    <s v="CUST342"/>
    <s v="AJIO"/>
    <s v="Fashion"/>
    <n v="306.76"/>
    <n v="41"/>
    <x v="2"/>
    <x v="1"/>
    <x v="2"/>
    <n v="106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A2B3BD-74F7-486E-968E-BC8CC5738429}" name="table_4"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B119:N123" firstHeaderRow="0" firstDataRow="1" firstDataCol="1"/>
  <pivotFields count="25">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items count="6">
        <item x="3"/>
        <item x="1"/>
        <item x="0"/>
        <item x="2"/>
        <item x="4"/>
        <item t="default"/>
      </items>
    </pivotField>
    <pivotField showAll="0"/>
    <pivotField showAll="0"/>
    <pivotField axis="axisRow" showAll="0">
      <items count="5">
        <item x="3"/>
        <item x="0"/>
        <item x="1"/>
        <item x="2"/>
        <item t="default"/>
      </items>
    </pivotField>
    <pivotField showAll="0"/>
    <pivotField showAll="0"/>
    <pivotField showAll="0"/>
    <pivotField showAll="0"/>
    <pivotField showAll="0"/>
    <pivotField showAll="0"/>
    <pivotField showAll="0"/>
    <pivotField dragToRow="0" dragToCol="0" dragToPage="0" showAll="0" defaultSubtotal="0"/>
  </pivotFields>
  <rowFields count="1">
    <field x="16"/>
  </rowFields>
  <rowItems count="4">
    <i>
      <x/>
    </i>
    <i>
      <x v="1"/>
    </i>
    <i>
      <x v="2"/>
    </i>
    <i>
      <x v="3"/>
    </i>
  </rowItems>
  <colFields count="1">
    <field x="-2"/>
  </colFields>
  <colItems count="12">
    <i>
      <x/>
    </i>
    <i i="1">
      <x v="1"/>
    </i>
    <i i="2">
      <x v="2"/>
    </i>
    <i i="3">
      <x v="3"/>
    </i>
    <i i="4">
      <x v="4"/>
    </i>
    <i i="5">
      <x v="5"/>
    </i>
    <i i="6">
      <x v="6"/>
    </i>
    <i i="7">
      <x v="7"/>
    </i>
    <i i="8">
      <x v="8"/>
    </i>
    <i i="9">
      <x v="9"/>
    </i>
    <i i="10">
      <x v="10"/>
    </i>
    <i i="11">
      <x v="11"/>
    </i>
  </colItems>
  <dataFields count="12">
    <dataField name="Sum of jan" fld="0" baseField="0" baseItem="0"/>
    <dataField name="Sum of feb" fld="1" baseField="0" baseItem="0"/>
    <dataField name="Sum of mar" fld="2" baseField="0" baseItem="0"/>
    <dataField name="Sum of apr" fld="3" baseField="0" baseItem="0"/>
    <dataField name="Sum of may" fld="4" baseField="0" baseItem="0"/>
    <dataField name="Sum of jun" fld="5" baseField="0" baseItem="0"/>
    <dataField name="Sum of jul" fld="6" baseField="0" baseItem="0"/>
    <dataField name="Sum of aug" fld="7" baseField="0" baseItem="0"/>
    <dataField name="Sum of sep" fld="8" baseField="0" baseItem="0"/>
    <dataField name="Sum of oct" fld="9" baseField="0" baseItem="0"/>
    <dataField name="Sum of nov" fld="10" baseField="0" baseItem="0"/>
    <dataField name="Sum of dec" fld="11" baseField="0" baseItem="0"/>
  </dataFields>
  <chartFormats count="12">
    <chartFormat chart="9" format="24" series="1">
      <pivotArea type="data" outline="0" fieldPosition="0">
        <references count="1">
          <reference field="4294967294" count="1" selected="0">
            <x v="0"/>
          </reference>
        </references>
      </pivotArea>
    </chartFormat>
    <chartFormat chart="9" format="25" series="1">
      <pivotArea type="data" outline="0" fieldPosition="0">
        <references count="1">
          <reference field="4294967294" count="1" selected="0">
            <x v="1"/>
          </reference>
        </references>
      </pivotArea>
    </chartFormat>
    <chartFormat chart="9" format="26" series="1">
      <pivotArea type="data" outline="0" fieldPosition="0">
        <references count="1">
          <reference field="4294967294" count="1" selected="0">
            <x v="2"/>
          </reference>
        </references>
      </pivotArea>
    </chartFormat>
    <chartFormat chart="9" format="27" series="1">
      <pivotArea type="data" outline="0" fieldPosition="0">
        <references count="1">
          <reference field="4294967294" count="1" selected="0">
            <x v="3"/>
          </reference>
        </references>
      </pivotArea>
    </chartFormat>
    <chartFormat chart="9" format="28" series="1">
      <pivotArea type="data" outline="0" fieldPosition="0">
        <references count="1">
          <reference field="4294967294" count="1" selected="0">
            <x v="4"/>
          </reference>
        </references>
      </pivotArea>
    </chartFormat>
    <chartFormat chart="9" format="29" series="1">
      <pivotArea type="data" outline="0" fieldPosition="0">
        <references count="1">
          <reference field="4294967294" count="1" selected="0">
            <x v="5"/>
          </reference>
        </references>
      </pivotArea>
    </chartFormat>
    <chartFormat chart="9" format="30" series="1">
      <pivotArea type="data" outline="0" fieldPosition="0">
        <references count="1">
          <reference field="4294967294" count="1" selected="0">
            <x v="6"/>
          </reference>
        </references>
      </pivotArea>
    </chartFormat>
    <chartFormat chart="9" format="31" series="1">
      <pivotArea type="data" outline="0" fieldPosition="0">
        <references count="1">
          <reference field="4294967294" count="1" selected="0">
            <x v="7"/>
          </reference>
        </references>
      </pivotArea>
    </chartFormat>
    <chartFormat chart="9" format="32" series="1">
      <pivotArea type="data" outline="0" fieldPosition="0">
        <references count="1">
          <reference field="4294967294" count="1" selected="0">
            <x v="8"/>
          </reference>
        </references>
      </pivotArea>
    </chartFormat>
    <chartFormat chart="9" format="33" series="1">
      <pivotArea type="data" outline="0" fieldPosition="0">
        <references count="1">
          <reference field="4294967294" count="1" selected="0">
            <x v="9"/>
          </reference>
        </references>
      </pivotArea>
    </chartFormat>
    <chartFormat chart="9" format="34" series="1">
      <pivotArea type="data" outline="0" fieldPosition="0">
        <references count="1">
          <reference field="4294967294" count="1" selected="0">
            <x v="10"/>
          </reference>
        </references>
      </pivotArea>
    </chartFormat>
    <chartFormat chart="9" format="35" series="1">
      <pivotArea type="data" outline="0" fieldPosition="0">
        <references count="1">
          <reference field="429496729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4DCEFA-DCC0-4CE5-95AD-1C60F29547F6}" name="table_6"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B158:C163"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3"/>
        <item x="1"/>
        <item x="0"/>
        <item x="2"/>
        <item x="4"/>
        <item t="default"/>
      </items>
    </pivotField>
    <pivotField axis="axisRow" showAll="0">
      <items count="7">
        <item m="1" x="5"/>
        <item x="3"/>
        <item x="4"/>
        <item x="1"/>
        <item x="2"/>
        <item x="0"/>
        <item t="default"/>
      </items>
    </pivotField>
    <pivotField showAll="0"/>
    <pivotField showAll="0"/>
    <pivotField showAll="0"/>
    <pivotField showAll="0"/>
    <pivotField showAll="0"/>
    <pivotField showAll="0"/>
    <pivotField showAll="0"/>
    <pivotField showAll="0"/>
    <pivotField dataField="1" showAll="0"/>
    <pivotField dragToRow="0" dragToCol="0" dragToPage="0" showAll="0" defaultSubtotal="0"/>
  </pivotFields>
  <rowFields count="1">
    <field x="14"/>
  </rowFields>
  <rowItems count="5">
    <i>
      <x v="1"/>
    </i>
    <i>
      <x v="2"/>
    </i>
    <i>
      <x v="3"/>
    </i>
    <i>
      <x v="4"/>
    </i>
    <i>
      <x v="5"/>
    </i>
  </rowItems>
  <colItems count="1">
    <i/>
  </colItems>
  <dataFields count="1">
    <dataField name="Sum of Profit"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49971C-E2E8-4813-B3DF-957552780EF3}" name="table_3" cacheId="2" dataOnRows="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location ref="B66:H79" firstHeaderRow="1" firstDataRow="2" firstDataCol="1"/>
  <pivotFields count="25">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axis="axisCol" showAll="0">
      <items count="6">
        <item x="3"/>
        <item x="1"/>
        <item x="0"/>
        <item x="2"/>
        <item x="4"/>
        <item t="default"/>
      </items>
    </pivotField>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2"/>
  </rowFields>
  <rowItems count="12">
    <i>
      <x/>
    </i>
    <i i="1">
      <x v="1"/>
    </i>
    <i i="2">
      <x v="2"/>
    </i>
    <i i="3">
      <x v="3"/>
    </i>
    <i i="4">
      <x v="4"/>
    </i>
    <i i="5">
      <x v="5"/>
    </i>
    <i i="6">
      <x v="6"/>
    </i>
    <i i="7">
      <x v="7"/>
    </i>
    <i i="8">
      <x v="8"/>
    </i>
    <i i="9">
      <x v="9"/>
    </i>
    <i i="10">
      <x v="10"/>
    </i>
    <i i="11">
      <x v="11"/>
    </i>
  </rowItems>
  <colFields count="1">
    <field x="13"/>
  </colFields>
  <colItems count="6">
    <i>
      <x/>
    </i>
    <i>
      <x v="1"/>
    </i>
    <i>
      <x v="2"/>
    </i>
    <i>
      <x v="3"/>
    </i>
    <i>
      <x v="4"/>
    </i>
    <i t="grand">
      <x/>
    </i>
  </colItems>
  <dataFields count="12">
    <dataField name="Sum of jan" fld="0" baseField="0" baseItem="0"/>
    <dataField name="Sum of feb" fld="1" baseField="0" baseItem="0"/>
    <dataField name="Sum of mar" fld="2" baseField="0" baseItem="0"/>
    <dataField name="Sum of apr" fld="3" baseField="0" baseItem="0"/>
    <dataField name="Sum of may" fld="4" baseField="0" baseItem="0"/>
    <dataField name="Sum of jun" fld="5" baseField="0" baseItem="0"/>
    <dataField name="Sum of jul" fld="6" baseField="0" baseItem="0"/>
    <dataField name="Sum of aug" fld="7" baseField="0" baseItem="0"/>
    <dataField name="Sum of sep" fld="8" baseField="0" baseItem="0"/>
    <dataField name="Sum of oct" fld="9" baseField="0" baseItem="0"/>
    <dataField name="Sum of nov" fld="10" baseField="0" baseItem="0"/>
    <dataField name="Sum of dec" fld="11" baseField="0" baseItem="0"/>
  </dataFields>
  <chartFormats count="65">
    <chartFormat chart="22" format="142" series="1">
      <pivotArea type="data" outline="0" fieldPosition="0">
        <references count="2">
          <reference field="4294967294" count="1" selected="0">
            <x v="0"/>
          </reference>
          <reference field="13" count="1" selected="0">
            <x v="0"/>
          </reference>
        </references>
      </pivotArea>
    </chartFormat>
    <chartFormat chart="22" format="143">
      <pivotArea type="data" outline="0" fieldPosition="0">
        <references count="2">
          <reference field="4294967294" count="1" selected="0">
            <x v="0"/>
          </reference>
          <reference field="13" count="1" selected="0">
            <x v="0"/>
          </reference>
        </references>
      </pivotArea>
    </chartFormat>
    <chartFormat chart="22" format="144">
      <pivotArea type="data" outline="0" fieldPosition="0">
        <references count="2">
          <reference field="4294967294" count="1" selected="0">
            <x v="1"/>
          </reference>
          <reference field="13" count="1" selected="0">
            <x v="0"/>
          </reference>
        </references>
      </pivotArea>
    </chartFormat>
    <chartFormat chart="22" format="145">
      <pivotArea type="data" outline="0" fieldPosition="0">
        <references count="2">
          <reference field="4294967294" count="1" selected="0">
            <x v="2"/>
          </reference>
          <reference field="13" count="1" selected="0">
            <x v="0"/>
          </reference>
        </references>
      </pivotArea>
    </chartFormat>
    <chartFormat chart="22" format="146">
      <pivotArea type="data" outline="0" fieldPosition="0">
        <references count="2">
          <reference field="4294967294" count="1" selected="0">
            <x v="3"/>
          </reference>
          <reference field="13" count="1" selected="0">
            <x v="0"/>
          </reference>
        </references>
      </pivotArea>
    </chartFormat>
    <chartFormat chart="22" format="147">
      <pivotArea type="data" outline="0" fieldPosition="0">
        <references count="2">
          <reference field="4294967294" count="1" selected="0">
            <x v="4"/>
          </reference>
          <reference field="13" count="1" selected="0">
            <x v="0"/>
          </reference>
        </references>
      </pivotArea>
    </chartFormat>
    <chartFormat chart="22" format="148">
      <pivotArea type="data" outline="0" fieldPosition="0">
        <references count="2">
          <reference field="4294967294" count="1" selected="0">
            <x v="5"/>
          </reference>
          <reference field="13" count="1" selected="0">
            <x v="0"/>
          </reference>
        </references>
      </pivotArea>
    </chartFormat>
    <chartFormat chart="22" format="149">
      <pivotArea type="data" outline="0" fieldPosition="0">
        <references count="2">
          <reference field="4294967294" count="1" selected="0">
            <x v="6"/>
          </reference>
          <reference field="13" count="1" selected="0">
            <x v="0"/>
          </reference>
        </references>
      </pivotArea>
    </chartFormat>
    <chartFormat chart="22" format="150">
      <pivotArea type="data" outline="0" fieldPosition="0">
        <references count="2">
          <reference field="4294967294" count="1" selected="0">
            <x v="7"/>
          </reference>
          <reference field="13" count="1" selected="0">
            <x v="0"/>
          </reference>
        </references>
      </pivotArea>
    </chartFormat>
    <chartFormat chart="22" format="151">
      <pivotArea type="data" outline="0" fieldPosition="0">
        <references count="2">
          <reference field="4294967294" count="1" selected="0">
            <x v="8"/>
          </reference>
          <reference field="13" count="1" selected="0">
            <x v="0"/>
          </reference>
        </references>
      </pivotArea>
    </chartFormat>
    <chartFormat chart="22" format="152">
      <pivotArea type="data" outline="0" fieldPosition="0">
        <references count="2">
          <reference field="4294967294" count="1" selected="0">
            <x v="9"/>
          </reference>
          <reference field="13" count="1" selected="0">
            <x v="0"/>
          </reference>
        </references>
      </pivotArea>
    </chartFormat>
    <chartFormat chart="22" format="153">
      <pivotArea type="data" outline="0" fieldPosition="0">
        <references count="2">
          <reference field="4294967294" count="1" selected="0">
            <x v="10"/>
          </reference>
          <reference field="13" count="1" selected="0">
            <x v="0"/>
          </reference>
        </references>
      </pivotArea>
    </chartFormat>
    <chartFormat chart="22" format="154">
      <pivotArea type="data" outline="0" fieldPosition="0">
        <references count="2">
          <reference field="4294967294" count="1" selected="0">
            <x v="11"/>
          </reference>
          <reference field="13" count="1" selected="0">
            <x v="0"/>
          </reference>
        </references>
      </pivotArea>
    </chartFormat>
    <chartFormat chart="22" format="155" series="1">
      <pivotArea type="data" outline="0" fieldPosition="0">
        <references count="2">
          <reference field="4294967294" count="1" selected="0">
            <x v="0"/>
          </reference>
          <reference field="13" count="1" selected="0">
            <x v="1"/>
          </reference>
        </references>
      </pivotArea>
    </chartFormat>
    <chartFormat chart="22" format="156">
      <pivotArea type="data" outline="0" fieldPosition="0">
        <references count="2">
          <reference field="4294967294" count="1" selected="0">
            <x v="0"/>
          </reference>
          <reference field="13" count="1" selected="0">
            <x v="1"/>
          </reference>
        </references>
      </pivotArea>
    </chartFormat>
    <chartFormat chart="22" format="157">
      <pivotArea type="data" outline="0" fieldPosition="0">
        <references count="2">
          <reference field="4294967294" count="1" selected="0">
            <x v="1"/>
          </reference>
          <reference field="13" count="1" selected="0">
            <x v="1"/>
          </reference>
        </references>
      </pivotArea>
    </chartFormat>
    <chartFormat chart="22" format="158">
      <pivotArea type="data" outline="0" fieldPosition="0">
        <references count="2">
          <reference field="4294967294" count="1" selected="0">
            <x v="2"/>
          </reference>
          <reference field="13" count="1" selected="0">
            <x v="1"/>
          </reference>
        </references>
      </pivotArea>
    </chartFormat>
    <chartFormat chart="22" format="159">
      <pivotArea type="data" outline="0" fieldPosition="0">
        <references count="2">
          <reference field="4294967294" count="1" selected="0">
            <x v="3"/>
          </reference>
          <reference field="13" count="1" selected="0">
            <x v="1"/>
          </reference>
        </references>
      </pivotArea>
    </chartFormat>
    <chartFormat chart="22" format="160">
      <pivotArea type="data" outline="0" fieldPosition="0">
        <references count="2">
          <reference field="4294967294" count="1" selected="0">
            <x v="4"/>
          </reference>
          <reference field="13" count="1" selected="0">
            <x v="1"/>
          </reference>
        </references>
      </pivotArea>
    </chartFormat>
    <chartFormat chart="22" format="161">
      <pivotArea type="data" outline="0" fieldPosition="0">
        <references count="2">
          <reference field="4294967294" count="1" selected="0">
            <x v="5"/>
          </reference>
          <reference field="13" count="1" selected="0">
            <x v="1"/>
          </reference>
        </references>
      </pivotArea>
    </chartFormat>
    <chartFormat chart="22" format="162">
      <pivotArea type="data" outline="0" fieldPosition="0">
        <references count="2">
          <reference field="4294967294" count="1" selected="0">
            <x v="6"/>
          </reference>
          <reference field="13" count="1" selected="0">
            <x v="1"/>
          </reference>
        </references>
      </pivotArea>
    </chartFormat>
    <chartFormat chart="22" format="163">
      <pivotArea type="data" outline="0" fieldPosition="0">
        <references count="2">
          <reference field="4294967294" count="1" selected="0">
            <x v="7"/>
          </reference>
          <reference field="13" count="1" selected="0">
            <x v="1"/>
          </reference>
        </references>
      </pivotArea>
    </chartFormat>
    <chartFormat chart="22" format="164">
      <pivotArea type="data" outline="0" fieldPosition="0">
        <references count="2">
          <reference field="4294967294" count="1" selected="0">
            <x v="8"/>
          </reference>
          <reference field="13" count="1" selected="0">
            <x v="1"/>
          </reference>
        </references>
      </pivotArea>
    </chartFormat>
    <chartFormat chart="22" format="165">
      <pivotArea type="data" outline="0" fieldPosition="0">
        <references count="2">
          <reference field="4294967294" count="1" selected="0">
            <x v="9"/>
          </reference>
          <reference field="13" count="1" selected="0">
            <x v="1"/>
          </reference>
        </references>
      </pivotArea>
    </chartFormat>
    <chartFormat chart="22" format="166">
      <pivotArea type="data" outline="0" fieldPosition="0">
        <references count="2">
          <reference field="4294967294" count="1" selected="0">
            <x v="10"/>
          </reference>
          <reference field="13" count="1" selected="0">
            <x v="1"/>
          </reference>
        </references>
      </pivotArea>
    </chartFormat>
    <chartFormat chart="22" format="167">
      <pivotArea type="data" outline="0" fieldPosition="0">
        <references count="2">
          <reference field="4294967294" count="1" selected="0">
            <x v="11"/>
          </reference>
          <reference field="13" count="1" selected="0">
            <x v="1"/>
          </reference>
        </references>
      </pivotArea>
    </chartFormat>
    <chartFormat chart="22" format="168" series="1">
      <pivotArea type="data" outline="0" fieldPosition="0">
        <references count="2">
          <reference field="4294967294" count="1" selected="0">
            <x v="0"/>
          </reference>
          <reference field="13" count="1" selected="0">
            <x v="2"/>
          </reference>
        </references>
      </pivotArea>
    </chartFormat>
    <chartFormat chart="22" format="169">
      <pivotArea type="data" outline="0" fieldPosition="0">
        <references count="2">
          <reference field="4294967294" count="1" selected="0">
            <x v="0"/>
          </reference>
          <reference field="13" count="1" selected="0">
            <x v="2"/>
          </reference>
        </references>
      </pivotArea>
    </chartFormat>
    <chartFormat chart="22" format="170">
      <pivotArea type="data" outline="0" fieldPosition="0">
        <references count="2">
          <reference field="4294967294" count="1" selected="0">
            <x v="1"/>
          </reference>
          <reference field="13" count="1" selected="0">
            <x v="2"/>
          </reference>
        </references>
      </pivotArea>
    </chartFormat>
    <chartFormat chart="22" format="171">
      <pivotArea type="data" outline="0" fieldPosition="0">
        <references count="2">
          <reference field="4294967294" count="1" selected="0">
            <x v="2"/>
          </reference>
          <reference field="13" count="1" selected="0">
            <x v="2"/>
          </reference>
        </references>
      </pivotArea>
    </chartFormat>
    <chartFormat chart="22" format="172">
      <pivotArea type="data" outline="0" fieldPosition="0">
        <references count="2">
          <reference field="4294967294" count="1" selected="0">
            <x v="3"/>
          </reference>
          <reference field="13" count="1" selected="0">
            <x v="2"/>
          </reference>
        </references>
      </pivotArea>
    </chartFormat>
    <chartFormat chart="22" format="173">
      <pivotArea type="data" outline="0" fieldPosition="0">
        <references count="2">
          <reference field="4294967294" count="1" selected="0">
            <x v="4"/>
          </reference>
          <reference field="13" count="1" selected="0">
            <x v="2"/>
          </reference>
        </references>
      </pivotArea>
    </chartFormat>
    <chartFormat chart="22" format="174">
      <pivotArea type="data" outline="0" fieldPosition="0">
        <references count="2">
          <reference field="4294967294" count="1" selected="0">
            <x v="5"/>
          </reference>
          <reference field="13" count="1" selected="0">
            <x v="2"/>
          </reference>
        </references>
      </pivotArea>
    </chartFormat>
    <chartFormat chart="22" format="175">
      <pivotArea type="data" outline="0" fieldPosition="0">
        <references count="2">
          <reference field="4294967294" count="1" selected="0">
            <x v="6"/>
          </reference>
          <reference field="13" count="1" selected="0">
            <x v="2"/>
          </reference>
        </references>
      </pivotArea>
    </chartFormat>
    <chartFormat chart="22" format="176">
      <pivotArea type="data" outline="0" fieldPosition="0">
        <references count="2">
          <reference field="4294967294" count="1" selected="0">
            <x v="7"/>
          </reference>
          <reference field="13" count="1" selected="0">
            <x v="2"/>
          </reference>
        </references>
      </pivotArea>
    </chartFormat>
    <chartFormat chart="22" format="177">
      <pivotArea type="data" outline="0" fieldPosition="0">
        <references count="2">
          <reference field="4294967294" count="1" selected="0">
            <x v="8"/>
          </reference>
          <reference field="13" count="1" selected="0">
            <x v="2"/>
          </reference>
        </references>
      </pivotArea>
    </chartFormat>
    <chartFormat chart="22" format="178">
      <pivotArea type="data" outline="0" fieldPosition="0">
        <references count="2">
          <reference field="4294967294" count="1" selected="0">
            <x v="9"/>
          </reference>
          <reference field="13" count="1" selected="0">
            <x v="2"/>
          </reference>
        </references>
      </pivotArea>
    </chartFormat>
    <chartFormat chart="22" format="179">
      <pivotArea type="data" outline="0" fieldPosition="0">
        <references count="2">
          <reference field="4294967294" count="1" selected="0">
            <x v="10"/>
          </reference>
          <reference field="13" count="1" selected="0">
            <x v="2"/>
          </reference>
        </references>
      </pivotArea>
    </chartFormat>
    <chartFormat chart="22" format="180">
      <pivotArea type="data" outline="0" fieldPosition="0">
        <references count="2">
          <reference field="4294967294" count="1" selected="0">
            <x v="11"/>
          </reference>
          <reference field="13" count="1" selected="0">
            <x v="2"/>
          </reference>
        </references>
      </pivotArea>
    </chartFormat>
    <chartFormat chart="22" format="181" series="1">
      <pivotArea type="data" outline="0" fieldPosition="0">
        <references count="2">
          <reference field="4294967294" count="1" selected="0">
            <x v="0"/>
          </reference>
          <reference field="13" count="1" selected="0">
            <x v="3"/>
          </reference>
        </references>
      </pivotArea>
    </chartFormat>
    <chartFormat chart="22" format="182">
      <pivotArea type="data" outline="0" fieldPosition="0">
        <references count="2">
          <reference field="4294967294" count="1" selected="0">
            <x v="0"/>
          </reference>
          <reference field="13" count="1" selected="0">
            <x v="3"/>
          </reference>
        </references>
      </pivotArea>
    </chartFormat>
    <chartFormat chart="22" format="183">
      <pivotArea type="data" outline="0" fieldPosition="0">
        <references count="2">
          <reference field="4294967294" count="1" selected="0">
            <x v="1"/>
          </reference>
          <reference field="13" count="1" selected="0">
            <x v="3"/>
          </reference>
        </references>
      </pivotArea>
    </chartFormat>
    <chartFormat chart="22" format="184">
      <pivotArea type="data" outline="0" fieldPosition="0">
        <references count="2">
          <reference field="4294967294" count="1" selected="0">
            <x v="2"/>
          </reference>
          <reference field="13" count="1" selected="0">
            <x v="3"/>
          </reference>
        </references>
      </pivotArea>
    </chartFormat>
    <chartFormat chart="22" format="185">
      <pivotArea type="data" outline="0" fieldPosition="0">
        <references count="2">
          <reference field="4294967294" count="1" selected="0">
            <x v="3"/>
          </reference>
          <reference field="13" count="1" selected="0">
            <x v="3"/>
          </reference>
        </references>
      </pivotArea>
    </chartFormat>
    <chartFormat chart="22" format="186">
      <pivotArea type="data" outline="0" fieldPosition="0">
        <references count="2">
          <reference field="4294967294" count="1" selected="0">
            <x v="4"/>
          </reference>
          <reference field="13" count="1" selected="0">
            <x v="3"/>
          </reference>
        </references>
      </pivotArea>
    </chartFormat>
    <chartFormat chart="22" format="187">
      <pivotArea type="data" outline="0" fieldPosition="0">
        <references count="2">
          <reference field="4294967294" count="1" selected="0">
            <x v="5"/>
          </reference>
          <reference field="13" count="1" selected="0">
            <x v="3"/>
          </reference>
        </references>
      </pivotArea>
    </chartFormat>
    <chartFormat chart="22" format="188">
      <pivotArea type="data" outline="0" fieldPosition="0">
        <references count="2">
          <reference field="4294967294" count="1" selected="0">
            <x v="6"/>
          </reference>
          <reference field="13" count="1" selected="0">
            <x v="3"/>
          </reference>
        </references>
      </pivotArea>
    </chartFormat>
    <chartFormat chart="22" format="189">
      <pivotArea type="data" outline="0" fieldPosition="0">
        <references count="2">
          <reference field="4294967294" count="1" selected="0">
            <x v="7"/>
          </reference>
          <reference field="13" count="1" selected="0">
            <x v="3"/>
          </reference>
        </references>
      </pivotArea>
    </chartFormat>
    <chartFormat chart="22" format="190">
      <pivotArea type="data" outline="0" fieldPosition="0">
        <references count="2">
          <reference field="4294967294" count="1" selected="0">
            <x v="8"/>
          </reference>
          <reference field="13" count="1" selected="0">
            <x v="3"/>
          </reference>
        </references>
      </pivotArea>
    </chartFormat>
    <chartFormat chart="22" format="191">
      <pivotArea type="data" outline="0" fieldPosition="0">
        <references count="2">
          <reference field="4294967294" count="1" selected="0">
            <x v="9"/>
          </reference>
          <reference field="13" count="1" selected="0">
            <x v="3"/>
          </reference>
        </references>
      </pivotArea>
    </chartFormat>
    <chartFormat chart="22" format="192">
      <pivotArea type="data" outline="0" fieldPosition="0">
        <references count="2">
          <reference field="4294967294" count="1" selected="0">
            <x v="10"/>
          </reference>
          <reference field="13" count="1" selected="0">
            <x v="3"/>
          </reference>
        </references>
      </pivotArea>
    </chartFormat>
    <chartFormat chart="22" format="193">
      <pivotArea type="data" outline="0" fieldPosition="0">
        <references count="2">
          <reference field="4294967294" count="1" selected="0">
            <x v="11"/>
          </reference>
          <reference field="13" count="1" selected="0">
            <x v="3"/>
          </reference>
        </references>
      </pivotArea>
    </chartFormat>
    <chartFormat chart="22" format="194" series="1">
      <pivotArea type="data" outline="0" fieldPosition="0">
        <references count="2">
          <reference field="4294967294" count="1" selected="0">
            <x v="0"/>
          </reference>
          <reference field="13" count="1" selected="0">
            <x v="4"/>
          </reference>
        </references>
      </pivotArea>
    </chartFormat>
    <chartFormat chart="22" format="195">
      <pivotArea type="data" outline="0" fieldPosition="0">
        <references count="2">
          <reference field="4294967294" count="1" selected="0">
            <x v="0"/>
          </reference>
          <reference field="13" count="1" selected="0">
            <x v="4"/>
          </reference>
        </references>
      </pivotArea>
    </chartFormat>
    <chartFormat chart="22" format="196">
      <pivotArea type="data" outline="0" fieldPosition="0">
        <references count="2">
          <reference field="4294967294" count="1" selected="0">
            <x v="1"/>
          </reference>
          <reference field="13" count="1" selected="0">
            <x v="4"/>
          </reference>
        </references>
      </pivotArea>
    </chartFormat>
    <chartFormat chart="22" format="197">
      <pivotArea type="data" outline="0" fieldPosition="0">
        <references count="2">
          <reference field="4294967294" count="1" selected="0">
            <x v="2"/>
          </reference>
          <reference field="13" count="1" selected="0">
            <x v="4"/>
          </reference>
        </references>
      </pivotArea>
    </chartFormat>
    <chartFormat chart="22" format="198">
      <pivotArea type="data" outline="0" fieldPosition="0">
        <references count="2">
          <reference field="4294967294" count="1" selected="0">
            <x v="3"/>
          </reference>
          <reference field="13" count="1" selected="0">
            <x v="4"/>
          </reference>
        </references>
      </pivotArea>
    </chartFormat>
    <chartFormat chart="22" format="199">
      <pivotArea type="data" outline="0" fieldPosition="0">
        <references count="2">
          <reference field="4294967294" count="1" selected="0">
            <x v="4"/>
          </reference>
          <reference field="13" count="1" selected="0">
            <x v="4"/>
          </reference>
        </references>
      </pivotArea>
    </chartFormat>
    <chartFormat chart="22" format="200">
      <pivotArea type="data" outline="0" fieldPosition="0">
        <references count="2">
          <reference field="4294967294" count="1" selected="0">
            <x v="5"/>
          </reference>
          <reference field="13" count="1" selected="0">
            <x v="4"/>
          </reference>
        </references>
      </pivotArea>
    </chartFormat>
    <chartFormat chart="22" format="201">
      <pivotArea type="data" outline="0" fieldPosition="0">
        <references count="2">
          <reference field="4294967294" count="1" selected="0">
            <x v="6"/>
          </reference>
          <reference field="13" count="1" selected="0">
            <x v="4"/>
          </reference>
        </references>
      </pivotArea>
    </chartFormat>
    <chartFormat chart="22" format="202">
      <pivotArea type="data" outline="0" fieldPosition="0">
        <references count="2">
          <reference field="4294967294" count="1" selected="0">
            <x v="7"/>
          </reference>
          <reference field="13" count="1" selected="0">
            <x v="4"/>
          </reference>
        </references>
      </pivotArea>
    </chartFormat>
    <chartFormat chart="22" format="203">
      <pivotArea type="data" outline="0" fieldPosition="0">
        <references count="2">
          <reference field="4294967294" count="1" selected="0">
            <x v="8"/>
          </reference>
          <reference field="13" count="1" selected="0">
            <x v="4"/>
          </reference>
        </references>
      </pivotArea>
    </chartFormat>
    <chartFormat chart="22" format="204">
      <pivotArea type="data" outline="0" fieldPosition="0">
        <references count="2">
          <reference field="4294967294" count="1" selected="0">
            <x v="9"/>
          </reference>
          <reference field="13" count="1" selected="0">
            <x v="4"/>
          </reference>
        </references>
      </pivotArea>
    </chartFormat>
    <chartFormat chart="22" format="205">
      <pivotArea type="data" outline="0" fieldPosition="0">
        <references count="2">
          <reference field="4294967294" count="1" selected="0">
            <x v="10"/>
          </reference>
          <reference field="13" count="1" selected="0">
            <x v="4"/>
          </reference>
        </references>
      </pivotArea>
    </chartFormat>
    <chartFormat chart="22" format="206">
      <pivotArea type="data" outline="0" fieldPosition="0">
        <references count="2">
          <reference field="4294967294" count="1" selected="0">
            <x v="11"/>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51FE07E-1FAC-4B8A-98D1-A9EC9A95E7E2}" name="table_1"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4">
  <location ref="B8:C28"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3"/>
        <item x="1"/>
        <item x="0"/>
        <item x="2"/>
        <item x="4"/>
        <item t="default"/>
      </items>
    </pivotField>
    <pivotField showAll="0"/>
    <pivotField axis="axisRow" showAll="0">
      <items count="5">
        <item x="0"/>
        <item x="3"/>
        <item x="2"/>
        <item x="1"/>
        <item t="default"/>
      </items>
    </pivotField>
    <pivotField showAll="0"/>
    <pivotField showAll="0"/>
    <pivotField showAll="0"/>
    <pivotField showAll="0"/>
    <pivotField dataField="1" showAll="0"/>
    <pivotField axis="axisRow" showAll="0">
      <items count="5">
        <item x="0"/>
        <item x="2"/>
        <item x="1"/>
        <item x="3"/>
        <item t="default"/>
      </items>
    </pivotField>
    <pivotField showAll="0"/>
    <pivotField showAll="0"/>
    <pivotField dragToRow="0" dragToCol="0" dragToPage="0" showAll="0" defaultSubtotal="0"/>
  </pivotFields>
  <rowFields count="2">
    <field x="21"/>
    <field x="15"/>
  </rowFields>
  <rowItems count="20">
    <i>
      <x/>
    </i>
    <i r="1">
      <x/>
    </i>
    <i r="1">
      <x v="1"/>
    </i>
    <i r="1">
      <x v="2"/>
    </i>
    <i r="1">
      <x v="3"/>
    </i>
    <i>
      <x v="1"/>
    </i>
    <i r="1">
      <x/>
    </i>
    <i r="1">
      <x v="1"/>
    </i>
    <i r="1">
      <x v="2"/>
    </i>
    <i r="1">
      <x v="3"/>
    </i>
    <i>
      <x v="2"/>
    </i>
    <i r="1">
      <x/>
    </i>
    <i r="1">
      <x v="1"/>
    </i>
    <i r="1">
      <x v="2"/>
    </i>
    <i r="1">
      <x v="3"/>
    </i>
    <i>
      <x v="3"/>
    </i>
    <i r="1">
      <x/>
    </i>
    <i r="1">
      <x v="1"/>
    </i>
    <i r="1">
      <x v="2"/>
    </i>
    <i r="1">
      <x v="3"/>
    </i>
  </rowItems>
  <colItems count="1">
    <i/>
  </colItems>
  <dataFields count="1">
    <dataField name="Sum of unit_Quantity" fld="20" baseField="0" baseItem="0"/>
  </dataFields>
  <chartFormats count="17">
    <chartFormat chart="22" format="2" series="1">
      <pivotArea type="data" outline="0" fieldPosition="0">
        <references count="1">
          <reference field="4294967294" count="1" selected="0">
            <x v="0"/>
          </reference>
        </references>
      </pivotArea>
    </chartFormat>
    <chartFormat chart="22" format="3">
      <pivotArea type="data" outline="0" fieldPosition="0">
        <references count="3">
          <reference field="4294967294" count="1" selected="0">
            <x v="0"/>
          </reference>
          <reference field="15" count="1" selected="0">
            <x v="0"/>
          </reference>
          <reference field="21" count="1" selected="0">
            <x v="0"/>
          </reference>
        </references>
      </pivotArea>
    </chartFormat>
    <chartFormat chart="22" format="4">
      <pivotArea type="data" outline="0" fieldPosition="0">
        <references count="3">
          <reference field="4294967294" count="1" selected="0">
            <x v="0"/>
          </reference>
          <reference field="15" count="1" selected="0">
            <x v="1"/>
          </reference>
          <reference field="21" count="1" selected="0">
            <x v="0"/>
          </reference>
        </references>
      </pivotArea>
    </chartFormat>
    <chartFormat chart="22" format="5">
      <pivotArea type="data" outline="0" fieldPosition="0">
        <references count="3">
          <reference field="4294967294" count="1" selected="0">
            <x v="0"/>
          </reference>
          <reference field="15" count="1" selected="0">
            <x v="2"/>
          </reference>
          <reference field="21" count="1" selected="0">
            <x v="0"/>
          </reference>
        </references>
      </pivotArea>
    </chartFormat>
    <chartFormat chart="22" format="6">
      <pivotArea type="data" outline="0" fieldPosition="0">
        <references count="3">
          <reference field="4294967294" count="1" selected="0">
            <x v="0"/>
          </reference>
          <reference field="15" count="1" selected="0">
            <x v="3"/>
          </reference>
          <reference field="21" count="1" selected="0">
            <x v="0"/>
          </reference>
        </references>
      </pivotArea>
    </chartFormat>
    <chartFormat chart="22" format="7">
      <pivotArea type="data" outline="0" fieldPosition="0">
        <references count="3">
          <reference field="4294967294" count="1" selected="0">
            <x v="0"/>
          </reference>
          <reference field="15" count="1" selected="0">
            <x v="0"/>
          </reference>
          <reference field="21" count="1" selected="0">
            <x v="1"/>
          </reference>
        </references>
      </pivotArea>
    </chartFormat>
    <chartFormat chart="22" format="8">
      <pivotArea type="data" outline="0" fieldPosition="0">
        <references count="3">
          <reference field="4294967294" count="1" selected="0">
            <x v="0"/>
          </reference>
          <reference field="15" count="1" selected="0">
            <x v="1"/>
          </reference>
          <reference field="21" count="1" selected="0">
            <x v="1"/>
          </reference>
        </references>
      </pivotArea>
    </chartFormat>
    <chartFormat chart="22" format="9">
      <pivotArea type="data" outline="0" fieldPosition="0">
        <references count="3">
          <reference field="4294967294" count="1" selected="0">
            <x v="0"/>
          </reference>
          <reference field="15" count="1" selected="0">
            <x v="2"/>
          </reference>
          <reference field="21" count="1" selected="0">
            <x v="1"/>
          </reference>
        </references>
      </pivotArea>
    </chartFormat>
    <chartFormat chart="22" format="10">
      <pivotArea type="data" outline="0" fieldPosition="0">
        <references count="3">
          <reference field="4294967294" count="1" selected="0">
            <x v="0"/>
          </reference>
          <reference field="15" count="1" selected="0">
            <x v="3"/>
          </reference>
          <reference field="21" count="1" selected="0">
            <x v="1"/>
          </reference>
        </references>
      </pivotArea>
    </chartFormat>
    <chartFormat chart="22" format="11">
      <pivotArea type="data" outline="0" fieldPosition="0">
        <references count="3">
          <reference field="4294967294" count="1" selected="0">
            <x v="0"/>
          </reference>
          <reference field="15" count="1" selected="0">
            <x v="0"/>
          </reference>
          <reference field="21" count="1" selected="0">
            <x v="2"/>
          </reference>
        </references>
      </pivotArea>
    </chartFormat>
    <chartFormat chart="22" format="12">
      <pivotArea type="data" outline="0" fieldPosition="0">
        <references count="3">
          <reference field="4294967294" count="1" selected="0">
            <x v="0"/>
          </reference>
          <reference field="15" count="1" selected="0">
            <x v="1"/>
          </reference>
          <reference field="21" count="1" selected="0">
            <x v="2"/>
          </reference>
        </references>
      </pivotArea>
    </chartFormat>
    <chartFormat chart="22" format="13">
      <pivotArea type="data" outline="0" fieldPosition="0">
        <references count="3">
          <reference field="4294967294" count="1" selected="0">
            <x v="0"/>
          </reference>
          <reference field="15" count="1" selected="0">
            <x v="2"/>
          </reference>
          <reference field="21" count="1" selected="0">
            <x v="2"/>
          </reference>
        </references>
      </pivotArea>
    </chartFormat>
    <chartFormat chart="22" format="14">
      <pivotArea type="data" outline="0" fieldPosition="0">
        <references count="3">
          <reference field="4294967294" count="1" selected="0">
            <x v="0"/>
          </reference>
          <reference field="15" count="1" selected="0">
            <x v="3"/>
          </reference>
          <reference field="21" count="1" selected="0">
            <x v="2"/>
          </reference>
        </references>
      </pivotArea>
    </chartFormat>
    <chartFormat chart="22" format="15">
      <pivotArea type="data" outline="0" fieldPosition="0">
        <references count="3">
          <reference field="4294967294" count="1" selected="0">
            <x v="0"/>
          </reference>
          <reference field="15" count="1" selected="0">
            <x v="0"/>
          </reference>
          <reference field="21" count="1" selected="0">
            <x v="3"/>
          </reference>
        </references>
      </pivotArea>
    </chartFormat>
    <chartFormat chart="22" format="16">
      <pivotArea type="data" outline="0" fieldPosition="0">
        <references count="3">
          <reference field="4294967294" count="1" selected="0">
            <x v="0"/>
          </reference>
          <reference field="15" count="1" selected="0">
            <x v="1"/>
          </reference>
          <reference field="21" count="1" selected="0">
            <x v="3"/>
          </reference>
        </references>
      </pivotArea>
    </chartFormat>
    <chartFormat chart="22" format="17">
      <pivotArea type="data" outline="0" fieldPosition="0">
        <references count="3">
          <reference field="4294967294" count="1" selected="0">
            <x v="0"/>
          </reference>
          <reference field="15" count="1" selected="0">
            <x v="2"/>
          </reference>
          <reference field="21" count="1" selected="0">
            <x v="3"/>
          </reference>
        </references>
      </pivotArea>
    </chartFormat>
    <chartFormat chart="22" format="18">
      <pivotArea type="data" outline="0" fieldPosition="0">
        <references count="3">
          <reference field="4294967294" count="1" selected="0">
            <x v="0"/>
          </reference>
          <reference field="15" count="1" selected="0">
            <x v="3"/>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1FC299-65AE-4100-9661-5CA74CED4A1E}" name="table_2"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1">
  <location ref="B37:C61"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1"/>
        <item x="0"/>
        <item x="2"/>
        <item x="4"/>
        <item t="default"/>
      </items>
    </pivotField>
    <pivotField showAll="0"/>
    <pivotField axis="axisRow" showAll="0">
      <items count="5">
        <item x="0"/>
        <item x="3"/>
        <item x="2"/>
        <item x="1"/>
        <item t="default"/>
      </items>
    </pivotField>
    <pivotField showAll="0"/>
    <pivotField showAll="0"/>
    <pivotField showAll="0"/>
    <pivotField showAll="0"/>
    <pivotField showAll="0"/>
    <pivotField showAll="0"/>
    <pivotField dataField="1" showAll="0"/>
    <pivotField showAll="0"/>
    <pivotField dragToRow="0" dragToCol="0" dragToPage="0" showAll="0" defaultSubtotal="0"/>
  </pivotFields>
  <rowFields count="2">
    <field x="15"/>
    <field x="13"/>
  </rowFields>
  <rowItems count="24">
    <i>
      <x/>
    </i>
    <i r="1">
      <x/>
    </i>
    <i r="1">
      <x v="1"/>
    </i>
    <i r="1">
      <x v="2"/>
    </i>
    <i r="1">
      <x v="3"/>
    </i>
    <i r="1">
      <x v="4"/>
    </i>
    <i>
      <x v="1"/>
    </i>
    <i r="1">
      <x/>
    </i>
    <i r="1">
      <x v="1"/>
    </i>
    <i r="1">
      <x v="2"/>
    </i>
    <i r="1">
      <x v="3"/>
    </i>
    <i r="1">
      <x v="4"/>
    </i>
    <i>
      <x v="2"/>
    </i>
    <i r="1">
      <x/>
    </i>
    <i r="1">
      <x v="1"/>
    </i>
    <i r="1">
      <x v="2"/>
    </i>
    <i r="1">
      <x v="3"/>
    </i>
    <i r="1">
      <x v="4"/>
    </i>
    <i>
      <x v="3"/>
    </i>
    <i r="1">
      <x/>
    </i>
    <i r="1">
      <x v="1"/>
    </i>
    <i r="1">
      <x v="2"/>
    </i>
    <i r="1">
      <x v="3"/>
    </i>
    <i r="1">
      <x v="4"/>
    </i>
  </rowItems>
  <colItems count="1">
    <i/>
  </colItems>
  <dataFields count="1">
    <dataField name="Sum of Quantity_city" fld="22" baseField="0" baseItem="0"/>
  </dataFields>
  <chartFormats count="1">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E78672-2309-4B75-9C2B-17AE0EF11329}" name="table_5"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9">
  <location ref="B138:C142"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3"/>
        <item x="1"/>
        <item x="0"/>
        <item x="2"/>
        <item x="4"/>
        <item t="default"/>
      </items>
    </pivotField>
    <pivotField showAll="0"/>
    <pivotField showAll="0"/>
    <pivotField showAll="0"/>
    <pivotField showAll="0"/>
    <pivotField axis="axisRow" showAll="0">
      <items count="5">
        <item x="1"/>
        <item x="2"/>
        <item x="0"/>
        <item x="3"/>
        <item t="default"/>
      </items>
    </pivotField>
    <pivotField showAll="0"/>
    <pivotField showAll="0"/>
    <pivotField showAll="0"/>
    <pivotField showAll="0"/>
    <pivotField dataField="1" showAll="0"/>
    <pivotField dragToRow="0" dragToCol="0" dragToPage="0" showAll="0" defaultSubtotal="0"/>
  </pivotFields>
  <rowFields count="1">
    <field x="18"/>
  </rowFields>
  <rowItems count="4">
    <i>
      <x/>
    </i>
    <i>
      <x v="1"/>
    </i>
    <i>
      <x v="2"/>
    </i>
    <i>
      <x v="3"/>
    </i>
  </rowItems>
  <colItems count="1">
    <i/>
  </colItems>
  <dataFields count="1">
    <dataField name="Sum of Profit" fld="23" baseField="0" baseItem="0"/>
  </dataFields>
  <chartFormats count="5">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18" count="1" selected="0">
            <x v="3"/>
          </reference>
        </references>
      </pivotArea>
    </chartFormat>
    <chartFormat chart="14" format="4">
      <pivotArea type="data" outline="0" fieldPosition="0">
        <references count="2">
          <reference field="4294967294" count="1" selected="0">
            <x v="0"/>
          </reference>
          <reference field="18" count="1" selected="0">
            <x v="2"/>
          </reference>
        </references>
      </pivotArea>
    </chartFormat>
    <chartFormat chart="14" format="5">
      <pivotArea type="data" outline="0" fieldPosition="0">
        <references count="2">
          <reference field="4294967294" count="1" selected="0">
            <x v="0"/>
          </reference>
          <reference field="18" count="1" selected="0">
            <x v="1"/>
          </reference>
        </references>
      </pivotArea>
    </chartFormat>
    <chartFormat chart="14" format="6">
      <pivotArea type="data" outline="0" fieldPosition="0">
        <references count="2">
          <reference field="4294967294" count="1" selected="0">
            <x v="0"/>
          </reference>
          <reference field="1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96F5FA-42E8-414D-83E5-892AC9F394BC}"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E1:Q6" firstHeaderRow="0" firstDataRow="1" firstDataCol="1"/>
  <pivotFields count="22">
    <pivotField showAll="0"/>
    <pivotField showAll="0"/>
    <pivotField showAll="0"/>
    <pivotField showAll="0"/>
    <pivotField showAll="0"/>
    <pivotField showAll="0"/>
    <pivotField showAll="0"/>
    <pivotField showAll="0"/>
    <pivotField axis="axisRow" showAll="0">
      <items count="6">
        <item x="3"/>
        <item x="1"/>
        <item x="0"/>
        <item x="2"/>
        <item x="4"/>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s>
  <rowFields count="1">
    <field x="8"/>
  </rowFields>
  <rowItems count="5">
    <i>
      <x/>
    </i>
    <i>
      <x v="1"/>
    </i>
    <i>
      <x v="2"/>
    </i>
    <i>
      <x v="3"/>
    </i>
    <i>
      <x v="4"/>
    </i>
  </rowItems>
  <colFields count="1">
    <field x="-2"/>
  </colFields>
  <colItems count="12">
    <i>
      <x/>
    </i>
    <i i="1">
      <x v="1"/>
    </i>
    <i i="2">
      <x v="2"/>
    </i>
    <i i="3">
      <x v="3"/>
    </i>
    <i i="4">
      <x v="4"/>
    </i>
    <i i="5">
      <x v="5"/>
    </i>
    <i i="6">
      <x v="6"/>
    </i>
    <i i="7">
      <x v="7"/>
    </i>
    <i i="8">
      <x v="8"/>
    </i>
    <i i="9">
      <x v="9"/>
    </i>
    <i i="10">
      <x v="10"/>
    </i>
    <i i="11">
      <x v="11"/>
    </i>
  </colItems>
  <dataFields count="12">
    <dataField name="Sum of Jan_Sales" fld="9" baseField="0" baseItem="0"/>
    <dataField name="Sum of Feb_Sales" fld="10" baseField="0" baseItem="0"/>
    <dataField name="Sum of Mar_Sales" fld="11" baseField="0" baseItem="0"/>
    <dataField name="Sum of Apr_Sales" fld="12" baseField="0" baseItem="0"/>
    <dataField name="Sum of May_Sales" fld="13" baseField="0" baseItem="0"/>
    <dataField name="Sum of Jun_Sales" fld="14" baseField="0" baseItem="0"/>
    <dataField name="Sum of Jul_Sales" fld="15" baseField="0" baseItem="0"/>
    <dataField name="Sum of Aug_Sales" fld="16" baseField="0" baseItem="0"/>
    <dataField name="Sum of Sep_Sales" fld="17" baseField="0" baseItem="0"/>
    <dataField name="Sum of Oct_Sales" fld="18" baseField="0" baseItem="0"/>
    <dataField name="Sum of Nov_Sales" fld="19" baseField="0" baseItem="0"/>
    <dataField name="Sum of Dec_Sales" fld="20" baseField="0" baseItem="0"/>
  </dataFields>
  <formats count="5">
    <format dxfId="4">
      <pivotArea type="all" dataOnly="0" outline="0" fieldPosition="0"/>
    </format>
    <format dxfId="3">
      <pivotArea outline="0" collapsedLevelsAreSubtotals="1" fieldPosition="0"/>
    </format>
    <format dxfId="2">
      <pivotArea field="8" type="button" dataOnly="0" labelOnly="1" outline="0" axis="axisRow" fieldPosition="0"/>
    </format>
    <format dxfId="1">
      <pivotArea dataOnly="0" labelOnly="1" fieldPosition="0">
        <references count="1">
          <reference field="8" count="0"/>
        </references>
      </pivotArea>
    </format>
    <format dxfId="0">
      <pivotArea dataOnly="0" labelOnly="1" outline="0" fieldPosition="0">
        <references count="1">
          <reference field="4294967294" count="12">
            <x v="0"/>
            <x v="1"/>
            <x v="2"/>
            <x v="3"/>
            <x v="4"/>
            <x v="5"/>
            <x v="6"/>
            <x v="7"/>
            <x v="8"/>
            <x v="9"/>
            <x v="10"/>
            <x v="1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85BA4D1-B390-464B-94AF-648379C7610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C2" firstHeaderRow="1" firstDataRow="1" firstDataCol="0"/>
  <pivotFields count="4">
    <pivotField showAll="0">
      <items count="13">
        <item x="0"/>
        <item x="1"/>
        <item x="2"/>
        <item x="3"/>
        <item x="4"/>
        <item x="5"/>
        <item x="6"/>
        <item x="7"/>
        <item x="8"/>
        <item x="9"/>
        <item x="10"/>
        <item x="11"/>
        <item t="default"/>
      </items>
    </pivotField>
    <pivotField showAll="0"/>
    <pivotField showAll="0"/>
    <pivotField dataField="1" showAll="0"/>
  </pivotFields>
  <rowItems count="1">
    <i/>
  </rowItems>
  <colItems count="1">
    <i/>
  </colItems>
  <dataFields count="1">
    <dataField name="Sum of Profit" fld="3" baseField="0" baseItem="0" numFmtId="1"/>
  </dataFields>
  <formats count="2">
    <format dxfId="6">
      <pivotArea dataOnly="0" labelOnly="1" outline="0" axis="axisValues" fieldPosition="0"/>
    </format>
    <format dxfId="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A6F75AE-7854-45E2-96C4-341429E1AD7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B2" firstHeaderRow="1" firstDataRow="1" firstDataCol="0"/>
  <pivotFields count="22">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4D90DF2-D243-4FA4-AFF4-BA2BE07F49F2}"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0:E15" firstHeaderRow="1" firstDataRow="1" firstDataCol="1"/>
  <pivotFields count="9">
    <pivotField showAll="0"/>
    <pivotField showAll="0"/>
    <pivotField showAll="0"/>
    <pivotField showAll="0"/>
    <pivotField showAll="0"/>
    <pivotField showAll="0"/>
    <pivotField axis="axisRow" showAll="0">
      <items count="5">
        <item x="0"/>
        <item x="2"/>
        <item x="1"/>
        <item x="3"/>
        <item t="default"/>
      </items>
    </pivotField>
    <pivotField showAll="0"/>
    <pivotField showAll="0"/>
  </pivotFields>
  <rowFields count="1">
    <field x="6"/>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00EE65E-98D6-43EA-9BED-B0DBB3E1EC8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Sum of Amount"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3B2CB01-347A-4B52-836C-8D5D2F55F16E}"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2:I35" firstHeaderRow="1" firstDataRow="1" firstDataCol="1"/>
  <pivotFields count="5">
    <pivotField showAll="0"/>
    <pivotField axis="axisRow" showAll="0">
      <items count="13">
        <item x="0"/>
        <item x="1"/>
        <item x="2"/>
        <item x="3"/>
        <item x="4"/>
        <item x="5"/>
        <item x="6"/>
        <item x="7"/>
        <item x="8"/>
        <item x="9"/>
        <item x="10"/>
        <item x="11"/>
        <item t="default"/>
      </items>
    </pivotField>
    <pivotField numFmtId="164" showAll="0"/>
    <pivotField dataField="1" numFmtId="164" showAll="0"/>
    <pivotField numFmtId="9" showAll="0"/>
  </pivotFields>
  <rowFields count="1">
    <field x="1"/>
  </rowFields>
  <rowItems count="13">
    <i>
      <x/>
    </i>
    <i>
      <x v="1"/>
    </i>
    <i>
      <x v="2"/>
    </i>
    <i>
      <x v="3"/>
    </i>
    <i>
      <x v="4"/>
    </i>
    <i>
      <x v="5"/>
    </i>
    <i>
      <x v="6"/>
    </i>
    <i>
      <x v="7"/>
    </i>
    <i>
      <x v="8"/>
    </i>
    <i>
      <x v="9"/>
    </i>
    <i>
      <x v="10"/>
    </i>
    <i>
      <x v="11"/>
    </i>
    <i t="grand">
      <x/>
    </i>
  </rowItems>
  <colItems count="1">
    <i/>
  </colItems>
  <dataFields count="1">
    <dataField name="Sum of Anual _total  Profit" fld="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DA77E61-9B73-498E-9EF8-00AC9C1D448E}"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36" firstHeaderRow="1" firstDataRow="1" firstDataCol="1"/>
  <pivotFields count="9">
    <pivotField showAll="0"/>
    <pivotField showAll="0"/>
    <pivotField showAll="0"/>
    <pivotField showAll="0"/>
    <pivotField showAll="0"/>
    <pivotField axis="axisRow" showAll="0">
      <items count="5">
        <item x="3"/>
        <item x="0"/>
        <item x="1"/>
        <item x="2"/>
        <item t="default"/>
      </items>
    </pivotField>
    <pivotField showAll="0"/>
    <pivotField axis="axisRow" showAll="0">
      <items count="6">
        <item x="3"/>
        <item x="1"/>
        <item x="0"/>
        <item x="2"/>
        <item x="4"/>
        <item t="default"/>
      </items>
    </pivotField>
    <pivotField dataField="1" showAll="0"/>
  </pivotFields>
  <rowFields count="2">
    <field x="7"/>
    <field x="5"/>
  </rowFields>
  <rowItems count="26">
    <i>
      <x/>
    </i>
    <i r="1">
      <x/>
    </i>
    <i r="1">
      <x v="1"/>
    </i>
    <i r="1">
      <x v="2"/>
    </i>
    <i r="1">
      <x v="3"/>
    </i>
    <i>
      <x v="1"/>
    </i>
    <i r="1">
      <x/>
    </i>
    <i r="1">
      <x v="1"/>
    </i>
    <i r="1">
      <x v="2"/>
    </i>
    <i r="1">
      <x v="3"/>
    </i>
    <i>
      <x v="2"/>
    </i>
    <i r="1">
      <x/>
    </i>
    <i r="1">
      <x v="1"/>
    </i>
    <i r="1">
      <x v="2"/>
    </i>
    <i r="1">
      <x v="3"/>
    </i>
    <i>
      <x v="3"/>
    </i>
    <i r="1">
      <x/>
    </i>
    <i r="1">
      <x v="1"/>
    </i>
    <i r="1">
      <x v="2"/>
    </i>
    <i r="1">
      <x v="3"/>
    </i>
    <i>
      <x v="4"/>
    </i>
    <i r="1">
      <x/>
    </i>
    <i r="1">
      <x v="1"/>
    </i>
    <i r="1">
      <x v="2"/>
    </i>
    <i r="1">
      <x v="3"/>
    </i>
    <i t="grand">
      <x/>
    </i>
  </rowItems>
  <colItems count="1">
    <i/>
  </colItems>
  <dataFields count="1">
    <dataField name="Sum of Quantity_c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3" xr10:uid="{A4D0F73D-9335-4FEF-9BD8-6178546673C7}" sourceName="City">
  <pivotTables>
    <pivotTable tabId="4" name="table_6"/>
    <pivotTable tabId="4" name="table_1"/>
    <pivotTable tabId="4" name="table_2"/>
    <pivotTable tabId="4" name="table_3"/>
    <pivotTable tabId="4" name="table_4"/>
    <pivotTable tabId="4" name="table_5"/>
  </pivotTables>
  <data>
    <tabular pivotCacheId="1096451568">
      <items count="5">
        <i x="3" s="1"/>
        <i x="1" s="1"/>
        <i x="0"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EDA35801-4F9D-448C-974C-32B6EC5C0957}" cache="Slicer_City3" caption="City" rowHeight="234950"/>
  <slicer name="City 2" xr10:uid="{F8749D9E-09BE-41AC-9237-67A793DDDABF}" cache="Slicer_City3" caption="Cit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3" xr10:uid="{B605D0BF-E969-4054-8191-17FE37A912B8}" cache="Slicer_City3" caption="City" style="SlicerStyleLight2"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Z201"/>
  <sheetViews>
    <sheetView topLeftCell="B1" workbookViewId="0">
      <selection activeCell="M14" sqref="M14"/>
    </sheetView>
  </sheetViews>
  <sheetFormatPr defaultRowHeight="14.4"/>
  <cols>
    <col min="1" max="1" width="8.6640625" bestFit="1" customWidth="1"/>
    <col min="2" max="2" width="11.88671875" bestFit="1" customWidth="1"/>
    <col min="3" max="3" width="9.77734375" bestFit="1" customWidth="1"/>
    <col min="4" max="4" width="9.88671875" bestFit="1" customWidth="1"/>
    <col min="5" max="5" width="13.77734375" bestFit="1" customWidth="1"/>
    <col min="6" max="6" width="8.6640625" bestFit="1" customWidth="1"/>
    <col min="7" max="7" width="9.6640625" bestFit="1" customWidth="1"/>
    <col min="8" max="8" width="11.5546875" bestFit="1" customWidth="1"/>
    <col min="9" max="9" width="8.33203125" bestFit="1" customWidth="1"/>
    <col min="10" max="11" width="8" bestFit="1" customWidth="1"/>
    <col min="12" max="12" width="16.44140625" bestFit="1" customWidth="1"/>
    <col min="13" max="13" width="18.88671875" bestFit="1" customWidth="1"/>
    <col min="14" max="14" width="8.33203125" bestFit="1" customWidth="1"/>
    <col min="15" max="15" width="9" bestFit="1" customWidth="1"/>
    <col min="16" max="16" width="9.21875" bestFit="1" customWidth="1"/>
    <col min="17" max="17" width="9.6640625" bestFit="1" customWidth="1"/>
    <col min="18" max="18" width="9.21875" bestFit="1" customWidth="1"/>
    <col min="19" max="19" width="10" bestFit="1" customWidth="1"/>
    <col min="20" max="20" width="9.109375" bestFit="1" customWidth="1"/>
    <col min="21" max="21" width="8.44140625" bestFit="1" customWidth="1"/>
    <col min="22" max="22" width="9.5546875" bestFit="1" customWidth="1"/>
    <col min="23" max="23" width="9.33203125" bestFit="1" customWidth="1"/>
    <col min="24" max="24" width="9.109375" bestFit="1" customWidth="1"/>
    <col min="25" max="25" width="9.6640625" bestFit="1" customWidth="1"/>
    <col min="26" max="26" width="9.33203125" bestFit="1" customWidth="1"/>
  </cols>
  <sheetData>
    <row r="1" spans="1:26">
      <c r="A1" s="1" t="s">
        <v>0</v>
      </c>
      <c r="B1" s="1" t="s">
        <v>1</v>
      </c>
      <c r="C1" s="1" t="s">
        <v>2</v>
      </c>
      <c r="D1" s="1" t="s">
        <v>3</v>
      </c>
      <c r="E1" s="1" t="s">
        <v>4</v>
      </c>
      <c r="F1" s="1" t="s">
        <v>12</v>
      </c>
      <c r="G1" s="1" t="s">
        <v>5</v>
      </c>
      <c r="H1" s="1" t="s">
        <v>6</v>
      </c>
      <c r="I1" s="1" t="s">
        <v>7</v>
      </c>
      <c r="J1" s="1" t="s">
        <v>8</v>
      </c>
      <c r="K1" s="1" t="s">
        <v>9</v>
      </c>
      <c r="L1" s="1" t="s">
        <v>10</v>
      </c>
      <c r="M1" s="1" t="s">
        <v>11</v>
      </c>
      <c r="N1" s="3" t="s">
        <v>412</v>
      </c>
      <c r="O1" s="4" t="s">
        <v>417</v>
      </c>
      <c r="P1" s="4" t="s">
        <v>418</v>
      </c>
      <c r="Q1" s="4" t="s">
        <v>419</v>
      </c>
      <c r="R1" s="4" t="s">
        <v>420</v>
      </c>
      <c r="S1" s="4" t="s">
        <v>421</v>
      </c>
      <c r="T1" s="4" t="s">
        <v>422</v>
      </c>
      <c r="U1" s="4" t="s">
        <v>423</v>
      </c>
      <c r="V1" s="4" t="s">
        <v>424</v>
      </c>
      <c r="W1" s="4" t="s">
        <v>425</v>
      </c>
      <c r="X1" s="4" t="s">
        <v>426</v>
      </c>
      <c r="Y1" s="4" t="s">
        <v>427</v>
      </c>
      <c r="Z1" s="4" t="s">
        <v>428</v>
      </c>
    </row>
    <row r="2" spans="1:26">
      <c r="A2" t="s">
        <v>12</v>
      </c>
      <c r="B2" t="s">
        <v>212</v>
      </c>
      <c r="C2" t="s">
        <v>395</v>
      </c>
      <c r="D2" t="s">
        <v>400</v>
      </c>
      <c r="E2" t="s">
        <v>404</v>
      </c>
      <c r="F2">
        <v>1</v>
      </c>
      <c r="G2">
        <v>270.61</v>
      </c>
      <c r="H2">
        <v>7.91</v>
      </c>
      <c r="I2">
        <v>4353.99</v>
      </c>
      <c r="J2">
        <v>2219.2800000000002</v>
      </c>
      <c r="K2">
        <v>1640.71</v>
      </c>
      <c r="L2" t="s">
        <v>408</v>
      </c>
      <c r="M2">
        <v>3</v>
      </c>
      <c r="N2" s="2" t="s">
        <v>413</v>
      </c>
      <c r="O2">
        <v>24115</v>
      </c>
      <c r="P2">
        <v>32462</v>
      </c>
      <c r="Q2">
        <v>48259</v>
      </c>
      <c r="R2">
        <v>15394</v>
      </c>
      <c r="S2">
        <v>25312</v>
      </c>
      <c r="T2">
        <v>38904</v>
      </c>
      <c r="U2">
        <v>49437</v>
      </c>
      <c r="V2">
        <v>24642</v>
      </c>
      <c r="W2">
        <v>35004</v>
      </c>
      <c r="X2">
        <v>42603</v>
      </c>
      <c r="Y2">
        <v>3347</v>
      </c>
      <c r="Z2">
        <v>40737</v>
      </c>
    </row>
    <row r="3" spans="1:26">
      <c r="A3" t="s">
        <v>13</v>
      </c>
      <c r="B3" t="s">
        <v>213</v>
      </c>
      <c r="C3" t="s">
        <v>396</v>
      </c>
      <c r="D3" t="s">
        <v>401</v>
      </c>
      <c r="E3" t="s">
        <v>405</v>
      </c>
      <c r="F3">
        <v>5</v>
      </c>
      <c r="G3">
        <v>42.64</v>
      </c>
      <c r="H3">
        <v>7.99</v>
      </c>
      <c r="I3">
        <v>1301.9000000000001</v>
      </c>
      <c r="J3">
        <v>2314.79</v>
      </c>
      <c r="K3">
        <v>778.34</v>
      </c>
      <c r="L3" t="s">
        <v>409</v>
      </c>
      <c r="M3">
        <v>1</v>
      </c>
      <c r="N3" s="2" t="s">
        <v>414</v>
      </c>
      <c r="O3">
        <v>41887</v>
      </c>
      <c r="P3">
        <v>48561</v>
      </c>
      <c r="Q3">
        <v>38835</v>
      </c>
      <c r="R3">
        <v>17855</v>
      </c>
      <c r="S3">
        <v>5013</v>
      </c>
      <c r="T3">
        <v>8356</v>
      </c>
      <c r="U3">
        <v>20358</v>
      </c>
      <c r="V3">
        <v>38147</v>
      </c>
      <c r="W3">
        <v>15592</v>
      </c>
      <c r="X3">
        <v>13627</v>
      </c>
      <c r="Y3">
        <v>47894</v>
      </c>
      <c r="Z3">
        <v>35454</v>
      </c>
    </row>
    <row r="4" spans="1:26">
      <c r="A4" t="s">
        <v>14</v>
      </c>
      <c r="B4" t="s">
        <v>214</v>
      </c>
      <c r="C4" t="s">
        <v>397</v>
      </c>
      <c r="D4" t="s">
        <v>402</v>
      </c>
      <c r="E4" t="s">
        <v>406</v>
      </c>
      <c r="F4">
        <v>4</v>
      </c>
      <c r="G4">
        <v>122.22</v>
      </c>
      <c r="H4">
        <v>21.97</v>
      </c>
      <c r="I4">
        <v>870.97</v>
      </c>
      <c r="J4">
        <v>1539.29</v>
      </c>
      <c r="K4">
        <v>1076.67</v>
      </c>
      <c r="L4" t="s">
        <v>410</v>
      </c>
      <c r="M4">
        <v>8</v>
      </c>
      <c r="N4" s="2" t="s">
        <v>413</v>
      </c>
      <c r="O4">
        <v>32734</v>
      </c>
      <c r="P4">
        <v>41747</v>
      </c>
      <c r="Q4">
        <v>7183</v>
      </c>
      <c r="R4">
        <v>13853</v>
      </c>
      <c r="S4">
        <v>19403</v>
      </c>
      <c r="T4">
        <v>24483</v>
      </c>
      <c r="U4">
        <v>42632</v>
      </c>
      <c r="V4">
        <v>43382</v>
      </c>
      <c r="W4">
        <v>33773</v>
      </c>
      <c r="X4">
        <v>32651</v>
      </c>
      <c r="Y4">
        <v>4020</v>
      </c>
      <c r="Z4">
        <v>4742</v>
      </c>
    </row>
    <row r="5" spans="1:26">
      <c r="A5" t="s">
        <v>15</v>
      </c>
      <c r="B5" t="s">
        <v>215</v>
      </c>
      <c r="C5" t="s">
        <v>398</v>
      </c>
      <c r="D5" t="s">
        <v>400</v>
      </c>
      <c r="E5" t="s">
        <v>404</v>
      </c>
      <c r="F5">
        <v>8</v>
      </c>
      <c r="G5">
        <v>276</v>
      </c>
      <c r="H5">
        <v>7.52</v>
      </c>
      <c r="I5">
        <v>885.96</v>
      </c>
      <c r="J5">
        <v>1652.74</v>
      </c>
      <c r="K5">
        <v>268.99</v>
      </c>
      <c r="L5" t="s">
        <v>408</v>
      </c>
      <c r="M5">
        <v>5</v>
      </c>
      <c r="N5" s="2" t="s">
        <v>414</v>
      </c>
      <c r="O5">
        <v>26113</v>
      </c>
      <c r="P5">
        <v>28206</v>
      </c>
      <c r="Q5">
        <v>45224</v>
      </c>
      <c r="R5">
        <v>44670</v>
      </c>
      <c r="S5">
        <v>14921</v>
      </c>
      <c r="T5">
        <v>5100</v>
      </c>
      <c r="U5">
        <v>28377</v>
      </c>
      <c r="V5">
        <v>39765</v>
      </c>
      <c r="W5">
        <v>40169</v>
      </c>
      <c r="X5">
        <v>8920</v>
      </c>
      <c r="Y5">
        <v>12590</v>
      </c>
      <c r="Z5">
        <v>22561</v>
      </c>
    </row>
    <row r="6" spans="1:26">
      <c r="A6" t="s">
        <v>16</v>
      </c>
      <c r="B6" t="s">
        <v>216</v>
      </c>
      <c r="C6" t="s">
        <v>397</v>
      </c>
      <c r="D6" t="s">
        <v>400</v>
      </c>
      <c r="E6" t="s">
        <v>406</v>
      </c>
      <c r="F6">
        <v>1</v>
      </c>
      <c r="G6">
        <v>221.45</v>
      </c>
      <c r="H6">
        <v>18.989999999999998</v>
      </c>
      <c r="I6">
        <v>1736.64</v>
      </c>
      <c r="J6">
        <v>1566.29</v>
      </c>
      <c r="K6">
        <v>55.04</v>
      </c>
      <c r="L6" t="s">
        <v>409</v>
      </c>
      <c r="M6">
        <v>3</v>
      </c>
      <c r="N6" s="2" t="s">
        <v>415</v>
      </c>
      <c r="O6">
        <v>34638</v>
      </c>
      <c r="P6">
        <v>29892</v>
      </c>
      <c r="Q6">
        <v>8486</v>
      </c>
      <c r="R6">
        <v>7773</v>
      </c>
      <c r="S6">
        <v>29574</v>
      </c>
      <c r="T6">
        <v>12507</v>
      </c>
      <c r="U6">
        <v>20160</v>
      </c>
      <c r="V6">
        <v>23217</v>
      </c>
      <c r="W6">
        <v>32313</v>
      </c>
      <c r="X6">
        <v>11015</v>
      </c>
      <c r="Y6">
        <v>8434</v>
      </c>
      <c r="Z6">
        <v>13179</v>
      </c>
    </row>
    <row r="7" spans="1:26">
      <c r="A7" t="s">
        <v>17</v>
      </c>
      <c r="B7" t="s">
        <v>217</v>
      </c>
      <c r="C7" t="s">
        <v>398</v>
      </c>
      <c r="D7" t="s">
        <v>400</v>
      </c>
      <c r="E7" t="s">
        <v>405</v>
      </c>
      <c r="F7">
        <v>1</v>
      </c>
      <c r="G7">
        <v>173.08</v>
      </c>
      <c r="H7">
        <v>14.83</v>
      </c>
      <c r="I7">
        <v>1269.58</v>
      </c>
      <c r="J7">
        <v>1784.77</v>
      </c>
      <c r="K7">
        <v>1294.07</v>
      </c>
      <c r="L7" t="s">
        <v>408</v>
      </c>
      <c r="M7">
        <v>7</v>
      </c>
      <c r="N7" s="2" t="s">
        <v>414</v>
      </c>
      <c r="O7">
        <v>35478</v>
      </c>
      <c r="P7">
        <v>31702</v>
      </c>
      <c r="Q7">
        <v>47216</v>
      </c>
      <c r="R7">
        <v>28755</v>
      </c>
      <c r="S7">
        <v>26882</v>
      </c>
      <c r="T7">
        <v>39080</v>
      </c>
      <c r="U7">
        <v>33482</v>
      </c>
      <c r="V7">
        <v>31172</v>
      </c>
      <c r="W7">
        <v>43662</v>
      </c>
      <c r="X7">
        <v>32731</v>
      </c>
      <c r="Y7">
        <v>41881</v>
      </c>
      <c r="Z7">
        <v>2620</v>
      </c>
    </row>
    <row r="8" spans="1:26">
      <c r="A8" t="s">
        <v>18</v>
      </c>
      <c r="B8" t="s">
        <v>218</v>
      </c>
      <c r="C8" t="s">
        <v>397</v>
      </c>
      <c r="D8" t="s">
        <v>400</v>
      </c>
      <c r="E8" t="s">
        <v>405</v>
      </c>
      <c r="F8">
        <v>4</v>
      </c>
      <c r="G8">
        <v>367.97</v>
      </c>
      <c r="H8">
        <v>17.2</v>
      </c>
      <c r="I8">
        <v>4657.4399999999996</v>
      </c>
      <c r="J8">
        <v>136.71</v>
      </c>
      <c r="K8">
        <v>1054.5899999999999</v>
      </c>
      <c r="L8" t="s">
        <v>411</v>
      </c>
      <c r="M8">
        <v>7</v>
      </c>
      <c r="N8" s="2" t="s">
        <v>414</v>
      </c>
      <c r="O8">
        <v>34937</v>
      </c>
      <c r="P8">
        <v>13186</v>
      </c>
      <c r="Q8">
        <v>36136</v>
      </c>
      <c r="R8">
        <v>6455</v>
      </c>
      <c r="S8">
        <v>23615</v>
      </c>
      <c r="T8">
        <v>23895</v>
      </c>
      <c r="U8">
        <v>13675</v>
      </c>
      <c r="V8">
        <v>22742</v>
      </c>
      <c r="W8">
        <v>10972</v>
      </c>
      <c r="X8">
        <v>46234</v>
      </c>
      <c r="Y8">
        <v>4448</v>
      </c>
      <c r="Z8">
        <v>7408</v>
      </c>
    </row>
    <row r="9" spans="1:26">
      <c r="A9" t="s">
        <v>19</v>
      </c>
      <c r="B9" t="s">
        <v>219</v>
      </c>
      <c r="C9" t="s">
        <v>396</v>
      </c>
      <c r="D9" t="s">
        <v>400</v>
      </c>
      <c r="E9" t="s">
        <v>406</v>
      </c>
      <c r="F9">
        <v>8</v>
      </c>
      <c r="G9">
        <v>349.92</v>
      </c>
      <c r="H9">
        <v>25.14</v>
      </c>
      <c r="I9">
        <v>618.59</v>
      </c>
      <c r="J9">
        <v>1216.77</v>
      </c>
      <c r="K9">
        <v>1207.4000000000001</v>
      </c>
      <c r="L9" t="s">
        <v>409</v>
      </c>
      <c r="M9">
        <v>1</v>
      </c>
      <c r="N9" s="2" t="s">
        <v>414</v>
      </c>
      <c r="O9">
        <v>39818</v>
      </c>
      <c r="P9">
        <v>5611</v>
      </c>
      <c r="Q9">
        <v>41878</v>
      </c>
      <c r="R9">
        <v>11386</v>
      </c>
      <c r="S9">
        <v>47009</v>
      </c>
      <c r="T9">
        <v>43333</v>
      </c>
      <c r="U9">
        <v>2591</v>
      </c>
      <c r="V9">
        <v>21063</v>
      </c>
      <c r="W9">
        <v>5410</v>
      </c>
      <c r="X9">
        <v>41478</v>
      </c>
      <c r="Y9">
        <v>40225</v>
      </c>
      <c r="Z9">
        <v>40153</v>
      </c>
    </row>
    <row r="10" spans="1:26">
      <c r="A10" t="s">
        <v>20</v>
      </c>
      <c r="B10" t="s">
        <v>220</v>
      </c>
      <c r="C10" t="s">
        <v>398</v>
      </c>
      <c r="D10" t="s">
        <v>403</v>
      </c>
      <c r="E10" t="s">
        <v>404</v>
      </c>
      <c r="F10">
        <v>5</v>
      </c>
      <c r="G10">
        <v>91.7</v>
      </c>
      <c r="H10">
        <v>12.13</v>
      </c>
      <c r="I10">
        <v>3525.05</v>
      </c>
      <c r="J10">
        <v>1838.26</v>
      </c>
      <c r="K10">
        <v>1597.8</v>
      </c>
      <c r="L10" t="s">
        <v>410</v>
      </c>
      <c r="M10">
        <v>9</v>
      </c>
      <c r="N10" s="2" t="s">
        <v>416</v>
      </c>
      <c r="O10">
        <v>28053</v>
      </c>
      <c r="P10">
        <v>20017</v>
      </c>
      <c r="Q10">
        <v>33534</v>
      </c>
      <c r="R10">
        <v>33158</v>
      </c>
      <c r="S10">
        <v>41964</v>
      </c>
      <c r="T10">
        <v>4278</v>
      </c>
      <c r="U10">
        <v>46341</v>
      </c>
      <c r="V10">
        <v>29976</v>
      </c>
      <c r="W10">
        <v>45231</v>
      </c>
      <c r="X10">
        <v>40930</v>
      </c>
      <c r="Y10">
        <v>42711</v>
      </c>
      <c r="Z10">
        <v>49667</v>
      </c>
    </row>
    <row r="11" spans="1:26">
      <c r="A11" t="s">
        <v>21</v>
      </c>
      <c r="B11" t="s">
        <v>221</v>
      </c>
      <c r="C11" t="s">
        <v>395</v>
      </c>
      <c r="D11" t="s">
        <v>402</v>
      </c>
      <c r="E11" t="s">
        <v>407</v>
      </c>
      <c r="F11">
        <v>2</v>
      </c>
      <c r="G11">
        <v>440.53</v>
      </c>
      <c r="H11">
        <v>23.13</v>
      </c>
      <c r="I11">
        <v>1027.19</v>
      </c>
      <c r="J11">
        <v>1813.28</v>
      </c>
      <c r="K11">
        <v>1310.88</v>
      </c>
      <c r="L11" t="s">
        <v>410</v>
      </c>
      <c r="M11">
        <v>2</v>
      </c>
      <c r="N11" s="2" t="s">
        <v>413</v>
      </c>
      <c r="O11">
        <v>13605</v>
      </c>
      <c r="P11">
        <v>15531</v>
      </c>
      <c r="Q11">
        <v>23751</v>
      </c>
      <c r="R11">
        <v>38554</v>
      </c>
      <c r="S11">
        <v>23251</v>
      </c>
      <c r="T11">
        <v>48956</v>
      </c>
      <c r="U11">
        <v>36954</v>
      </c>
      <c r="V11">
        <v>23465</v>
      </c>
      <c r="W11">
        <v>9516</v>
      </c>
      <c r="X11">
        <v>26435</v>
      </c>
      <c r="Y11">
        <v>30008</v>
      </c>
      <c r="Z11">
        <v>16465</v>
      </c>
    </row>
    <row r="12" spans="1:26">
      <c r="A12" t="s">
        <v>22</v>
      </c>
      <c r="B12" t="s">
        <v>222</v>
      </c>
      <c r="C12" t="s">
        <v>397</v>
      </c>
      <c r="D12" t="s">
        <v>403</v>
      </c>
      <c r="E12" t="s">
        <v>405</v>
      </c>
      <c r="F12">
        <v>6</v>
      </c>
      <c r="G12">
        <v>252.76</v>
      </c>
      <c r="H12">
        <v>12.66</v>
      </c>
      <c r="I12">
        <v>4420.0200000000004</v>
      </c>
      <c r="J12">
        <v>2389.2199999999998</v>
      </c>
      <c r="K12">
        <v>390.81</v>
      </c>
      <c r="L12" t="s">
        <v>410</v>
      </c>
      <c r="M12">
        <v>5</v>
      </c>
      <c r="N12" s="2" t="s">
        <v>414</v>
      </c>
      <c r="O12">
        <v>6773</v>
      </c>
      <c r="P12">
        <v>34707</v>
      </c>
      <c r="Q12">
        <v>44576</v>
      </c>
      <c r="R12">
        <v>31855</v>
      </c>
      <c r="S12">
        <v>2150</v>
      </c>
      <c r="T12">
        <v>7312</v>
      </c>
      <c r="U12">
        <v>34806</v>
      </c>
      <c r="V12">
        <v>11734</v>
      </c>
      <c r="W12">
        <v>9378</v>
      </c>
      <c r="X12">
        <v>16574</v>
      </c>
      <c r="Y12">
        <v>38534</v>
      </c>
      <c r="Z12">
        <v>49640</v>
      </c>
    </row>
    <row r="13" spans="1:26">
      <c r="A13" t="s">
        <v>23</v>
      </c>
      <c r="B13" t="s">
        <v>223</v>
      </c>
      <c r="C13" t="s">
        <v>397</v>
      </c>
      <c r="D13" t="s">
        <v>401</v>
      </c>
      <c r="E13" t="s">
        <v>404</v>
      </c>
      <c r="F13">
        <v>5</v>
      </c>
      <c r="G13">
        <v>373.32</v>
      </c>
      <c r="H13">
        <v>10.62</v>
      </c>
      <c r="I13">
        <v>4810.4399999999996</v>
      </c>
      <c r="J13">
        <v>1982.28</v>
      </c>
      <c r="K13">
        <v>753.51</v>
      </c>
      <c r="L13" t="s">
        <v>410</v>
      </c>
      <c r="M13">
        <v>5</v>
      </c>
      <c r="N13" s="2" t="s">
        <v>414</v>
      </c>
      <c r="O13">
        <v>36172</v>
      </c>
      <c r="P13">
        <v>42993</v>
      </c>
      <c r="Q13">
        <v>38679</v>
      </c>
      <c r="R13">
        <v>40121</v>
      </c>
      <c r="S13">
        <v>49288</v>
      </c>
      <c r="T13">
        <v>19373</v>
      </c>
      <c r="U13">
        <v>16764</v>
      </c>
      <c r="V13">
        <v>13263</v>
      </c>
      <c r="W13">
        <v>29535</v>
      </c>
      <c r="X13">
        <v>4395</v>
      </c>
      <c r="Y13">
        <v>13818</v>
      </c>
      <c r="Z13">
        <v>32342</v>
      </c>
    </row>
    <row r="14" spans="1:26">
      <c r="A14" t="s">
        <v>24</v>
      </c>
      <c r="B14" t="s">
        <v>224</v>
      </c>
      <c r="C14" t="s">
        <v>398</v>
      </c>
      <c r="D14" t="s">
        <v>400</v>
      </c>
      <c r="E14" t="s">
        <v>404</v>
      </c>
      <c r="F14">
        <v>2</v>
      </c>
      <c r="G14">
        <v>290.83999999999997</v>
      </c>
      <c r="H14">
        <v>28.76</v>
      </c>
      <c r="I14">
        <v>2380.8000000000002</v>
      </c>
      <c r="J14">
        <v>2976.79</v>
      </c>
      <c r="K14">
        <v>1816.49</v>
      </c>
      <c r="L14" t="s">
        <v>408</v>
      </c>
      <c r="M14">
        <v>8</v>
      </c>
      <c r="N14" s="2" t="s">
        <v>416</v>
      </c>
      <c r="O14">
        <v>31527</v>
      </c>
      <c r="P14">
        <v>37985</v>
      </c>
      <c r="Q14">
        <v>16490</v>
      </c>
      <c r="R14">
        <v>47719</v>
      </c>
      <c r="S14">
        <v>39917</v>
      </c>
      <c r="T14">
        <v>2214</v>
      </c>
      <c r="U14">
        <v>26930</v>
      </c>
      <c r="V14">
        <v>44412</v>
      </c>
      <c r="W14">
        <v>26570</v>
      </c>
      <c r="X14">
        <v>18179</v>
      </c>
      <c r="Y14">
        <v>4763</v>
      </c>
      <c r="Z14">
        <v>37155</v>
      </c>
    </row>
    <row r="15" spans="1:26">
      <c r="A15" t="s">
        <v>25</v>
      </c>
      <c r="B15" t="s">
        <v>225</v>
      </c>
      <c r="C15" t="s">
        <v>395</v>
      </c>
      <c r="D15" t="s">
        <v>402</v>
      </c>
      <c r="E15" t="s">
        <v>407</v>
      </c>
      <c r="F15">
        <v>3</v>
      </c>
      <c r="G15">
        <v>498.87</v>
      </c>
      <c r="H15">
        <v>5.53</v>
      </c>
      <c r="I15">
        <v>4407.45</v>
      </c>
      <c r="J15">
        <v>887.37</v>
      </c>
      <c r="K15">
        <v>1551.39</v>
      </c>
      <c r="L15" t="s">
        <v>408</v>
      </c>
      <c r="M15">
        <v>8</v>
      </c>
      <c r="N15" s="2" t="s">
        <v>414</v>
      </c>
      <c r="O15">
        <v>41912</v>
      </c>
      <c r="P15">
        <v>16771</v>
      </c>
      <c r="Q15">
        <v>12305</v>
      </c>
      <c r="R15">
        <v>35219</v>
      </c>
      <c r="S15">
        <v>20346</v>
      </c>
      <c r="T15">
        <v>10684</v>
      </c>
      <c r="U15">
        <v>26678</v>
      </c>
      <c r="V15">
        <v>9922</v>
      </c>
      <c r="W15">
        <v>45312</v>
      </c>
      <c r="X15">
        <v>9709</v>
      </c>
      <c r="Y15">
        <v>31339</v>
      </c>
      <c r="Z15">
        <v>22965</v>
      </c>
    </row>
    <row r="16" spans="1:26">
      <c r="A16" t="s">
        <v>26</v>
      </c>
      <c r="B16" t="s">
        <v>226</v>
      </c>
      <c r="C16" t="s">
        <v>395</v>
      </c>
      <c r="D16" t="s">
        <v>400</v>
      </c>
      <c r="E16" t="s">
        <v>405</v>
      </c>
      <c r="F16">
        <v>9</v>
      </c>
      <c r="G16">
        <v>378.68</v>
      </c>
      <c r="H16">
        <v>2.71</v>
      </c>
      <c r="I16">
        <v>125.21</v>
      </c>
      <c r="J16">
        <v>1109.5</v>
      </c>
      <c r="K16">
        <v>1135.44</v>
      </c>
      <c r="L16" t="s">
        <v>410</v>
      </c>
      <c r="M16">
        <v>7</v>
      </c>
      <c r="N16" s="2" t="s">
        <v>415</v>
      </c>
      <c r="O16">
        <v>25856</v>
      </c>
      <c r="P16">
        <v>37813</v>
      </c>
      <c r="Q16">
        <v>45201</v>
      </c>
      <c r="R16">
        <v>37671</v>
      </c>
      <c r="S16">
        <v>47469</v>
      </c>
      <c r="T16">
        <v>47840</v>
      </c>
      <c r="U16">
        <v>46207</v>
      </c>
      <c r="V16">
        <v>26801</v>
      </c>
      <c r="W16">
        <v>3162</v>
      </c>
      <c r="X16">
        <v>22252</v>
      </c>
      <c r="Y16">
        <v>5510</v>
      </c>
      <c r="Z16">
        <v>12646</v>
      </c>
    </row>
    <row r="17" spans="1:26">
      <c r="A17" t="s">
        <v>27</v>
      </c>
      <c r="B17" t="s">
        <v>227</v>
      </c>
      <c r="C17" t="s">
        <v>396</v>
      </c>
      <c r="D17" t="s">
        <v>402</v>
      </c>
      <c r="E17" t="s">
        <v>405</v>
      </c>
      <c r="F17">
        <v>7</v>
      </c>
      <c r="G17">
        <v>356.42</v>
      </c>
      <c r="H17">
        <v>23.13</v>
      </c>
      <c r="I17">
        <v>4117.74</v>
      </c>
      <c r="J17">
        <v>1182.3499999999999</v>
      </c>
      <c r="K17">
        <v>548.51</v>
      </c>
      <c r="L17" t="s">
        <v>410</v>
      </c>
      <c r="M17">
        <v>7</v>
      </c>
      <c r="N17" s="2" t="s">
        <v>416</v>
      </c>
      <c r="O17">
        <v>49192</v>
      </c>
      <c r="P17">
        <v>25921</v>
      </c>
      <c r="Q17">
        <v>9625</v>
      </c>
      <c r="R17">
        <v>35046</v>
      </c>
      <c r="S17">
        <v>12944</v>
      </c>
      <c r="T17">
        <v>17604</v>
      </c>
      <c r="U17">
        <v>27798</v>
      </c>
      <c r="V17">
        <v>21156</v>
      </c>
      <c r="W17">
        <v>41252</v>
      </c>
      <c r="X17">
        <v>2820</v>
      </c>
      <c r="Y17">
        <v>11062</v>
      </c>
      <c r="Z17">
        <v>39234</v>
      </c>
    </row>
    <row r="18" spans="1:26">
      <c r="A18" t="s">
        <v>28</v>
      </c>
      <c r="B18" t="s">
        <v>228</v>
      </c>
      <c r="C18" t="s">
        <v>395</v>
      </c>
      <c r="D18" t="s">
        <v>403</v>
      </c>
      <c r="E18" t="s">
        <v>404</v>
      </c>
      <c r="F18">
        <v>7</v>
      </c>
      <c r="G18">
        <v>391.5</v>
      </c>
      <c r="H18">
        <v>2.0499999999999998</v>
      </c>
      <c r="I18">
        <v>1220.26</v>
      </c>
      <c r="J18">
        <v>1424.15</v>
      </c>
      <c r="K18">
        <v>639.02</v>
      </c>
      <c r="L18" t="s">
        <v>410</v>
      </c>
      <c r="M18">
        <v>6</v>
      </c>
      <c r="N18" s="2" t="s">
        <v>414</v>
      </c>
      <c r="O18">
        <v>35125</v>
      </c>
      <c r="P18">
        <v>26672</v>
      </c>
      <c r="Q18">
        <v>9759</v>
      </c>
      <c r="R18">
        <v>48378</v>
      </c>
      <c r="S18">
        <v>41765</v>
      </c>
      <c r="T18">
        <v>24631</v>
      </c>
      <c r="U18">
        <v>48129</v>
      </c>
      <c r="V18">
        <v>1718</v>
      </c>
      <c r="W18">
        <v>26293</v>
      </c>
      <c r="X18">
        <v>18062</v>
      </c>
      <c r="Y18">
        <v>1756</v>
      </c>
      <c r="Z18">
        <v>34542</v>
      </c>
    </row>
    <row r="19" spans="1:26">
      <c r="A19" t="s">
        <v>29</v>
      </c>
      <c r="B19" t="s">
        <v>229</v>
      </c>
      <c r="C19" t="s">
        <v>395</v>
      </c>
      <c r="D19" t="s">
        <v>402</v>
      </c>
      <c r="E19" t="s">
        <v>404</v>
      </c>
      <c r="F19">
        <v>6</v>
      </c>
      <c r="G19">
        <v>80.13</v>
      </c>
      <c r="H19">
        <v>25.11</v>
      </c>
      <c r="I19">
        <v>4552.6400000000003</v>
      </c>
      <c r="J19">
        <v>2516.19</v>
      </c>
      <c r="K19">
        <v>1477.32</v>
      </c>
      <c r="L19" t="s">
        <v>408</v>
      </c>
      <c r="M19">
        <v>6</v>
      </c>
      <c r="N19" s="2" t="s">
        <v>414</v>
      </c>
      <c r="O19">
        <v>29004</v>
      </c>
      <c r="P19">
        <v>48077</v>
      </c>
      <c r="Q19">
        <v>24981</v>
      </c>
      <c r="R19">
        <v>49053</v>
      </c>
      <c r="S19">
        <v>3763</v>
      </c>
      <c r="T19">
        <v>24217</v>
      </c>
      <c r="U19">
        <v>45012</v>
      </c>
      <c r="V19">
        <v>6256</v>
      </c>
      <c r="W19">
        <v>39216</v>
      </c>
      <c r="X19">
        <v>28246</v>
      </c>
      <c r="Y19">
        <v>34503</v>
      </c>
      <c r="Z19">
        <v>33440</v>
      </c>
    </row>
    <row r="20" spans="1:26">
      <c r="A20" t="s">
        <v>30</v>
      </c>
      <c r="B20" t="s">
        <v>230</v>
      </c>
      <c r="C20" t="s">
        <v>395</v>
      </c>
      <c r="D20" t="s">
        <v>401</v>
      </c>
      <c r="E20" t="s">
        <v>407</v>
      </c>
      <c r="F20">
        <v>8</v>
      </c>
      <c r="G20">
        <v>110.23</v>
      </c>
      <c r="H20">
        <v>13.12</v>
      </c>
      <c r="I20">
        <v>105.49</v>
      </c>
      <c r="J20">
        <v>745.59</v>
      </c>
      <c r="K20">
        <v>1709.79</v>
      </c>
      <c r="L20" t="s">
        <v>410</v>
      </c>
      <c r="M20">
        <v>9</v>
      </c>
      <c r="N20" s="2" t="s">
        <v>414</v>
      </c>
      <c r="O20">
        <v>44127</v>
      </c>
      <c r="P20">
        <v>11976</v>
      </c>
      <c r="Q20">
        <v>9890</v>
      </c>
      <c r="R20">
        <v>25792</v>
      </c>
      <c r="S20">
        <v>28846</v>
      </c>
      <c r="T20">
        <v>8611</v>
      </c>
      <c r="U20">
        <v>4721</v>
      </c>
      <c r="V20">
        <v>14860</v>
      </c>
      <c r="W20">
        <v>1369</v>
      </c>
      <c r="X20">
        <v>38919</v>
      </c>
      <c r="Y20">
        <v>8184</v>
      </c>
      <c r="Z20">
        <v>8659</v>
      </c>
    </row>
    <row r="21" spans="1:26">
      <c r="A21" t="s">
        <v>31</v>
      </c>
      <c r="B21" t="s">
        <v>231</v>
      </c>
      <c r="C21" t="s">
        <v>399</v>
      </c>
      <c r="D21" t="s">
        <v>401</v>
      </c>
      <c r="E21" t="s">
        <v>407</v>
      </c>
      <c r="F21">
        <v>4</v>
      </c>
      <c r="G21">
        <v>359.89</v>
      </c>
      <c r="H21">
        <v>27.47</v>
      </c>
      <c r="I21">
        <v>2825.29</v>
      </c>
      <c r="J21">
        <v>2339.1999999999998</v>
      </c>
      <c r="K21">
        <v>1359.28</v>
      </c>
      <c r="L21" t="s">
        <v>410</v>
      </c>
      <c r="M21">
        <v>6</v>
      </c>
      <c r="N21" s="2" t="s">
        <v>413</v>
      </c>
      <c r="O21">
        <v>33626</v>
      </c>
      <c r="P21">
        <v>17152</v>
      </c>
      <c r="Q21">
        <v>25220</v>
      </c>
      <c r="R21">
        <v>48373</v>
      </c>
      <c r="S21">
        <v>11284</v>
      </c>
      <c r="T21">
        <v>11925</v>
      </c>
      <c r="U21">
        <v>5740</v>
      </c>
      <c r="V21">
        <v>39898</v>
      </c>
      <c r="W21">
        <v>28655</v>
      </c>
      <c r="X21">
        <v>5168</v>
      </c>
      <c r="Y21">
        <v>39969</v>
      </c>
      <c r="Z21">
        <v>27324</v>
      </c>
    </row>
    <row r="22" spans="1:26">
      <c r="A22" t="s">
        <v>32</v>
      </c>
      <c r="B22" t="s">
        <v>232</v>
      </c>
      <c r="C22" t="s">
        <v>396</v>
      </c>
      <c r="D22" t="s">
        <v>402</v>
      </c>
      <c r="E22" t="s">
        <v>405</v>
      </c>
      <c r="F22">
        <v>8</v>
      </c>
      <c r="G22">
        <v>252.05</v>
      </c>
      <c r="H22">
        <v>21.65</v>
      </c>
      <c r="I22">
        <v>3807.52</v>
      </c>
      <c r="J22">
        <v>1245.67</v>
      </c>
      <c r="K22">
        <v>1628.58</v>
      </c>
      <c r="L22" t="s">
        <v>411</v>
      </c>
      <c r="M22">
        <v>2</v>
      </c>
      <c r="N22" s="2" t="s">
        <v>416</v>
      </c>
      <c r="O22">
        <v>5172</v>
      </c>
      <c r="P22">
        <v>22911</v>
      </c>
      <c r="Q22">
        <v>40956</v>
      </c>
      <c r="R22">
        <v>6122</v>
      </c>
      <c r="S22">
        <v>45853</v>
      </c>
      <c r="T22">
        <v>10293</v>
      </c>
      <c r="U22">
        <v>41364</v>
      </c>
      <c r="V22">
        <v>24396</v>
      </c>
      <c r="W22">
        <v>26802</v>
      </c>
      <c r="X22">
        <v>5304</v>
      </c>
      <c r="Y22">
        <v>32123</v>
      </c>
      <c r="Z22">
        <v>34143</v>
      </c>
    </row>
    <row r="23" spans="1:26">
      <c r="A23" t="s">
        <v>33</v>
      </c>
      <c r="B23" t="s">
        <v>233</v>
      </c>
      <c r="C23" t="s">
        <v>397</v>
      </c>
      <c r="D23" t="s">
        <v>402</v>
      </c>
      <c r="E23" t="s">
        <v>406</v>
      </c>
      <c r="F23">
        <v>4</v>
      </c>
      <c r="G23">
        <v>379.77</v>
      </c>
      <c r="H23">
        <v>18.309999999999999</v>
      </c>
      <c r="I23">
        <v>1367.57</v>
      </c>
      <c r="J23">
        <v>1825.47</v>
      </c>
      <c r="K23">
        <v>1544.98</v>
      </c>
      <c r="L23" t="s">
        <v>411</v>
      </c>
      <c r="M23">
        <v>2</v>
      </c>
      <c r="N23" s="2" t="s">
        <v>415</v>
      </c>
      <c r="O23">
        <v>49059</v>
      </c>
      <c r="P23">
        <v>8944</v>
      </c>
      <c r="Q23">
        <v>17661</v>
      </c>
      <c r="R23">
        <v>3031</v>
      </c>
      <c r="S23">
        <v>32105</v>
      </c>
      <c r="T23">
        <v>5864</v>
      </c>
      <c r="U23">
        <v>17805</v>
      </c>
      <c r="V23">
        <v>25583</v>
      </c>
      <c r="W23">
        <v>30701</v>
      </c>
      <c r="X23">
        <v>8800</v>
      </c>
      <c r="Y23">
        <v>38051</v>
      </c>
      <c r="Z23">
        <v>7218</v>
      </c>
    </row>
    <row r="24" spans="1:26">
      <c r="A24" t="s">
        <v>34</v>
      </c>
      <c r="B24" t="s">
        <v>234</v>
      </c>
      <c r="C24" t="s">
        <v>398</v>
      </c>
      <c r="D24" t="s">
        <v>402</v>
      </c>
      <c r="E24" t="s">
        <v>405</v>
      </c>
      <c r="F24">
        <v>8</v>
      </c>
      <c r="G24">
        <v>60.43</v>
      </c>
      <c r="H24">
        <v>28.48</v>
      </c>
      <c r="I24">
        <v>1046.3499999999999</v>
      </c>
      <c r="J24">
        <v>1915.99</v>
      </c>
      <c r="K24">
        <v>341.92</v>
      </c>
      <c r="L24" t="s">
        <v>410</v>
      </c>
      <c r="M24">
        <v>5</v>
      </c>
      <c r="N24" s="2" t="s">
        <v>413</v>
      </c>
      <c r="O24">
        <v>48258</v>
      </c>
      <c r="P24">
        <v>46564</v>
      </c>
      <c r="Q24">
        <v>15954</v>
      </c>
      <c r="R24">
        <v>36322</v>
      </c>
      <c r="S24">
        <v>3783</v>
      </c>
      <c r="T24">
        <v>39743</v>
      </c>
      <c r="U24">
        <v>31048</v>
      </c>
      <c r="V24">
        <v>36211</v>
      </c>
      <c r="W24">
        <v>26283</v>
      </c>
      <c r="X24">
        <v>31722</v>
      </c>
      <c r="Y24">
        <v>37558</v>
      </c>
      <c r="Z24">
        <v>49925</v>
      </c>
    </row>
    <row r="25" spans="1:26">
      <c r="A25" t="s">
        <v>35</v>
      </c>
      <c r="B25" t="s">
        <v>235</v>
      </c>
      <c r="C25" t="s">
        <v>397</v>
      </c>
      <c r="D25" t="s">
        <v>402</v>
      </c>
      <c r="E25" t="s">
        <v>404</v>
      </c>
      <c r="F25">
        <v>9</v>
      </c>
      <c r="G25">
        <v>272.88</v>
      </c>
      <c r="H25">
        <v>11.9</v>
      </c>
      <c r="I25">
        <v>512.08000000000004</v>
      </c>
      <c r="J25">
        <v>1149.9000000000001</v>
      </c>
      <c r="K25">
        <v>876.69</v>
      </c>
      <c r="L25" t="s">
        <v>409</v>
      </c>
      <c r="M25">
        <v>4</v>
      </c>
      <c r="N25" s="2" t="s">
        <v>415</v>
      </c>
      <c r="O25">
        <v>5681</v>
      </c>
      <c r="P25">
        <v>24329</v>
      </c>
      <c r="Q25">
        <v>39584</v>
      </c>
      <c r="R25">
        <v>9231</v>
      </c>
      <c r="S25">
        <v>2861</v>
      </c>
      <c r="T25">
        <v>36174</v>
      </c>
      <c r="U25">
        <v>24950</v>
      </c>
      <c r="V25">
        <v>49229</v>
      </c>
      <c r="W25">
        <v>21854</v>
      </c>
      <c r="X25">
        <v>40669</v>
      </c>
      <c r="Y25">
        <v>9862</v>
      </c>
      <c r="Z25">
        <v>11945</v>
      </c>
    </row>
    <row r="26" spans="1:26">
      <c r="A26" t="s">
        <v>36</v>
      </c>
      <c r="B26" t="s">
        <v>236</v>
      </c>
      <c r="C26" t="s">
        <v>396</v>
      </c>
      <c r="D26" t="s">
        <v>401</v>
      </c>
      <c r="E26" t="s">
        <v>405</v>
      </c>
      <c r="F26">
        <v>3</v>
      </c>
      <c r="G26">
        <v>195.62</v>
      </c>
      <c r="H26">
        <v>28.62</v>
      </c>
      <c r="I26">
        <v>1699.52</v>
      </c>
      <c r="J26">
        <v>1562.21</v>
      </c>
      <c r="K26">
        <v>348.32</v>
      </c>
      <c r="L26" t="s">
        <v>410</v>
      </c>
      <c r="M26">
        <v>2</v>
      </c>
      <c r="N26" s="2" t="s">
        <v>413</v>
      </c>
      <c r="O26">
        <v>10735</v>
      </c>
      <c r="P26">
        <v>27860</v>
      </c>
      <c r="Q26">
        <v>18259</v>
      </c>
      <c r="R26">
        <v>4955</v>
      </c>
      <c r="S26">
        <v>15152</v>
      </c>
      <c r="T26">
        <v>42147</v>
      </c>
      <c r="U26">
        <v>6634</v>
      </c>
      <c r="V26">
        <v>22870</v>
      </c>
      <c r="W26">
        <v>24441</v>
      </c>
      <c r="X26">
        <v>13473</v>
      </c>
      <c r="Y26">
        <v>11706</v>
      </c>
      <c r="Z26">
        <v>19552</v>
      </c>
    </row>
    <row r="27" spans="1:26">
      <c r="A27" t="s">
        <v>37</v>
      </c>
      <c r="B27" t="s">
        <v>237</v>
      </c>
      <c r="C27" t="s">
        <v>398</v>
      </c>
      <c r="D27" t="s">
        <v>400</v>
      </c>
      <c r="E27" t="s">
        <v>406</v>
      </c>
      <c r="F27">
        <v>3</v>
      </c>
      <c r="G27">
        <v>233.93</v>
      </c>
      <c r="H27">
        <v>4.05</v>
      </c>
      <c r="I27">
        <v>2843.24</v>
      </c>
      <c r="J27">
        <v>1268.44</v>
      </c>
      <c r="K27">
        <v>508.71</v>
      </c>
      <c r="L27" t="s">
        <v>411</v>
      </c>
      <c r="M27">
        <v>3</v>
      </c>
      <c r="N27" s="2" t="s">
        <v>413</v>
      </c>
      <c r="O27">
        <v>47551</v>
      </c>
      <c r="P27">
        <v>15204</v>
      </c>
      <c r="Q27">
        <v>44191</v>
      </c>
      <c r="R27">
        <v>4333</v>
      </c>
      <c r="S27">
        <v>37221</v>
      </c>
      <c r="T27">
        <v>1446</v>
      </c>
      <c r="U27">
        <v>13240</v>
      </c>
      <c r="V27">
        <v>39785</v>
      </c>
      <c r="W27">
        <v>1848</v>
      </c>
      <c r="X27">
        <v>26571</v>
      </c>
      <c r="Y27">
        <v>8487</v>
      </c>
      <c r="Z27">
        <v>20733</v>
      </c>
    </row>
    <row r="28" spans="1:26">
      <c r="A28" t="s">
        <v>38</v>
      </c>
      <c r="B28" t="s">
        <v>238</v>
      </c>
      <c r="C28" t="s">
        <v>396</v>
      </c>
      <c r="D28" t="s">
        <v>402</v>
      </c>
      <c r="E28" t="s">
        <v>407</v>
      </c>
      <c r="F28">
        <v>2</v>
      </c>
      <c r="G28">
        <v>305.94</v>
      </c>
      <c r="H28">
        <v>14.51</v>
      </c>
      <c r="I28">
        <v>667.63</v>
      </c>
      <c r="J28">
        <v>253.94</v>
      </c>
      <c r="K28">
        <v>1745.06</v>
      </c>
      <c r="L28" t="s">
        <v>409</v>
      </c>
      <c r="M28">
        <v>7</v>
      </c>
      <c r="N28" s="2" t="s">
        <v>414</v>
      </c>
      <c r="O28">
        <v>1296</v>
      </c>
      <c r="P28">
        <v>29936</v>
      </c>
      <c r="Q28">
        <v>24062</v>
      </c>
      <c r="R28">
        <v>19822</v>
      </c>
      <c r="S28">
        <v>32659</v>
      </c>
      <c r="T28">
        <v>40037</v>
      </c>
      <c r="U28">
        <v>14542</v>
      </c>
      <c r="V28">
        <v>23282</v>
      </c>
      <c r="W28">
        <v>17219</v>
      </c>
      <c r="X28">
        <v>44996</v>
      </c>
      <c r="Y28">
        <v>32675</v>
      </c>
      <c r="Z28">
        <v>2397</v>
      </c>
    </row>
    <row r="29" spans="1:26">
      <c r="A29" t="s">
        <v>39</v>
      </c>
      <c r="B29" t="s">
        <v>239</v>
      </c>
      <c r="C29" t="s">
        <v>395</v>
      </c>
      <c r="D29" t="s">
        <v>402</v>
      </c>
      <c r="E29" t="s">
        <v>406</v>
      </c>
      <c r="F29">
        <v>3</v>
      </c>
      <c r="G29">
        <v>256.12</v>
      </c>
      <c r="H29">
        <v>8.1</v>
      </c>
      <c r="I29">
        <v>1945.81</v>
      </c>
      <c r="J29">
        <v>1339.64</v>
      </c>
      <c r="K29">
        <v>972.14</v>
      </c>
      <c r="L29" t="s">
        <v>409</v>
      </c>
      <c r="M29">
        <v>8</v>
      </c>
      <c r="N29" s="2" t="s">
        <v>413</v>
      </c>
      <c r="O29">
        <v>30057</v>
      </c>
      <c r="P29">
        <v>8073</v>
      </c>
      <c r="Q29">
        <v>36728</v>
      </c>
      <c r="R29">
        <v>14084</v>
      </c>
      <c r="S29">
        <v>25050</v>
      </c>
      <c r="T29">
        <v>43553</v>
      </c>
      <c r="U29">
        <v>25719</v>
      </c>
      <c r="V29">
        <v>19392</v>
      </c>
      <c r="W29">
        <v>1135</v>
      </c>
      <c r="X29">
        <v>22252</v>
      </c>
      <c r="Y29">
        <v>17650</v>
      </c>
      <c r="Z29">
        <v>38021</v>
      </c>
    </row>
    <row r="30" spans="1:26">
      <c r="A30" t="s">
        <v>40</v>
      </c>
      <c r="B30" t="s">
        <v>240</v>
      </c>
      <c r="C30" t="s">
        <v>398</v>
      </c>
      <c r="D30" t="s">
        <v>401</v>
      </c>
      <c r="E30" t="s">
        <v>406</v>
      </c>
      <c r="F30">
        <v>3</v>
      </c>
      <c r="G30">
        <v>274.52999999999997</v>
      </c>
      <c r="H30">
        <v>16.2</v>
      </c>
      <c r="I30">
        <v>144.44999999999999</v>
      </c>
      <c r="J30">
        <v>337.31</v>
      </c>
      <c r="K30">
        <v>1093.95</v>
      </c>
      <c r="L30" t="s">
        <v>410</v>
      </c>
      <c r="M30">
        <v>6</v>
      </c>
      <c r="N30" s="2" t="s">
        <v>415</v>
      </c>
      <c r="O30">
        <v>27720</v>
      </c>
      <c r="P30">
        <v>1598</v>
      </c>
      <c r="Q30">
        <v>33069</v>
      </c>
      <c r="R30">
        <v>47772</v>
      </c>
      <c r="S30">
        <v>39077</v>
      </c>
      <c r="T30">
        <v>48724</v>
      </c>
      <c r="U30">
        <v>47985</v>
      </c>
      <c r="V30">
        <v>48663</v>
      </c>
      <c r="W30">
        <v>11774</v>
      </c>
      <c r="X30">
        <v>17843</v>
      </c>
      <c r="Y30">
        <v>31927</v>
      </c>
      <c r="Z30">
        <v>34267</v>
      </c>
    </row>
    <row r="31" spans="1:26">
      <c r="A31" t="s">
        <v>41</v>
      </c>
      <c r="B31" t="s">
        <v>241</v>
      </c>
      <c r="C31" t="s">
        <v>395</v>
      </c>
      <c r="D31" t="s">
        <v>401</v>
      </c>
      <c r="E31" t="s">
        <v>406</v>
      </c>
      <c r="F31">
        <v>5</v>
      </c>
      <c r="G31">
        <v>248.32</v>
      </c>
      <c r="H31">
        <v>4.8600000000000003</v>
      </c>
      <c r="I31">
        <v>4111.53</v>
      </c>
      <c r="J31">
        <v>1244.81</v>
      </c>
      <c r="K31">
        <v>397.97</v>
      </c>
      <c r="L31" t="s">
        <v>411</v>
      </c>
      <c r="M31">
        <v>5</v>
      </c>
      <c r="N31" s="2" t="s">
        <v>415</v>
      </c>
      <c r="O31">
        <v>11107</v>
      </c>
      <c r="P31">
        <v>6105</v>
      </c>
      <c r="Q31">
        <v>37376</v>
      </c>
      <c r="R31">
        <v>32351</v>
      </c>
      <c r="S31">
        <v>14370</v>
      </c>
      <c r="T31">
        <v>12271</v>
      </c>
      <c r="U31">
        <v>3049</v>
      </c>
      <c r="V31">
        <v>25304</v>
      </c>
      <c r="W31">
        <v>21850</v>
      </c>
      <c r="X31">
        <v>15429</v>
      </c>
      <c r="Y31">
        <v>49509</v>
      </c>
      <c r="Z31">
        <v>44667</v>
      </c>
    </row>
    <row r="32" spans="1:26">
      <c r="A32" t="s">
        <v>42</v>
      </c>
      <c r="B32" t="s">
        <v>242</v>
      </c>
      <c r="C32" t="s">
        <v>397</v>
      </c>
      <c r="D32" t="s">
        <v>403</v>
      </c>
      <c r="E32" t="s">
        <v>407</v>
      </c>
      <c r="F32">
        <v>5</v>
      </c>
      <c r="G32">
        <v>210.39</v>
      </c>
      <c r="H32">
        <v>25.25</v>
      </c>
      <c r="I32">
        <v>729.4</v>
      </c>
      <c r="J32">
        <v>1799.11</v>
      </c>
      <c r="K32">
        <v>658.93</v>
      </c>
      <c r="L32" t="s">
        <v>411</v>
      </c>
      <c r="M32">
        <v>1</v>
      </c>
      <c r="N32" s="2" t="s">
        <v>416</v>
      </c>
      <c r="O32">
        <v>20780</v>
      </c>
      <c r="P32">
        <v>23695</v>
      </c>
      <c r="Q32">
        <v>46765</v>
      </c>
      <c r="R32">
        <v>38315</v>
      </c>
      <c r="S32">
        <v>39708</v>
      </c>
      <c r="T32">
        <v>44100</v>
      </c>
      <c r="U32">
        <v>36165</v>
      </c>
      <c r="V32">
        <v>17123</v>
      </c>
      <c r="W32">
        <v>31506</v>
      </c>
      <c r="X32">
        <v>42172</v>
      </c>
      <c r="Y32">
        <v>37464</v>
      </c>
      <c r="Z32">
        <v>12448</v>
      </c>
    </row>
    <row r="33" spans="1:26">
      <c r="A33" t="s">
        <v>43</v>
      </c>
      <c r="B33" t="s">
        <v>243</v>
      </c>
      <c r="C33" t="s">
        <v>397</v>
      </c>
      <c r="D33" t="s">
        <v>402</v>
      </c>
      <c r="E33" t="s">
        <v>406</v>
      </c>
      <c r="F33">
        <v>2</v>
      </c>
      <c r="G33">
        <v>388.22</v>
      </c>
      <c r="H33">
        <v>25.39</v>
      </c>
      <c r="I33">
        <v>1488.38</v>
      </c>
      <c r="J33">
        <v>1759.27</v>
      </c>
      <c r="K33">
        <v>498.98</v>
      </c>
      <c r="L33" t="s">
        <v>409</v>
      </c>
      <c r="M33">
        <v>8</v>
      </c>
      <c r="N33" s="2" t="s">
        <v>415</v>
      </c>
      <c r="O33">
        <v>8480</v>
      </c>
      <c r="P33">
        <v>48860</v>
      </c>
      <c r="Q33">
        <v>43238</v>
      </c>
      <c r="R33">
        <v>44874</v>
      </c>
      <c r="S33">
        <v>17422</v>
      </c>
      <c r="T33">
        <v>24075</v>
      </c>
      <c r="U33">
        <v>26740</v>
      </c>
      <c r="V33">
        <v>4745</v>
      </c>
      <c r="W33">
        <v>17857</v>
      </c>
      <c r="X33">
        <v>37239</v>
      </c>
      <c r="Y33">
        <v>33944</v>
      </c>
      <c r="Z33">
        <v>40247</v>
      </c>
    </row>
    <row r="34" spans="1:26">
      <c r="A34" t="s">
        <v>44</v>
      </c>
      <c r="B34" t="s">
        <v>244</v>
      </c>
      <c r="C34" t="s">
        <v>398</v>
      </c>
      <c r="D34" t="s">
        <v>403</v>
      </c>
      <c r="E34" t="s">
        <v>406</v>
      </c>
      <c r="F34">
        <v>6</v>
      </c>
      <c r="G34">
        <v>15.98</v>
      </c>
      <c r="H34">
        <v>28.66</v>
      </c>
      <c r="I34">
        <v>190.3</v>
      </c>
      <c r="J34">
        <v>2004.73</v>
      </c>
      <c r="K34">
        <v>452.06</v>
      </c>
      <c r="L34" t="s">
        <v>410</v>
      </c>
      <c r="M34">
        <v>3</v>
      </c>
      <c r="N34" s="2" t="s">
        <v>415</v>
      </c>
      <c r="O34">
        <v>7435</v>
      </c>
      <c r="P34">
        <v>30971</v>
      </c>
      <c r="Q34">
        <v>40720</v>
      </c>
      <c r="R34">
        <v>24572</v>
      </c>
      <c r="S34">
        <v>2640</v>
      </c>
      <c r="T34">
        <v>34928</v>
      </c>
      <c r="U34">
        <v>13160</v>
      </c>
      <c r="V34">
        <v>2874</v>
      </c>
      <c r="W34">
        <v>30684</v>
      </c>
      <c r="X34">
        <v>34342</v>
      </c>
      <c r="Y34">
        <v>43456</v>
      </c>
      <c r="Z34">
        <v>42338</v>
      </c>
    </row>
    <row r="35" spans="1:26">
      <c r="A35" t="s">
        <v>45</v>
      </c>
      <c r="B35" t="s">
        <v>245</v>
      </c>
      <c r="C35" t="s">
        <v>398</v>
      </c>
      <c r="D35" t="s">
        <v>401</v>
      </c>
      <c r="E35" t="s">
        <v>406</v>
      </c>
      <c r="F35">
        <v>5</v>
      </c>
      <c r="G35">
        <v>303.24</v>
      </c>
      <c r="H35">
        <v>4.6399999999999997</v>
      </c>
      <c r="I35">
        <v>2217.98</v>
      </c>
      <c r="J35">
        <v>331.02</v>
      </c>
      <c r="K35">
        <v>1294.02</v>
      </c>
      <c r="L35" t="s">
        <v>408</v>
      </c>
      <c r="M35">
        <v>6</v>
      </c>
      <c r="N35" s="2" t="s">
        <v>413</v>
      </c>
      <c r="O35">
        <v>17085</v>
      </c>
      <c r="P35">
        <v>24432</v>
      </c>
      <c r="Q35">
        <v>22362</v>
      </c>
      <c r="R35">
        <v>33557</v>
      </c>
      <c r="S35">
        <v>48423</v>
      </c>
      <c r="T35">
        <v>15889</v>
      </c>
      <c r="U35">
        <v>45509</v>
      </c>
      <c r="V35">
        <v>43583</v>
      </c>
      <c r="W35">
        <v>17981</v>
      </c>
      <c r="X35">
        <v>46769</v>
      </c>
      <c r="Y35">
        <v>15272</v>
      </c>
      <c r="Z35">
        <v>30135</v>
      </c>
    </row>
    <row r="36" spans="1:26">
      <c r="A36" t="s">
        <v>46</v>
      </c>
      <c r="B36" t="s">
        <v>246</v>
      </c>
      <c r="C36" t="s">
        <v>396</v>
      </c>
      <c r="D36" t="s">
        <v>401</v>
      </c>
      <c r="E36" t="s">
        <v>404</v>
      </c>
      <c r="F36">
        <v>6</v>
      </c>
      <c r="G36">
        <v>287.10000000000002</v>
      </c>
      <c r="H36">
        <v>18.7</v>
      </c>
      <c r="I36">
        <v>4216.6000000000004</v>
      </c>
      <c r="J36">
        <v>1973.76</v>
      </c>
      <c r="K36">
        <v>550.91999999999996</v>
      </c>
      <c r="L36" t="s">
        <v>408</v>
      </c>
      <c r="M36">
        <v>3</v>
      </c>
      <c r="N36" s="2" t="s">
        <v>415</v>
      </c>
      <c r="O36">
        <v>47023</v>
      </c>
      <c r="P36">
        <v>22249</v>
      </c>
      <c r="Q36">
        <v>46505</v>
      </c>
      <c r="R36">
        <v>31198</v>
      </c>
      <c r="S36">
        <v>12439</v>
      </c>
      <c r="T36">
        <v>25083</v>
      </c>
      <c r="U36">
        <v>3063</v>
      </c>
      <c r="V36">
        <v>26711</v>
      </c>
      <c r="W36">
        <v>36881</v>
      </c>
      <c r="X36">
        <v>49005</v>
      </c>
      <c r="Y36">
        <v>9389</v>
      </c>
      <c r="Z36">
        <v>19443</v>
      </c>
    </row>
    <row r="37" spans="1:26">
      <c r="A37" t="s">
        <v>47</v>
      </c>
      <c r="B37" t="s">
        <v>247</v>
      </c>
      <c r="C37" t="s">
        <v>396</v>
      </c>
      <c r="D37" t="s">
        <v>400</v>
      </c>
      <c r="E37" t="s">
        <v>406</v>
      </c>
      <c r="F37">
        <v>1</v>
      </c>
      <c r="G37">
        <v>360.93</v>
      </c>
      <c r="H37">
        <v>14.23</v>
      </c>
      <c r="I37">
        <v>2021.54</v>
      </c>
      <c r="J37">
        <v>970.84</v>
      </c>
      <c r="K37">
        <v>1282.43</v>
      </c>
      <c r="L37" t="s">
        <v>411</v>
      </c>
      <c r="M37">
        <v>7</v>
      </c>
      <c r="N37" s="2" t="s">
        <v>414</v>
      </c>
      <c r="O37">
        <v>15772</v>
      </c>
      <c r="P37">
        <v>49189</v>
      </c>
      <c r="Q37">
        <v>33153</v>
      </c>
      <c r="R37">
        <v>5491</v>
      </c>
      <c r="S37">
        <v>16486</v>
      </c>
      <c r="T37">
        <v>7455</v>
      </c>
      <c r="U37">
        <v>40972</v>
      </c>
      <c r="V37">
        <v>20484</v>
      </c>
      <c r="W37">
        <v>14418</v>
      </c>
      <c r="X37">
        <v>30712</v>
      </c>
      <c r="Y37">
        <v>19367</v>
      </c>
      <c r="Z37">
        <v>16878</v>
      </c>
    </row>
    <row r="38" spans="1:26">
      <c r="A38" t="s">
        <v>48</v>
      </c>
      <c r="B38" t="s">
        <v>248</v>
      </c>
      <c r="C38" t="s">
        <v>395</v>
      </c>
      <c r="D38" t="s">
        <v>402</v>
      </c>
      <c r="E38" t="s">
        <v>407</v>
      </c>
      <c r="F38">
        <v>5</v>
      </c>
      <c r="G38">
        <v>303.52</v>
      </c>
      <c r="H38">
        <v>10.33</v>
      </c>
      <c r="I38">
        <v>979.54</v>
      </c>
      <c r="J38">
        <v>1227.19</v>
      </c>
      <c r="K38">
        <v>163.99</v>
      </c>
      <c r="L38" t="s">
        <v>408</v>
      </c>
      <c r="M38">
        <v>7</v>
      </c>
      <c r="N38" s="2" t="s">
        <v>414</v>
      </c>
      <c r="O38">
        <v>26102</v>
      </c>
      <c r="P38">
        <v>44495</v>
      </c>
      <c r="Q38">
        <v>31215</v>
      </c>
      <c r="R38">
        <v>17459</v>
      </c>
      <c r="S38">
        <v>17647</v>
      </c>
      <c r="T38">
        <v>41687</v>
      </c>
      <c r="U38">
        <v>20944</v>
      </c>
      <c r="V38">
        <v>11909</v>
      </c>
      <c r="W38">
        <v>2628</v>
      </c>
      <c r="X38">
        <v>22324</v>
      </c>
      <c r="Y38">
        <v>12389</v>
      </c>
      <c r="Z38">
        <v>48970</v>
      </c>
    </row>
    <row r="39" spans="1:26">
      <c r="A39" t="s">
        <v>49</v>
      </c>
      <c r="B39" t="s">
        <v>249</v>
      </c>
      <c r="C39" t="s">
        <v>398</v>
      </c>
      <c r="D39" t="s">
        <v>403</v>
      </c>
      <c r="E39" t="s">
        <v>406</v>
      </c>
      <c r="F39">
        <v>9</v>
      </c>
      <c r="G39">
        <v>415.13</v>
      </c>
      <c r="H39">
        <v>10.55</v>
      </c>
      <c r="I39">
        <v>3793.12</v>
      </c>
      <c r="J39">
        <v>2581.06</v>
      </c>
      <c r="K39">
        <v>326.45999999999998</v>
      </c>
      <c r="L39" t="s">
        <v>411</v>
      </c>
      <c r="M39">
        <v>9</v>
      </c>
      <c r="N39" s="2" t="s">
        <v>413</v>
      </c>
      <c r="O39">
        <v>5409</v>
      </c>
      <c r="P39">
        <v>6495</v>
      </c>
      <c r="Q39">
        <v>11492</v>
      </c>
      <c r="R39">
        <v>40121</v>
      </c>
      <c r="S39">
        <v>23147</v>
      </c>
      <c r="T39">
        <v>32682</v>
      </c>
      <c r="U39">
        <v>27666</v>
      </c>
      <c r="V39">
        <v>47114</v>
      </c>
      <c r="W39">
        <v>13703</v>
      </c>
      <c r="X39">
        <v>16331</v>
      </c>
      <c r="Y39">
        <v>26816</v>
      </c>
      <c r="Z39">
        <v>6309</v>
      </c>
    </row>
    <row r="40" spans="1:26">
      <c r="A40" t="s">
        <v>50</v>
      </c>
      <c r="B40" t="s">
        <v>250</v>
      </c>
      <c r="C40" t="s">
        <v>397</v>
      </c>
      <c r="D40" t="s">
        <v>401</v>
      </c>
      <c r="E40" t="s">
        <v>406</v>
      </c>
      <c r="F40">
        <v>2</v>
      </c>
      <c r="G40">
        <v>479.95</v>
      </c>
      <c r="H40">
        <v>12.38</v>
      </c>
      <c r="I40">
        <v>3965.15</v>
      </c>
      <c r="J40">
        <v>76.64</v>
      </c>
      <c r="K40">
        <v>585.35</v>
      </c>
      <c r="L40" t="s">
        <v>411</v>
      </c>
      <c r="M40">
        <v>5</v>
      </c>
      <c r="N40" s="2" t="s">
        <v>415</v>
      </c>
      <c r="O40">
        <v>36794</v>
      </c>
      <c r="P40">
        <v>37984</v>
      </c>
      <c r="Q40">
        <v>48564</v>
      </c>
      <c r="R40">
        <v>42633</v>
      </c>
      <c r="S40">
        <v>1722</v>
      </c>
      <c r="T40">
        <v>26443</v>
      </c>
      <c r="U40">
        <v>45793</v>
      </c>
      <c r="V40">
        <v>44571</v>
      </c>
      <c r="W40">
        <v>7691</v>
      </c>
      <c r="X40">
        <v>7638</v>
      </c>
      <c r="Y40">
        <v>32004</v>
      </c>
      <c r="Z40">
        <v>24894</v>
      </c>
    </row>
    <row r="41" spans="1:26">
      <c r="A41" t="s">
        <v>51</v>
      </c>
      <c r="B41" t="s">
        <v>251</v>
      </c>
      <c r="C41" t="s">
        <v>396</v>
      </c>
      <c r="D41" t="s">
        <v>401</v>
      </c>
      <c r="E41" t="s">
        <v>407</v>
      </c>
      <c r="F41">
        <v>1</v>
      </c>
      <c r="G41">
        <v>177.84</v>
      </c>
      <c r="H41">
        <v>21.15</v>
      </c>
      <c r="I41">
        <v>951.39</v>
      </c>
      <c r="J41">
        <v>1785.82</v>
      </c>
      <c r="K41">
        <v>1214.24</v>
      </c>
      <c r="L41" t="s">
        <v>411</v>
      </c>
      <c r="M41">
        <v>8</v>
      </c>
      <c r="N41" s="2" t="s">
        <v>416</v>
      </c>
      <c r="O41">
        <v>2989</v>
      </c>
      <c r="P41">
        <v>39384</v>
      </c>
      <c r="Q41">
        <v>41207</v>
      </c>
      <c r="R41">
        <v>6951</v>
      </c>
      <c r="S41">
        <v>4508</v>
      </c>
      <c r="T41">
        <v>18567</v>
      </c>
      <c r="U41">
        <v>43291</v>
      </c>
      <c r="V41">
        <v>6696</v>
      </c>
      <c r="W41">
        <v>32838</v>
      </c>
      <c r="X41">
        <v>2067</v>
      </c>
      <c r="Y41">
        <v>15809</v>
      </c>
      <c r="Z41">
        <v>21486</v>
      </c>
    </row>
    <row r="42" spans="1:26">
      <c r="A42" t="s">
        <v>52</v>
      </c>
      <c r="B42" t="s">
        <v>252</v>
      </c>
      <c r="C42" t="s">
        <v>396</v>
      </c>
      <c r="D42" t="s">
        <v>403</v>
      </c>
      <c r="E42" t="s">
        <v>406</v>
      </c>
      <c r="F42">
        <v>9</v>
      </c>
      <c r="G42">
        <v>121.4</v>
      </c>
      <c r="H42">
        <v>17.95</v>
      </c>
      <c r="I42">
        <v>3877.19</v>
      </c>
      <c r="J42">
        <v>1816.21</v>
      </c>
      <c r="K42">
        <v>1367.89</v>
      </c>
      <c r="L42" t="s">
        <v>408</v>
      </c>
      <c r="M42">
        <v>8</v>
      </c>
      <c r="N42" s="2" t="s">
        <v>413</v>
      </c>
      <c r="O42">
        <v>6377</v>
      </c>
      <c r="P42">
        <v>9646</v>
      </c>
      <c r="Q42">
        <v>20564</v>
      </c>
      <c r="R42">
        <v>38997</v>
      </c>
      <c r="S42">
        <v>29066</v>
      </c>
      <c r="T42">
        <v>15555</v>
      </c>
      <c r="U42">
        <v>21733</v>
      </c>
      <c r="V42">
        <v>37525</v>
      </c>
      <c r="W42">
        <v>30793</v>
      </c>
      <c r="X42">
        <v>26669</v>
      </c>
      <c r="Y42">
        <v>42915</v>
      </c>
      <c r="Z42">
        <v>25227</v>
      </c>
    </row>
    <row r="43" spans="1:26">
      <c r="A43" t="s">
        <v>53</v>
      </c>
      <c r="B43" t="s">
        <v>253</v>
      </c>
      <c r="C43" t="s">
        <v>397</v>
      </c>
      <c r="D43" t="s">
        <v>400</v>
      </c>
      <c r="E43" t="s">
        <v>407</v>
      </c>
      <c r="F43">
        <v>9</v>
      </c>
      <c r="G43">
        <v>217.56</v>
      </c>
      <c r="H43">
        <v>13.79</v>
      </c>
      <c r="I43">
        <v>4741.76</v>
      </c>
      <c r="J43">
        <v>1220.1500000000001</v>
      </c>
      <c r="K43">
        <v>913.3</v>
      </c>
      <c r="L43" t="s">
        <v>411</v>
      </c>
      <c r="M43">
        <v>1</v>
      </c>
      <c r="N43" s="2" t="s">
        <v>414</v>
      </c>
      <c r="O43">
        <v>23118</v>
      </c>
      <c r="P43">
        <v>1187</v>
      </c>
      <c r="Q43">
        <v>26314</v>
      </c>
      <c r="R43">
        <v>13838</v>
      </c>
      <c r="S43">
        <v>16956</v>
      </c>
      <c r="T43">
        <v>13047</v>
      </c>
      <c r="U43">
        <v>19624</v>
      </c>
      <c r="V43">
        <v>46900</v>
      </c>
      <c r="W43">
        <v>14729</v>
      </c>
      <c r="X43">
        <v>6165</v>
      </c>
      <c r="Y43">
        <v>48478</v>
      </c>
      <c r="Z43">
        <v>32204</v>
      </c>
    </row>
    <row r="44" spans="1:26">
      <c r="A44" t="s">
        <v>54</v>
      </c>
      <c r="B44" t="s">
        <v>254</v>
      </c>
      <c r="C44" t="s">
        <v>396</v>
      </c>
      <c r="D44" t="s">
        <v>401</v>
      </c>
      <c r="E44" t="s">
        <v>406</v>
      </c>
      <c r="F44">
        <v>9</v>
      </c>
      <c r="G44">
        <v>151.09</v>
      </c>
      <c r="H44">
        <v>2.2799999999999998</v>
      </c>
      <c r="I44">
        <v>915.25</v>
      </c>
      <c r="J44">
        <v>749.23</v>
      </c>
      <c r="K44">
        <v>919.29</v>
      </c>
      <c r="L44" t="s">
        <v>409</v>
      </c>
      <c r="M44">
        <v>5</v>
      </c>
      <c r="N44" s="2" t="s">
        <v>416</v>
      </c>
      <c r="O44">
        <v>10875</v>
      </c>
      <c r="P44">
        <v>5319</v>
      </c>
      <c r="Q44">
        <v>31332</v>
      </c>
      <c r="R44">
        <v>39125</v>
      </c>
      <c r="S44">
        <v>45453</v>
      </c>
      <c r="T44">
        <v>42647</v>
      </c>
      <c r="U44">
        <v>3328</v>
      </c>
      <c r="V44">
        <v>2528</v>
      </c>
      <c r="W44">
        <v>24712</v>
      </c>
      <c r="X44">
        <v>33540</v>
      </c>
      <c r="Y44">
        <v>11293</v>
      </c>
      <c r="Z44">
        <v>28941</v>
      </c>
    </row>
    <row r="45" spans="1:26">
      <c r="A45" t="s">
        <v>55</v>
      </c>
      <c r="B45" t="s">
        <v>255</v>
      </c>
      <c r="C45" t="s">
        <v>395</v>
      </c>
      <c r="D45" t="s">
        <v>402</v>
      </c>
      <c r="E45" t="s">
        <v>407</v>
      </c>
      <c r="F45">
        <v>6</v>
      </c>
      <c r="G45">
        <v>311.33</v>
      </c>
      <c r="H45">
        <v>2.33</v>
      </c>
      <c r="I45">
        <v>3877.82</v>
      </c>
      <c r="J45">
        <v>742.29</v>
      </c>
      <c r="K45">
        <v>1462.81</v>
      </c>
      <c r="L45" t="s">
        <v>410</v>
      </c>
      <c r="M45">
        <v>3</v>
      </c>
      <c r="N45" s="2" t="s">
        <v>416</v>
      </c>
      <c r="O45">
        <v>10969</v>
      </c>
      <c r="P45">
        <v>4223</v>
      </c>
      <c r="Q45">
        <v>48004</v>
      </c>
      <c r="R45">
        <v>15537</v>
      </c>
      <c r="S45">
        <v>39719</v>
      </c>
      <c r="T45">
        <v>12481</v>
      </c>
      <c r="U45">
        <v>18165</v>
      </c>
      <c r="V45">
        <v>19759</v>
      </c>
      <c r="W45">
        <v>30743</v>
      </c>
      <c r="X45">
        <v>11017</v>
      </c>
      <c r="Y45">
        <v>31733</v>
      </c>
      <c r="Z45">
        <v>1142</v>
      </c>
    </row>
    <row r="46" spans="1:26">
      <c r="A46" t="s">
        <v>56</v>
      </c>
      <c r="B46" t="s">
        <v>256</v>
      </c>
      <c r="C46" t="s">
        <v>398</v>
      </c>
      <c r="D46" t="s">
        <v>401</v>
      </c>
      <c r="E46" t="s">
        <v>406</v>
      </c>
      <c r="F46">
        <v>8</v>
      </c>
      <c r="G46">
        <v>456.81</v>
      </c>
      <c r="H46">
        <v>7.0000000000000007E-2</v>
      </c>
      <c r="I46">
        <v>3572</v>
      </c>
      <c r="J46">
        <v>2656.94</v>
      </c>
      <c r="K46">
        <v>80.849999999999994</v>
      </c>
      <c r="L46" t="s">
        <v>410</v>
      </c>
      <c r="M46">
        <v>1</v>
      </c>
      <c r="N46" s="2" t="s">
        <v>414</v>
      </c>
      <c r="O46">
        <v>34452</v>
      </c>
      <c r="P46">
        <v>15058</v>
      </c>
      <c r="Q46">
        <v>22587</v>
      </c>
      <c r="R46">
        <v>16386</v>
      </c>
      <c r="S46">
        <v>43023</v>
      </c>
      <c r="T46">
        <v>9157</v>
      </c>
      <c r="U46">
        <v>14479</v>
      </c>
      <c r="V46">
        <v>29696</v>
      </c>
      <c r="W46">
        <v>38547</v>
      </c>
      <c r="X46">
        <v>47760</v>
      </c>
      <c r="Y46">
        <v>14952</v>
      </c>
      <c r="Z46">
        <v>48536</v>
      </c>
    </row>
    <row r="47" spans="1:26">
      <c r="A47" t="s">
        <v>57</v>
      </c>
      <c r="B47" t="s">
        <v>257</v>
      </c>
      <c r="C47" t="s">
        <v>397</v>
      </c>
      <c r="D47" t="s">
        <v>402</v>
      </c>
      <c r="E47" t="s">
        <v>406</v>
      </c>
      <c r="F47">
        <v>1</v>
      </c>
      <c r="G47">
        <v>78.17</v>
      </c>
      <c r="H47">
        <v>29.03</v>
      </c>
      <c r="I47">
        <v>2420.5100000000002</v>
      </c>
      <c r="J47">
        <v>1353.97</v>
      </c>
      <c r="K47">
        <v>715.13</v>
      </c>
      <c r="L47" t="s">
        <v>411</v>
      </c>
      <c r="M47">
        <v>4</v>
      </c>
      <c r="N47" s="2" t="s">
        <v>416</v>
      </c>
      <c r="O47">
        <v>20929</v>
      </c>
      <c r="P47">
        <v>8725</v>
      </c>
      <c r="Q47">
        <v>32432</v>
      </c>
      <c r="R47">
        <v>29361</v>
      </c>
      <c r="S47">
        <v>6678</v>
      </c>
      <c r="T47">
        <v>42054</v>
      </c>
      <c r="U47">
        <v>31080</v>
      </c>
      <c r="V47">
        <v>21731</v>
      </c>
      <c r="W47">
        <v>17617</v>
      </c>
      <c r="X47">
        <v>37860</v>
      </c>
      <c r="Y47">
        <v>26016</v>
      </c>
      <c r="Z47">
        <v>39705</v>
      </c>
    </row>
    <row r="48" spans="1:26">
      <c r="A48" t="s">
        <v>58</v>
      </c>
      <c r="B48" t="s">
        <v>258</v>
      </c>
      <c r="C48" t="s">
        <v>398</v>
      </c>
      <c r="D48" t="s">
        <v>403</v>
      </c>
      <c r="E48" t="s">
        <v>404</v>
      </c>
      <c r="F48">
        <v>4</v>
      </c>
      <c r="G48">
        <v>59.39</v>
      </c>
      <c r="H48">
        <v>0.16</v>
      </c>
      <c r="I48">
        <v>383.81</v>
      </c>
      <c r="J48">
        <v>1026.1199999999999</v>
      </c>
      <c r="K48">
        <v>1646.48</v>
      </c>
      <c r="L48" t="s">
        <v>410</v>
      </c>
      <c r="M48">
        <v>8</v>
      </c>
      <c r="N48" s="2" t="s">
        <v>413</v>
      </c>
      <c r="O48">
        <v>6541</v>
      </c>
      <c r="P48">
        <v>31488</v>
      </c>
      <c r="Q48">
        <v>5067</v>
      </c>
      <c r="R48">
        <v>8404</v>
      </c>
      <c r="S48">
        <v>24248</v>
      </c>
      <c r="T48">
        <v>21464</v>
      </c>
      <c r="U48">
        <v>15769</v>
      </c>
      <c r="V48">
        <v>16350</v>
      </c>
      <c r="W48">
        <v>1481</v>
      </c>
      <c r="X48">
        <v>29959</v>
      </c>
      <c r="Y48">
        <v>10057</v>
      </c>
      <c r="Z48">
        <v>16381</v>
      </c>
    </row>
    <row r="49" spans="1:26">
      <c r="A49" t="s">
        <v>59</v>
      </c>
      <c r="B49" t="s">
        <v>259</v>
      </c>
      <c r="C49" t="s">
        <v>396</v>
      </c>
      <c r="D49" t="s">
        <v>402</v>
      </c>
      <c r="E49" t="s">
        <v>404</v>
      </c>
      <c r="F49">
        <v>1</v>
      </c>
      <c r="G49">
        <v>135.44999999999999</v>
      </c>
      <c r="H49">
        <v>3.09</v>
      </c>
      <c r="I49">
        <v>466</v>
      </c>
      <c r="J49">
        <v>1373.89</v>
      </c>
      <c r="K49">
        <v>1226.28</v>
      </c>
      <c r="L49" t="s">
        <v>408</v>
      </c>
      <c r="M49">
        <v>3</v>
      </c>
      <c r="N49" s="2" t="s">
        <v>414</v>
      </c>
      <c r="O49">
        <v>39572</v>
      </c>
      <c r="P49">
        <v>12222</v>
      </c>
      <c r="Q49">
        <v>8722</v>
      </c>
      <c r="R49">
        <v>28391</v>
      </c>
      <c r="S49">
        <v>37478</v>
      </c>
      <c r="T49">
        <v>30618</v>
      </c>
      <c r="U49">
        <v>26768</v>
      </c>
      <c r="V49">
        <v>43278</v>
      </c>
      <c r="W49">
        <v>43889</v>
      </c>
      <c r="X49">
        <v>32633</v>
      </c>
      <c r="Y49">
        <v>5153</v>
      </c>
      <c r="Z49">
        <v>21462</v>
      </c>
    </row>
    <row r="50" spans="1:26">
      <c r="A50" t="s">
        <v>60</v>
      </c>
      <c r="B50" t="s">
        <v>260</v>
      </c>
      <c r="C50" t="s">
        <v>396</v>
      </c>
      <c r="D50" t="s">
        <v>403</v>
      </c>
      <c r="E50" t="s">
        <v>406</v>
      </c>
      <c r="F50">
        <v>8</v>
      </c>
      <c r="G50">
        <v>365.79</v>
      </c>
      <c r="H50">
        <v>9.44</v>
      </c>
      <c r="I50">
        <v>4276.83</v>
      </c>
      <c r="J50">
        <v>2024.7</v>
      </c>
      <c r="K50">
        <v>707.59</v>
      </c>
      <c r="L50" t="s">
        <v>408</v>
      </c>
      <c r="M50">
        <v>2</v>
      </c>
      <c r="N50" s="2" t="s">
        <v>413</v>
      </c>
      <c r="O50">
        <v>7952</v>
      </c>
      <c r="P50">
        <v>37388</v>
      </c>
      <c r="Q50">
        <v>5189</v>
      </c>
      <c r="R50">
        <v>42772</v>
      </c>
      <c r="S50">
        <v>11765</v>
      </c>
      <c r="T50">
        <v>27146</v>
      </c>
      <c r="U50">
        <v>1212</v>
      </c>
      <c r="V50">
        <v>2682</v>
      </c>
      <c r="W50">
        <v>33604</v>
      </c>
      <c r="X50">
        <v>27714</v>
      </c>
      <c r="Y50">
        <v>7487</v>
      </c>
      <c r="Z50">
        <v>16392</v>
      </c>
    </row>
    <row r="51" spans="1:26">
      <c r="A51" t="s">
        <v>61</v>
      </c>
      <c r="B51" t="s">
        <v>261</v>
      </c>
      <c r="C51" t="s">
        <v>397</v>
      </c>
      <c r="D51" t="s">
        <v>402</v>
      </c>
      <c r="E51" t="s">
        <v>406</v>
      </c>
      <c r="F51">
        <v>1</v>
      </c>
      <c r="G51">
        <v>300.55</v>
      </c>
      <c r="H51">
        <v>24.22</v>
      </c>
      <c r="I51">
        <v>4951.7299999999996</v>
      </c>
      <c r="J51">
        <v>479.98</v>
      </c>
      <c r="K51">
        <v>1815.77</v>
      </c>
      <c r="L51" t="s">
        <v>410</v>
      </c>
      <c r="M51">
        <v>9</v>
      </c>
      <c r="N51" s="2" t="s">
        <v>415</v>
      </c>
      <c r="O51">
        <v>20495</v>
      </c>
      <c r="P51">
        <v>23110</v>
      </c>
      <c r="Q51">
        <v>41001</v>
      </c>
      <c r="R51">
        <v>34866</v>
      </c>
      <c r="S51">
        <v>7667</v>
      </c>
      <c r="T51">
        <v>41632</v>
      </c>
      <c r="U51">
        <v>13173</v>
      </c>
      <c r="V51">
        <v>18129</v>
      </c>
      <c r="W51">
        <v>21404</v>
      </c>
      <c r="X51">
        <v>39613</v>
      </c>
      <c r="Y51">
        <v>27111</v>
      </c>
      <c r="Z51">
        <v>43707</v>
      </c>
    </row>
    <row r="52" spans="1:26">
      <c r="A52" t="s">
        <v>62</v>
      </c>
      <c r="B52" t="s">
        <v>262</v>
      </c>
      <c r="C52" t="s">
        <v>395</v>
      </c>
      <c r="D52" t="s">
        <v>403</v>
      </c>
      <c r="E52" t="s">
        <v>405</v>
      </c>
      <c r="F52">
        <v>3</v>
      </c>
      <c r="G52">
        <v>60.08</v>
      </c>
      <c r="H52">
        <v>28.86</v>
      </c>
      <c r="I52">
        <v>3412.66</v>
      </c>
      <c r="J52">
        <v>1375.83</v>
      </c>
      <c r="K52">
        <v>1556.61</v>
      </c>
      <c r="L52" t="s">
        <v>408</v>
      </c>
      <c r="M52">
        <v>5</v>
      </c>
      <c r="N52" s="2" t="s">
        <v>415</v>
      </c>
      <c r="O52">
        <v>34718</v>
      </c>
      <c r="P52">
        <v>2450</v>
      </c>
      <c r="Q52">
        <v>10758</v>
      </c>
      <c r="R52">
        <v>7163</v>
      </c>
      <c r="S52">
        <v>8286</v>
      </c>
      <c r="T52">
        <v>13842</v>
      </c>
      <c r="U52">
        <v>11145</v>
      </c>
      <c r="V52">
        <v>20816</v>
      </c>
      <c r="W52">
        <v>8851</v>
      </c>
      <c r="X52">
        <v>26819</v>
      </c>
      <c r="Y52">
        <v>26611</v>
      </c>
      <c r="Z52">
        <v>32494</v>
      </c>
    </row>
    <row r="53" spans="1:26">
      <c r="A53" t="s">
        <v>63</v>
      </c>
      <c r="B53" t="s">
        <v>263</v>
      </c>
      <c r="C53" t="s">
        <v>399</v>
      </c>
      <c r="D53" t="s">
        <v>402</v>
      </c>
      <c r="E53" t="s">
        <v>407</v>
      </c>
      <c r="F53">
        <v>4</v>
      </c>
      <c r="G53">
        <v>460.19</v>
      </c>
      <c r="H53">
        <v>23.7</v>
      </c>
      <c r="I53">
        <v>2285.1999999999998</v>
      </c>
      <c r="J53">
        <v>1784.26</v>
      </c>
      <c r="K53">
        <v>566.54999999999995</v>
      </c>
      <c r="L53" t="s">
        <v>410</v>
      </c>
      <c r="M53">
        <v>7</v>
      </c>
      <c r="N53" s="2" t="s">
        <v>416</v>
      </c>
      <c r="O53">
        <v>3348</v>
      </c>
      <c r="P53">
        <v>23596</v>
      </c>
      <c r="Q53">
        <v>40531</v>
      </c>
      <c r="R53">
        <v>48906</v>
      </c>
      <c r="S53">
        <v>11503</v>
      </c>
      <c r="T53">
        <v>25853</v>
      </c>
      <c r="U53">
        <v>38352</v>
      </c>
      <c r="V53">
        <v>37642</v>
      </c>
      <c r="W53">
        <v>14106</v>
      </c>
      <c r="X53">
        <v>12489</v>
      </c>
      <c r="Y53">
        <v>8410</v>
      </c>
      <c r="Z53">
        <v>47463</v>
      </c>
    </row>
    <row r="54" spans="1:26">
      <c r="A54" t="s">
        <v>64</v>
      </c>
      <c r="B54" t="s">
        <v>264</v>
      </c>
      <c r="C54" t="s">
        <v>397</v>
      </c>
      <c r="D54" t="s">
        <v>400</v>
      </c>
      <c r="E54" t="s">
        <v>405</v>
      </c>
      <c r="F54">
        <v>8</v>
      </c>
      <c r="G54">
        <v>397.14</v>
      </c>
      <c r="H54">
        <v>20.72</v>
      </c>
      <c r="I54">
        <v>3273.11</v>
      </c>
      <c r="J54">
        <v>2848.32</v>
      </c>
      <c r="K54">
        <v>1308.32</v>
      </c>
      <c r="L54" t="s">
        <v>410</v>
      </c>
      <c r="M54">
        <v>2</v>
      </c>
      <c r="N54" s="2" t="s">
        <v>414</v>
      </c>
      <c r="O54">
        <v>18192</v>
      </c>
      <c r="P54">
        <v>22171</v>
      </c>
      <c r="Q54">
        <v>26406</v>
      </c>
      <c r="R54">
        <v>3038</v>
      </c>
      <c r="S54">
        <v>36872</v>
      </c>
      <c r="T54">
        <v>29150</v>
      </c>
      <c r="U54">
        <v>32828</v>
      </c>
      <c r="V54">
        <v>8678</v>
      </c>
      <c r="W54">
        <v>23889</v>
      </c>
      <c r="X54">
        <v>1648</v>
      </c>
      <c r="Y54">
        <v>42758</v>
      </c>
      <c r="Z54">
        <v>38614</v>
      </c>
    </row>
    <row r="55" spans="1:26">
      <c r="A55" t="s">
        <v>65</v>
      </c>
      <c r="B55" t="s">
        <v>231</v>
      </c>
      <c r="C55" t="s">
        <v>399</v>
      </c>
      <c r="D55" t="s">
        <v>402</v>
      </c>
      <c r="E55" t="s">
        <v>404</v>
      </c>
      <c r="F55">
        <v>6</v>
      </c>
      <c r="G55">
        <v>21.28</v>
      </c>
      <c r="H55">
        <v>15.64</v>
      </c>
      <c r="I55">
        <v>3012.54</v>
      </c>
      <c r="J55">
        <v>794.96</v>
      </c>
      <c r="K55">
        <v>1211.71</v>
      </c>
      <c r="L55" t="s">
        <v>410</v>
      </c>
      <c r="M55">
        <v>9</v>
      </c>
      <c r="N55" s="2" t="s">
        <v>414</v>
      </c>
      <c r="O55">
        <v>9360</v>
      </c>
      <c r="P55">
        <v>16702</v>
      </c>
      <c r="Q55">
        <v>38098</v>
      </c>
      <c r="R55">
        <v>1903</v>
      </c>
      <c r="S55">
        <v>49943</v>
      </c>
      <c r="T55">
        <v>45184</v>
      </c>
      <c r="U55">
        <v>22922</v>
      </c>
      <c r="V55">
        <v>44363</v>
      </c>
      <c r="W55">
        <v>28009</v>
      </c>
      <c r="X55">
        <v>17658</v>
      </c>
      <c r="Y55">
        <v>31229</v>
      </c>
      <c r="Z55">
        <v>41437</v>
      </c>
    </row>
    <row r="56" spans="1:26">
      <c r="A56" t="s">
        <v>66</v>
      </c>
      <c r="B56" t="s">
        <v>265</v>
      </c>
      <c r="C56" t="s">
        <v>399</v>
      </c>
      <c r="D56" t="s">
        <v>402</v>
      </c>
      <c r="E56" t="s">
        <v>404</v>
      </c>
      <c r="F56">
        <v>7</v>
      </c>
      <c r="G56">
        <v>329.17</v>
      </c>
      <c r="H56">
        <v>2.6</v>
      </c>
      <c r="I56">
        <v>1979.7</v>
      </c>
      <c r="J56">
        <v>1109.79</v>
      </c>
      <c r="K56">
        <v>832.32</v>
      </c>
      <c r="L56" t="s">
        <v>411</v>
      </c>
      <c r="M56">
        <v>9</v>
      </c>
      <c r="N56" s="2" t="s">
        <v>415</v>
      </c>
      <c r="O56">
        <v>9193</v>
      </c>
      <c r="P56">
        <v>37224</v>
      </c>
      <c r="Q56">
        <v>29625</v>
      </c>
      <c r="R56">
        <v>3173</v>
      </c>
      <c r="S56">
        <v>18545</v>
      </c>
      <c r="T56">
        <v>22088</v>
      </c>
      <c r="U56">
        <v>34294</v>
      </c>
      <c r="V56">
        <v>39916</v>
      </c>
      <c r="W56">
        <v>34588</v>
      </c>
      <c r="X56">
        <v>13537</v>
      </c>
      <c r="Y56">
        <v>5331</v>
      </c>
      <c r="Z56">
        <v>48011</v>
      </c>
    </row>
    <row r="57" spans="1:26">
      <c r="A57" t="s">
        <v>67</v>
      </c>
      <c r="B57" t="s">
        <v>266</v>
      </c>
      <c r="C57" t="s">
        <v>395</v>
      </c>
      <c r="D57" t="s">
        <v>400</v>
      </c>
      <c r="E57" t="s">
        <v>404</v>
      </c>
      <c r="F57">
        <v>8</v>
      </c>
      <c r="G57">
        <v>387.91</v>
      </c>
      <c r="H57">
        <v>28.75</v>
      </c>
      <c r="I57">
        <v>421.57</v>
      </c>
      <c r="J57">
        <v>1169.1099999999999</v>
      </c>
      <c r="K57">
        <v>765.56</v>
      </c>
      <c r="L57" t="s">
        <v>410</v>
      </c>
      <c r="M57">
        <v>4</v>
      </c>
      <c r="N57" s="2" t="s">
        <v>415</v>
      </c>
      <c r="O57">
        <v>4729</v>
      </c>
      <c r="P57">
        <v>46325</v>
      </c>
      <c r="Q57">
        <v>36430</v>
      </c>
      <c r="R57">
        <v>11523</v>
      </c>
      <c r="S57">
        <v>35262</v>
      </c>
      <c r="T57">
        <v>32165</v>
      </c>
      <c r="U57">
        <v>1270</v>
      </c>
      <c r="V57">
        <v>40981</v>
      </c>
      <c r="W57">
        <v>31711</v>
      </c>
      <c r="X57">
        <v>5428</v>
      </c>
      <c r="Y57">
        <v>28682</v>
      </c>
      <c r="Z57">
        <v>40371</v>
      </c>
    </row>
    <row r="58" spans="1:26">
      <c r="A58" t="s">
        <v>68</v>
      </c>
      <c r="B58" t="s">
        <v>267</v>
      </c>
      <c r="C58" t="s">
        <v>399</v>
      </c>
      <c r="D58" t="s">
        <v>401</v>
      </c>
      <c r="E58" t="s">
        <v>404</v>
      </c>
      <c r="F58">
        <v>2</v>
      </c>
      <c r="G58">
        <v>193.47</v>
      </c>
      <c r="H58">
        <v>22.75</v>
      </c>
      <c r="I58">
        <v>4125.41</v>
      </c>
      <c r="J58">
        <v>1836.34</v>
      </c>
      <c r="K58">
        <v>719.94</v>
      </c>
      <c r="L58" t="s">
        <v>411</v>
      </c>
      <c r="M58">
        <v>4</v>
      </c>
      <c r="N58" s="2" t="s">
        <v>413</v>
      </c>
      <c r="O58">
        <v>4267</v>
      </c>
      <c r="P58">
        <v>49943</v>
      </c>
      <c r="Q58">
        <v>11770</v>
      </c>
      <c r="R58">
        <v>15271</v>
      </c>
      <c r="S58">
        <v>10696</v>
      </c>
      <c r="T58">
        <v>17653</v>
      </c>
      <c r="U58">
        <v>25309</v>
      </c>
      <c r="V58">
        <v>33411</v>
      </c>
      <c r="W58">
        <v>15250</v>
      </c>
      <c r="X58">
        <v>24994</v>
      </c>
      <c r="Y58">
        <v>10716</v>
      </c>
      <c r="Z58">
        <v>26060</v>
      </c>
    </row>
    <row r="59" spans="1:26">
      <c r="A59" t="s">
        <v>69</v>
      </c>
      <c r="B59" t="s">
        <v>219</v>
      </c>
      <c r="C59" t="s">
        <v>399</v>
      </c>
      <c r="D59" t="s">
        <v>401</v>
      </c>
      <c r="E59" t="s">
        <v>406</v>
      </c>
      <c r="F59">
        <v>8</v>
      </c>
      <c r="G59">
        <v>43.77</v>
      </c>
      <c r="H59">
        <v>19.170000000000002</v>
      </c>
      <c r="I59">
        <v>1921.98</v>
      </c>
      <c r="J59">
        <v>1102.3599999999999</v>
      </c>
      <c r="K59">
        <v>1253.45</v>
      </c>
      <c r="L59" t="s">
        <v>410</v>
      </c>
      <c r="M59">
        <v>6</v>
      </c>
      <c r="N59" s="2" t="s">
        <v>415</v>
      </c>
      <c r="O59">
        <v>10104</v>
      </c>
      <c r="P59">
        <v>19515</v>
      </c>
      <c r="Q59">
        <v>32157</v>
      </c>
      <c r="R59">
        <v>45162</v>
      </c>
      <c r="S59">
        <v>39952</v>
      </c>
      <c r="T59">
        <v>6799</v>
      </c>
      <c r="U59">
        <v>2126</v>
      </c>
      <c r="V59">
        <v>16844</v>
      </c>
      <c r="W59">
        <v>6797</v>
      </c>
      <c r="X59">
        <v>33672</v>
      </c>
      <c r="Y59">
        <v>27680</v>
      </c>
      <c r="Z59">
        <v>19974</v>
      </c>
    </row>
    <row r="60" spans="1:26">
      <c r="A60" t="s">
        <v>70</v>
      </c>
      <c r="B60" t="s">
        <v>268</v>
      </c>
      <c r="C60" t="s">
        <v>395</v>
      </c>
      <c r="D60" t="s">
        <v>402</v>
      </c>
      <c r="E60" t="s">
        <v>404</v>
      </c>
      <c r="F60">
        <v>3</v>
      </c>
      <c r="G60">
        <v>47.89</v>
      </c>
      <c r="H60">
        <v>22.77</v>
      </c>
      <c r="I60">
        <v>4112.05</v>
      </c>
      <c r="J60">
        <v>1623.86</v>
      </c>
      <c r="K60">
        <v>912.7</v>
      </c>
      <c r="L60" t="s">
        <v>410</v>
      </c>
      <c r="M60">
        <v>6</v>
      </c>
      <c r="N60" s="2" t="s">
        <v>415</v>
      </c>
      <c r="O60">
        <v>28932</v>
      </c>
      <c r="P60">
        <v>22977</v>
      </c>
      <c r="Q60">
        <v>37348</v>
      </c>
      <c r="R60">
        <v>21176</v>
      </c>
      <c r="S60">
        <v>41348</v>
      </c>
      <c r="T60">
        <v>24292</v>
      </c>
      <c r="U60">
        <v>4838</v>
      </c>
      <c r="V60">
        <v>6330</v>
      </c>
      <c r="W60">
        <v>47990</v>
      </c>
      <c r="X60">
        <v>14435</v>
      </c>
      <c r="Y60">
        <v>36284</v>
      </c>
      <c r="Z60">
        <v>19446</v>
      </c>
    </row>
    <row r="61" spans="1:26">
      <c r="A61" t="s">
        <v>71</v>
      </c>
      <c r="B61" t="s">
        <v>269</v>
      </c>
      <c r="C61" t="s">
        <v>399</v>
      </c>
      <c r="D61" t="s">
        <v>400</v>
      </c>
      <c r="E61" t="s">
        <v>406</v>
      </c>
      <c r="F61">
        <v>7</v>
      </c>
      <c r="G61">
        <v>61.08</v>
      </c>
      <c r="H61">
        <v>21.72</v>
      </c>
      <c r="I61">
        <v>1337.29</v>
      </c>
      <c r="J61">
        <v>2356.2800000000002</v>
      </c>
      <c r="K61">
        <v>1672.13</v>
      </c>
      <c r="L61" t="s">
        <v>410</v>
      </c>
      <c r="M61">
        <v>1</v>
      </c>
      <c r="N61" s="2" t="s">
        <v>414</v>
      </c>
      <c r="O61">
        <v>41047</v>
      </c>
      <c r="P61">
        <v>34355</v>
      </c>
      <c r="Q61">
        <v>22763</v>
      </c>
      <c r="R61">
        <v>43560</v>
      </c>
      <c r="S61">
        <v>22716</v>
      </c>
      <c r="T61">
        <v>24584</v>
      </c>
      <c r="U61">
        <v>29389</v>
      </c>
      <c r="V61">
        <v>5849</v>
      </c>
      <c r="W61">
        <v>11660</v>
      </c>
      <c r="X61">
        <v>10328</v>
      </c>
      <c r="Y61">
        <v>8598</v>
      </c>
      <c r="Z61">
        <v>27559</v>
      </c>
    </row>
    <row r="62" spans="1:26">
      <c r="A62" t="s">
        <v>72</v>
      </c>
      <c r="B62" t="s">
        <v>270</v>
      </c>
      <c r="C62" t="s">
        <v>399</v>
      </c>
      <c r="D62" t="s">
        <v>402</v>
      </c>
      <c r="E62" t="s">
        <v>406</v>
      </c>
      <c r="F62">
        <v>3</v>
      </c>
      <c r="G62">
        <v>421.82</v>
      </c>
      <c r="H62">
        <v>19.12</v>
      </c>
      <c r="I62">
        <v>105.04</v>
      </c>
      <c r="J62">
        <v>2130.89</v>
      </c>
      <c r="K62">
        <v>1355.73</v>
      </c>
      <c r="L62" t="s">
        <v>408</v>
      </c>
      <c r="M62">
        <v>9</v>
      </c>
      <c r="N62" s="2" t="s">
        <v>414</v>
      </c>
      <c r="O62">
        <v>25651</v>
      </c>
      <c r="P62">
        <v>46043</v>
      </c>
      <c r="Q62">
        <v>2105</v>
      </c>
      <c r="R62">
        <v>2726</v>
      </c>
      <c r="S62">
        <v>28463</v>
      </c>
      <c r="T62">
        <v>38712</v>
      </c>
      <c r="U62">
        <v>1279</v>
      </c>
      <c r="V62">
        <v>14311</v>
      </c>
      <c r="W62">
        <v>45953</v>
      </c>
      <c r="X62">
        <v>11121</v>
      </c>
      <c r="Y62">
        <v>44911</v>
      </c>
      <c r="Z62">
        <v>23299</v>
      </c>
    </row>
    <row r="63" spans="1:26">
      <c r="A63" t="s">
        <v>73</v>
      </c>
      <c r="B63" t="s">
        <v>271</v>
      </c>
      <c r="C63" t="s">
        <v>399</v>
      </c>
      <c r="D63" t="s">
        <v>403</v>
      </c>
      <c r="E63" t="s">
        <v>404</v>
      </c>
      <c r="F63">
        <v>7</v>
      </c>
      <c r="G63">
        <v>456.24</v>
      </c>
      <c r="H63">
        <v>29.42</v>
      </c>
      <c r="I63">
        <v>878.8</v>
      </c>
      <c r="J63">
        <v>1366.79</v>
      </c>
      <c r="K63">
        <v>186.37</v>
      </c>
      <c r="L63" t="s">
        <v>411</v>
      </c>
      <c r="M63">
        <v>2</v>
      </c>
      <c r="N63" s="2" t="s">
        <v>414</v>
      </c>
      <c r="O63">
        <v>2705</v>
      </c>
      <c r="P63">
        <v>24231</v>
      </c>
      <c r="Q63">
        <v>15896</v>
      </c>
      <c r="R63">
        <v>31302</v>
      </c>
      <c r="S63">
        <v>23662</v>
      </c>
      <c r="T63">
        <v>47001</v>
      </c>
      <c r="U63">
        <v>43742</v>
      </c>
      <c r="V63">
        <v>32237</v>
      </c>
      <c r="W63">
        <v>46966</v>
      </c>
      <c r="X63">
        <v>7460</v>
      </c>
      <c r="Y63">
        <v>3186</v>
      </c>
      <c r="Z63">
        <v>45595</v>
      </c>
    </row>
    <row r="64" spans="1:26">
      <c r="A64" t="s">
        <v>74</v>
      </c>
      <c r="B64" t="s">
        <v>272</v>
      </c>
      <c r="C64" t="s">
        <v>397</v>
      </c>
      <c r="D64" t="s">
        <v>403</v>
      </c>
      <c r="E64" t="s">
        <v>404</v>
      </c>
      <c r="F64">
        <v>2</v>
      </c>
      <c r="G64">
        <v>70.180000000000007</v>
      </c>
      <c r="H64">
        <v>27.1</v>
      </c>
      <c r="I64">
        <v>2395.84</v>
      </c>
      <c r="J64">
        <v>2599.44</v>
      </c>
      <c r="K64">
        <v>1298.33</v>
      </c>
      <c r="L64" t="s">
        <v>411</v>
      </c>
      <c r="M64">
        <v>5</v>
      </c>
      <c r="N64" s="2" t="s">
        <v>414</v>
      </c>
      <c r="O64">
        <v>29999</v>
      </c>
      <c r="P64">
        <v>9738</v>
      </c>
      <c r="Q64">
        <v>34315</v>
      </c>
      <c r="R64">
        <v>37358</v>
      </c>
      <c r="S64">
        <v>19644</v>
      </c>
      <c r="T64">
        <v>43283</v>
      </c>
      <c r="U64">
        <v>40755</v>
      </c>
      <c r="V64">
        <v>12695</v>
      </c>
      <c r="W64">
        <v>48092</v>
      </c>
      <c r="X64">
        <v>45532</v>
      </c>
      <c r="Y64">
        <v>42193</v>
      </c>
      <c r="Z64">
        <v>32671</v>
      </c>
    </row>
    <row r="65" spans="1:26">
      <c r="A65" t="s">
        <v>75</v>
      </c>
      <c r="B65" t="s">
        <v>273</v>
      </c>
      <c r="C65" t="s">
        <v>397</v>
      </c>
      <c r="D65" t="s">
        <v>402</v>
      </c>
      <c r="E65" t="s">
        <v>407</v>
      </c>
      <c r="F65">
        <v>6</v>
      </c>
      <c r="G65">
        <v>125.59</v>
      </c>
      <c r="H65">
        <v>19.399999999999999</v>
      </c>
      <c r="I65">
        <v>4727.09</v>
      </c>
      <c r="J65">
        <v>1696.51</v>
      </c>
      <c r="K65">
        <v>578.74</v>
      </c>
      <c r="L65" t="s">
        <v>410</v>
      </c>
      <c r="M65">
        <v>9</v>
      </c>
      <c r="N65" s="2" t="s">
        <v>413</v>
      </c>
      <c r="O65">
        <v>22209</v>
      </c>
      <c r="P65">
        <v>22039</v>
      </c>
      <c r="Q65">
        <v>11005</v>
      </c>
      <c r="R65">
        <v>39088</v>
      </c>
      <c r="S65">
        <v>20260</v>
      </c>
      <c r="T65">
        <v>42258</v>
      </c>
      <c r="U65">
        <v>29199</v>
      </c>
      <c r="V65">
        <v>44613</v>
      </c>
      <c r="W65">
        <v>14361</v>
      </c>
      <c r="X65">
        <v>27303</v>
      </c>
      <c r="Y65">
        <v>37281</v>
      </c>
      <c r="Z65">
        <v>37347</v>
      </c>
    </row>
    <row r="66" spans="1:26">
      <c r="A66" t="s">
        <v>76</v>
      </c>
      <c r="B66" t="s">
        <v>274</v>
      </c>
      <c r="C66" t="s">
        <v>397</v>
      </c>
      <c r="D66" t="s">
        <v>401</v>
      </c>
      <c r="E66" t="s">
        <v>405</v>
      </c>
      <c r="F66">
        <v>3</v>
      </c>
      <c r="G66">
        <v>91.11</v>
      </c>
      <c r="H66">
        <v>20.8</v>
      </c>
      <c r="I66">
        <v>600.75</v>
      </c>
      <c r="J66">
        <v>1642.72</v>
      </c>
      <c r="K66">
        <v>1205.98</v>
      </c>
      <c r="L66" t="s">
        <v>410</v>
      </c>
      <c r="M66">
        <v>4</v>
      </c>
      <c r="N66" s="2" t="s">
        <v>414</v>
      </c>
      <c r="O66">
        <v>18741</v>
      </c>
      <c r="P66">
        <v>13378</v>
      </c>
      <c r="Q66">
        <v>36978</v>
      </c>
      <c r="R66">
        <v>43702</v>
      </c>
      <c r="S66">
        <v>44418</v>
      </c>
      <c r="T66">
        <v>35851</v>
      </c>
      <c r="U66">
        <v>29479</v>
      </c>
      <c r="V66">
        <v>15317</v>
      </c>
      <c r="W66">
        <v>25367</v>
      </c>
      <c r="X66">
        <v>26223</v>
      </c>
      <c r="Y66">
        <v>38113</v>
      </c>
      <c r="Z66">
        <v>4987</v>
      </c>
    </row>
    <row r="67" spans="1:26">
      <c r="A67" t="s">
        <v>77</v>
      </c>
      <c r="B67" t="s">
        <v>275</v>
      </c>
      <c r="C67" t="s">
        <v>395</v>
      </c>
      <c r="D67" t="s">
        <v>401</v>
      </c>
      <c r="E67" t="s">
        <v>404</v>
      </c>
      <c r="F67">
        <v>3</v>
      </c>
      <c r="G67">
        <v>101.3</v>
      </c>
      <c r="H67">
        <v>1.55</v>
      </c>
      <c r="I67">
        <v>4285.63</v>
      </c>
      <c r="J67">
        <v>150.85</v>
      </c>
      <c r="K67">
        <v>1376.26</v>
      </c>
      <c r="L67" t="s">
        <v>408</v>
      </c>
      <c r="M67">
        <v>3</v>
      </c>
      <c r="N67" s="2" t="s">
        <v>413</v>
      </c>
      <c r="O67">
        <v>40134</v>
      </c>
      <c r="P67">
        <v>47230</v>
      </c>
      <c r="Q67">
        <v>31954</v>
      </c>
      <c r="R67">
        <v>45009</v>
      </c>
      <c r="S67">
        <v>10214</v>
      </c>
      <c r="T67">
        <v>2196</v>
      </c>
      <c r="U67">
        <v>29018</v>
      </c>
      <c r="V67">
        <v>29136</v>
      </c>
      <c r="W67">
        <v>22107</v>
      </c>
      <c r="X67">
        <v>2922</v>
      </c>
      <c r="Y67">
        <v>47313</v>
      </c>
      <c r="Z67">
        <v>4897</v>
      </c>
    </row>
    <row r="68" spans="1:26">
      <c r="A68" t="s">
        <v>78</v>
      </c>
      <c r="B68" t="s">
        <v>276</v>
      </c>
      <c r="C68" t="s">
        <v>396</v>
      </c>
      <c r="D68" t="s">
        <v>402</v>
      </c>
      <c r="E68" t="s">
        <v>407</v>
      </c>
      <c r="F68">
        <v>9</v>
      </c>
      <c r="G68">
        <v>420.37</v>
      </c>
      <c r="H68">
        <v>20.100000000000001</v>
      </c>
      <c r="I68">
        <v>2682.42</v>
      </c>
      <c r="J68">
        <v>2960.74</v>
      </c>
      <c r="K68">
        <v>500.12</v>
      </c>
      <c r="L68" t="s">
        <v>408</v>
      </c>
      <c r="M68">
        <v>7</v>
      </c>
      <c r="N68" s="2" t="s">
        <v>415</v>
      </c>
      <c r="O68">
        <v>25717</v>
      </c>
      <c r="P68">
        <v>37959</v>
      </c>
      <c r="Q68">
        <v>49533</v>
      </c>
      <c r="R68">
        <v>4508</v>
      </c>
      <c r="S68">
        <v>35422</v>
      </c>
      <c r="T68">
        <v>21284</v>
      </c>
      <c r="U68">
        <v>49664</v>
      </c>
      <c r="V68">
        <v>47588</v>
      </c>
      <c r="W68">
        <v>35627</v>
      </c>
      <c r="X68">
        <v>11465</v>
      </c>
      <c r="Y68">
        <v>3511</v>
      </c>
      <c r="Z68">
        <v>9975</v>
      </c>
    </row>
    <row r="69" spans="1:26">
      <c r="A69" t="s">
        <v>79</v>
      </c>
      <c r="B69" t="s">
        <v>277</v>
      </c>
      <c r="C69" t="s">
        <v>399</v>
      </c>
      <c r="D69" t="s">
        <v>402</v>
      </c>
      <c r="E69" t="s">
        <v>407</v>
      </c>
      <c r="F69">
        <v>7</v>
      </c>
      <c r="G69">
        <v>172.75</v>
      </c>
      <c r="H69">
        <v>1.32</v>
      </c>
      <c r="I69">
        <v>4147.01</v>
      </c>
      <c r="J69">
        <v>412.76</v>
      </c>
      <c r="K69">
        <v>940.87</v>
      </c>
      <c r="L69" t="s">
        <v>408</v>
      </c>
      <c r="M69">
        <v>6</v>
      </c>
      <c r="N69" s="2" t="s">
        <v>415</v>
      </c>
      <c r="O69">
        <v>45417</v>
      </c>
      <c r="P69">
        <v>21282</v>
      </c>
      <c r="Q69">
        <v>24049</v>
      </c>
      <c r="R69">
        <v>39850</v>
      </c>
      <c r="S69">
        <v>21171</v>
      </c>
      <c r="T69">
        <v>34448</v>
      </c>
      <c r="U69">
        <v>13681</v>
      </c>
      <c r="V69">
        <v>15044</v>
      </c>
      <c r="W69">
        <v>45637</v>
      </c>
      <c r="X69">
        <v>8388</v>
      </c>
      <c r="Y69">
        <v>10863</v>
      </c>
      <c r="Z69">
        <v>45125</v>
      </c>
    </row>
    <row r="70" spans="1:26">
      <c r="A70" t="s">
        <v>80</v>
      </c>
      <c r="B70" t="s">
        <v>278</v>
      </c>
      <c r="C70" t="s">
        <v>399</v>
      </c>
      <c r="D70" t="s">
        <v>403</v>
      </c>
      <c r="E70" t="s">
        <v>405</v>
      </c>
      <c r="F70">
        <v>5</v>
      </c>
      <c r="G70">
        <v>162.61000000000001</v>
      </c>
      <c r="H70">
        <v>17.649999999999999</v>
      </c>
      <c r="I70">
        <v>1562.03</v>
      </c>
      <c r="J70">
        <v>731.84</v>
      </c>
      <c r="K70">
        <v>421.13</v>
      </c>
      <c r="L70" t="s">
        <v>411</v>
      </c>
      <c r="M70">
        <v>8</v>
      </c>
      <c r="N70" s="2" t="s">
        <v>413</v>
      </c>
      <c r="O70">
        <v>33196</v>
      </c>
      <c r="P70">
        <v>44287</v>
      </c>
      <c r="Q70">
        <v>49368</v>
      </c>
      <c r="R70">
        <v>41206</v>
      </c>
      <c r="S70">
        <v>26250</v>
      </c>
      <c r="T70">
        <v>1146</v>
      </c>
      <c r="U70">
        <v>29507</v>
      </c>
      <c r="V70">
        <v>16916</v>
      </c>
      <c r="W70">
        <v>20003</v>
      </c>
      <c r="X70">
        <v>41032</v>
      </c>
      <c r="Y70">
        <v>30526</v>
      </c>
      <c r="Z70">
        <v>30425</v>
      </c>
    </row>
    <row r="71" spans="1:26">
      <c r="A71" t="s">
        <v>81</v>
      </c>
      <c r="B71" t="s">
        <v>279</v>
      </c>
      <c r="C71" t="s">
        <v>395</v>
      </c>
      <c r="D71" t="s">
        <v>401</v>
      </c>
      <c r="E71" t="s">
        <v>406</v>
      </c>
      <c r="F71">
        <v>7</v>
      </c>
      <c r="G71">
        <v>121.42</v>
      </c>
      <c r="H71">
        <v>29.98</v>
      </c>
      <c r="I71">
        <v>4215.74</v>
      </c>
      <c r="J71">
        <v>202.51</v>
      </c>
      <c r="K71">
        <v>152.06</v>
      </c>
      <c r="L71" t="s">
        <v>411</v>
      </c>
      <c r="M71">
        <v>3</v>
      </c>
      <c r="N71" s="2" t="s">
        <v>416</v>
      </c>
      <c r="O71">
        <v>27613</v>
      </c>
      <c r="P71">
        <v>5157</v>
      </c>
      <c r="Q71">
        <v>17646</v>
      </c>
      <c r="R71">
        <v>43933</v>
      </c>
      <c r="S71">
        <v>7605</v>
      </c>
      <c r="T71">
        <v>45063</v>
      </c>
      <c r="U71">
        <v>17454</v>
      </c>
      <c r="V71">
        <v>16367</v>
      </c>
      <c r="W71">
        <v>10850</v>
      </c>
      <c r="X71">
        <v>11807</v>
      </c>
      <c r="Y71">
        <v>36304</v>
      </c>
      <c r="Z71">
        <v>11678</v>
      </c>
    </row>
    <row r="72" spans="1:26">
      <c r="A72" t="s">
        <v>82</v>
      </c>
      <c r="B72" t="s">
        <v>280</v>
      </c>
      <c r="C72" t="s">
        <v>399</v>
      </c>
      <c r="D72" t="s">
        <v>402</v>
      </c>
      <c r="E72" t="s">
        <v>404</v>
      </c>
      <c r="F72">
        <v>9</v>
      </c>
      <c r="G72">
        <v>307.87</v>
      </c>
      <c r="H72">
        <v>16.670000000000002</v>
      </c>
      <c r="I72">
        <v>3886.83</v>
      </c>
      <c r="J72">
        <v>1938.01</v>
      </c>
      <c r="K72">
        <v>788.03</v>
      </c>
      <c r="L72" t="s">
        <v>411</v>
      </c>
      <c r="M72">
        <v>5</v>
      </c>
      <c r="N72" s="2" t="s">
        <v>414</v>
      </c>
      <c r="O72">
        <v>27585</v>
      </c>
      <c r="P72">
        <v>1037</v>
      </c>
      <c r="Q72">
        <v>11419</v>
      </c>
      <c r="R72">
        <v>35534</v>
      </c>
      <c r="S72">
        <v>38007</v>
      </c>
      <c r="T72">
        <v>21506</v>
      </c>
      <c r="U72">
        <v>49225</v>
      </c>
      <c r="V72">
        <v>44160</v>
      </c>
      <c r="W72">
        <v>9200</v>
      </c>
      <c r="X72">
        <v>16007</v>
      </c>
      <c r="Y72">
        <v>16029</v>
      </c>
      <c r="Z72">
        <v>42581</v>
      </c>
    </row>
    <row r="73" spans="1:26">
      <c r="A73" t="s">
        <v>83</v>
      </c>
      <c r="B73" t="s">
        <v>281</v>
      </c>
      <c r="C73" t="s">
        <v>397</v>
      </c>
      <c r="D73" t="s">
        <v>403</v>
      </c>
      <c r="E73" t="s">
        <v>405</v>
      </c>
      <c r="F73">
        <v>1</v>
      </c>
      <c r="G73">
        <v>195.86</v>
      </c>
      <c r="H73">
        <v>14.2</v>
      </c>
      <c r="I73">
        <v>1227.26</v>
      </c>
      <c r="J73">
        <v>712.87</v>
      </c>
      <c r="K73">
        <v>757.74</v>
      </c>
      <c r="L73" t="s">
        <v>410</v>
      </c>
      <c r="M73">
        <v>4</v>
      </c>
      <c r="N73" s="2" t="s">
        <v>416</v>
      </c>
      <c r="O73">
        <v>41735</v>
      </c>
      <c r="P73">
        <v>43648</v>
      </c>
      <c r="Q73">
        <v>48705</v>
      </c>
      <c r="R73">
        <v>41332</v>
      </c>
      <c r="S73">
        <v>44113</v>
      </c>
      <c r="T73">
        <v>20407</v>
      </c>
      <c r="U73">
        <v>40706</v>
      </c>
      <c r="V73">
        <v>35388</v>
      </c>
      <c r="W73">
        <v>47277</v>
      </c>
      <c r="X73">
        <v>39567</v>
      </c>
      <c r="Y73">
        <v>16183</v>
      </c>
      <c r="Z73">
        <v>29844</v>
      </c>
    </row>
    <row r="74" spans="1:26">
      <c r="A74" t="s">
        <v>84</v>
      </c>
      <c r="B74" t="s">
        <v>282</v>
      </c>
      <c r="C74" t="s">
        <v>396</v>
      </c>
      <c r="D74" t="s">
        <v>401</v>
      </c>
      <c r="E74" t="s">
        <v>404</v>
      </c>
      <c r="F74">
        <v>7</v>
      </c>
      <c r="G74">
        <v>374.68</v>
      </c>
      <c r="H74">
        <v>9.39</v>
      </c>
      <c r="I74">
        <v>743.54</v>
      </c>
      <c r="J74">
        <v>581.03</v>
      </c>
      <c r="K74">
        <v>1991.19</v>
      </c>
      <c r="L74" t="s">
        <v>411</v>
      </c>
      <c r="M74">
        <v>4</v>
      </c>
      <c r="N74" s="2" t="s">
        <v>414</v>
      </c>
      <c r="O74">
        <v>12443</v>
      </c>
      <c r="P74">
        <v>9788</v>
      </c>
      <c r="Q74">
        <v>38501</v>
      </c>
      <c r="R74">
        <v>26694</v>
      </c>
      <c r="S74">
        <v>18094</v>
      </c>
      <c r="T74">
        <v>17644</v>
      </c>
      <c r="U74">
        <v>15022</v>
      </c>
      <c r="V74">
        <v>12048</v>
      </c>
      <c r="W74">
        <v>25491</v>
      </c>
      <c r="X74">
        <v>25016</v>
      </c>
      <c r="Y74">
        <v>23603</v>
      </c>
      <c r="Z74">
        <v>21031</v>
      </c>
    </row>
    <row r="75" spans="1:26">
      <c r="A75" t="s">
        <v>85</v>
      </c>
      <c r="B75" t="s">
        <v>283</v>
      </c>
      <c r="C75" t="s">
        <v>398</v>
      </c>
      <c r="D75" t="s">
        <v>400</v>
      </c>
      <c r="E75" t="s">
        <v>407</v>
      </c>
      <c r="F75">
        <v>6</v>
      </c>
      <c r="G75">
        <v>110.73</v>
      </c>
      <c r="H75">
        <v>3.62</v>
      </c>
      <c r="I75">
        <v>4353.47</v>
      </c>
      <c r="J75">
        <v>311.24</v>
      </c>
      <c r="K75">
        <v>920.39</v>
      </c>
      <c r="L75" t="s">
        <v>409</v>
      </c>
      <c r="M75">
        <v>4</v>
      </c>
      <c r="N75" s="2" t="s">
        <v>416</v>
      </c>
      <c r="O75">
        <v>36856</v>
      </c>
      <c r="P75">
        <v>44086</v>
      </c>
      <c r="Q75">
        <v>6549</v>
      </c>
      <c r="R75">
        <v>34671</v>
      </c>
      <c r="S75">
        <v>15800</v>
      </c>
      <c r="T75">
        <v>43313</v>
      </c>
      <c r="U75">
        <v>18618</v>
      </c>
      <c r="V75">
        <v>39346</v>
      </c>
      <c r="W75">
        <v>42976</v>
      </c>
      <c r="X75">
        <v>49063</v>
      </c>
      <c r="Y75">
        <v>9787</v>
      </c>
      <c r="Z75">
        <v>31647</v>
      </c>
    </row>
    <row r="76" spans="1:26">
      <c r="A76" t="s">
        <v>86</v>
      </c>
      <c r="B76" t="s">
        <v>284</v>
      </c>
      <c r="C76" t="s">
        <v>399</v>
      </c>
      <c r="D76" t="s">
        <v>403</v>
      </c>
      <c r="E76" t="s">
        <v>407</v>
      </c>
      <c r="F76">
        <v>9</v>
      </c>
      <c r="G76">
        <v>396.02</v>
      </c>
      <c r="H76">
        <v>21.93</v>
      </c>
      <c r="I76">
        <v>4819.8599999999997</v>
      </c>
      <c r="J76">
        <v>354.76</v>
      </c>
      <c r="K76">
        <v>700.46</v>
      </c>
      <c r="L76" t="s">
        <v>409</v>
      </c>
      <c r="M76">
        <v>8</v>
      </c>
      <c r="N76" s="2" t="s">
        <v>414</v>
      </c>
      <c r="O76">
        <v>20341</v>
      </c>
      <c r="P76">
        <v>28979</v>
      </c>
      <c r="Q76">
        <v>43719</v>
      </c>
      <c r="R76">
        <v>48426</v>
      </c>
      <c r="S76">
        <v>23728</v>
      </c>
      <c r="T76">
        <v>30387</v>
      </c>
      <c r="U76">
        <v>38751</v>
      </c>
      <c r="V76">
        <v>39717</v>
      </c>
      <c r="W76">
        <v>40972</v>
      </c>
      <c r="X76">
        <v>25446</v>
      </c>
      <c r="Y76">
        <v>29171</v>
      </c>
      <c r="Z76">
        <v>31921</v>
      </c>
    </row>
    <row r="77" spans="1:26">
      <c r="A77" t="s">
        <v>87</v>
      </c>
      <c r="B77" t="s">
        <v>285</v>
      </c>
      <c r="C77" t="s">
        <v>397</v>
      </c>
      <c r="D77" t="s">
        <v>401</v>
      </c>
      <c r="E77" t="s">
        <v>406</v>
      </c>
      <c r="F77">
        <v>1</v>
      </c>
      <c r="G77">
        <v>305.82</v>
      </c>
      <c r="H77">
        <v>5.78</v>
      </c>
      <c r="I77">
        <v>253.38</v>
      </c>
      <c r="J77">
        <v>1774.78</v>
      </c>
      <c r="K77">
        <v>1181.93</v>
      </c>
      <c r="L77" t="s">
        <v>408</v>
      </c>
      <c r="M77">
        <v>6</v>
      </c>
      <c r="N77" s="2" t="s">
        <v>416</v>
      </c>
      <c r="O77">
        <v>18201</v>
      </c>
      <c r="P77">
        <v>30533</v>
      </c>
      <c r="Q77">
        <v>2852</v>
      </c>
      <c r="R77">
        <v>49965</v>
      </c>
      <c r="S77">
        <v>21585</v>
      </c>
      <c r="T77">
        <v>27651</v>
      </c>
      <c r="U77">
        <v>3343</v>
      </c>
      <c r="V77">
        <v>21416</v>
      </c>
      <c r="W77">
        <v>43642</v>
      </c>
      <c r="X77">
        <v>14492</v>
      </c>
      <c r="Y77">
        <v>20884</v>
      </c>
      <c r="Z77">
        <v>44670</v>
      </c>
    </row>
    <row r="78" spans="1:26">
      <c r="A78" t="s">
        <v>88</v>
      </c>
      <c r="B78" t="s">
        <v>286</v>
      </c>
      <c r="C78" t="s">
        <v>398</v>
      </c>
      <c r="D78" t="s">
        <v>401</v>
      </c>
      <c r="E78" t="s">
        <v>407</v>
      </c>
      <c r="F78">
        <v>4</v>
      </c>
      <c r="G78">
        <v>65.989999999999995</v>
      </c>
      <c r="H78">
        <v>3.46</v>
      </c>
      <c r="I78">
        <v>3683.22</v>
      </c>
      <c r="J78">
        <v>2080.21</v>
      </c>
      <c r="K78">
        <v>223.1</v>
      </c>
      <c r="L78" t="s">
        <v>411</v>
      </c>
      <c r="M78">
        <v>3</v>
      </c>
      <c r="N78" s="2" t="s">
        <v>413</v>
      </c>
      <c r="O78">
        <v>8383</v>
      </c>
      <c r="P78">
        <v>15247</v>
      </c>
      <c r="Q78">
        <v>43585</v>
      </c>
      <c r="R78">
        <v>5712</v>
      </c>
      <c r="S78">
        <v>25895</v>
      </c>
      <c r="T78">
        <v>22519</v>
      </c>
      <c r="U78">
        <v>18114</v>
      </c>
      <c r="V78">
        <v>44669</v>
      </c>
      <c r="W78">
        <v>26326</v>
      </c>
      <c r="X78">
        <v>47150</v>
      </c>
      <c r="Y78">
        <v>47709</v>
      </c>
      <c r="Z78">
        <v>37663</v>
      </c>
    </row>
    <row r="79" spans="1:26">
      <c r="A79" t="s">
        <v>89</v>
      </c>
      <c r="B79" t="s">
        <v>287</v>
      </c>
      <c r="C79" t="s">
        <v>396</v>
      </c>
      <c r="D79" t="s">
        <v>403</v>
      </c>
      <c r="E79" t="s">
        <v>407</v>
      </c>
      <c r="F79">
        <v>9</v>
      </c>
      <c r="G79">
        <v>213.11</v>
      </c>
      <c r="H79">
        <v>12.65</v>
      </c>
      <c r="I79">
        <v>4556.67</v>
      </c>
      <c r="J79">
        <v>1222.27</v>
      </c>
      <c r="K79">
        <v>1925.25</v>
      </c>
      <c r="L79" t="s">
        <v>409</v>
      </c>
      <c r="M79">
        <v>5</v>
      </c>
      <c r="N79" s="2" t="s">
        <v>413</v>
      </c>
      <c r="O79">
        <v>28601</v>
      </c>
      <c r="P79">
        <v>11220</v>
      </c>
      <c r="Q79">
        <v>23199</v>
      </c>
      <c r="R79">
        <v>16508</v>
      </c>
      <c r="S79">
        <v>30673</v>
      </c>
      <c r="T79">
        <v>26620</v>
      </c>
      <c r="U79">
        <v>31733</v>
      </c>
      <c r="V79">
        <v>47251</v>
      </c>
      <c r="W79">
        <v>21546</v>
      </c>
      <c r="X79">
        <v>40117</v>
      </c>
      <c r="Y79">
        <v>19245</v>
      </c>
      <c r="Z79">
        <v>31568</v>
      </c>
    </row>
    <row r="80" spans="1:26">
      <c r="A80" t="s">
        <v>90</v>
      </c>
      <c r="B80" t="s">
        <v>288</v>
      </c>
      <c r="C80" t="s">
        <v>398</v>
      </c>
      <c r="D80" t="s">
        <v>400</v>
      </c>
      <c r="E80" t="s">
        <v>405</v>
      </c>
      <c r="F80">
        <v>4</v>
      </c>
      <c r="G80">
        <v>433.12</v>
      </c>
      <c r="H80">
        <v>23.86</v>
      </c>
      <c r="I80">
        <v>4301.0600000000004</v>
      </c>
      <c r="J80">
        <v>1465.7</v>
      </c>
      <c r="K80">
        <v>1288.17</v>
      </c>
      <c r="L80" t="s">
        <v>408</v>
      </c>
      <c r="M80">
        <v>6</v>
      </c>
      <c r="N80" s="2" t="s">
        <v>414</v>
      </c>
      <c r="O80">
        <v>47319</v>
      </c>
      <c r="P80">
        <v>14856</v>
      </c>
      <c r="Q80">
        <v>14098</v>
      </c>
      <c r="R80">
        <v>37899</v>
      </c>
      <c r="S80">
        <v>12190</v>
      </c>
      <c r="T80">
        <v>25292</v>
      </c>
      <c r="U80">
        <v>25733</v>
      </c>
      <c r="V80">
        <v>42475</v>
      </c>
      <c r="W80">
        <v>15469</v>
      </c>
      <c r="X80">
        <v>9977</v>
      </c>
      <c r="Y80">
        <v>20490</v>
      </c>
      <c r="Z80">
        <v>40465</v>
      </c>
    </row>
    <row r="81" spans="1:26">
      <c r="A81" t="s">
        <v>91</v>
      </c>
      <c r="B81" t="s">
        <v>289</v>
      </c>
      <c r="C81" t="s">
        <v>397</v>
      </c>
      <c r="D81" t="s">
        <v>403</v>
      </c>
      <c r="E81" t="s">
        <v>404</v>
      </c>
      <c r="F81">
        <v>3</v>
      </c>
      <c r="G81">
        <v>462.25</v>
      </c>
      <c r="H81">
        <v>22.35</v>
      </c>
      <c r="I81">
        <v>4826.1499999999996</v>
      </c>
      <c r="J81">
        <v>2073.6</v>
      </c>
      <c r="K81">
        <v>1521.93</v>
      </c>
      <c r="L81" t="s">
        <v>411</v>
      </c>
      <c r="M81">
        <v>5</v>
      </c>
      <c r="N81" s="2" t="s">
        <v>414</v>
      </c>
      <c r="O81">
        <v>12951</v>
      </c>
      <c r="P81">
        <v>14553</v>
      </c>
      <c r="Q81">
        <v>28680</v>
      </c>
      <c r="R81">
        <v>32975</v>
      </c>
      <c r="S81">
        <v>25331</v>
      </c>
      <c r="T81">
        <v>34166</v>
      </c>
      <c r="U81">
        <v>24880</v>
      </c>
      <c r="V81">
        <v>43466</v>
      </c>
      <c r="W81">
        <v>33014</v>
      </c>
      <c r="X81">
        <v>40991</v>
      </c>
      <c r="Y81">
        <v>9390</v>
      </c>
      <c r="Z81">
        <v>6791</v>
      </c>
    </row>
    <row r="82" spans="1:26">
      <c r="A82" t="s">
        <v>92</v>
      </c>
      <c r="B82" t="s">
        <v>290</v>
      </c>
      <c r="C82" t="s">
        <v>398</v>
      </c>
      <c r="D82" t="s">
        <v>401</v>
      </c>
      <c r="E82" t="s">
        <v>404</v>
      </c>
      <c r="F82">
        <v>9</v>
      </c>
      <c r="G82">
        <v>238.19</v>
      </c>
      <c r="H82">
        <v>1.65</v>
      </c>
      <c r="I82">
        <v>3824.46</v>
      </c>
      <c r="J82">
        <v>101.27</v>
      </c>
      <c r="K82">
        <v>382.43</v>
      </c>
      <c r="L82" t="s">
        <v>410</v>
      </c>
      <c r="M82">
        <v>6</v>
      </c>
      <c r="N82" s="2" t="s">
        <v>415</v>
      </c>
      <c r="O82">
        <v>44718</v>
      </c>
      <c r="P82">
        <v>20681</v>
      </c>
      <c r="Q82">
        <v>20383</v>
      </c>
      <c r="R82">
        <v>47910</v>
      </c>
      <c r="S82">
        <v>46464</v>
      </c>
      <c r="T82">
        <v>6670</v>
      </c>
      <c r="U82">
        <v>21312</v>
      </c>
      <c r="V82">
        <v>25829</v>
      </c>
      <c r="W82">
        <v>49224</v>
      </c>
      <c r="X82">
        <v>40787</v>
      </c>
      <c r="Y82">
        <v>37074</v>
      </c>
      <c r="Z82">
        <v>3958</v>
      </c>
    </row>
    <row r="83" spans="1:26">
      <c r="A83" t="s">
        <v>93</v>
      </c>
      <c r="B83" t="s">
        <v>229</v>
      </c>
      <c r="C83" t="s">
        <v>395</v>
      </c>
      <c r="D83" t="s">
        <v>402</v>
      </c>
      <c r="E83" t="s">
        <v>405</v>
      </c>
      <c r="F83">
        <v>2</v>
      </c>
      <c r="G83">
        <v>245.61</v>
      </c>
      <c r="H83">
        <v>13.65</v>
      </c>
      <c r="I83">
        <v>2267.2600000000002</v>
      </c>
      <c r="J83">
        <v>1003.24</v>
      </c>
      <c r="K83">
        <v>848.48</v>
      </c>
      <c r="L83" t="s">
        <v>409</v>
      </c>
      <c r="M83">
        <v>8</v>
      </c>
      <c r="N83" s="2" t="s">
        <v>414</v>
      </c>
      <c r="O83">
        <v>11590</v>
      </c>
      <c r="P83">
        <v>48048</v>
      </c>
      <c r="Q83">
        <v>13520</v>
      </c>
      <c r="R83">
        <v>1161</v>
      </c>
      <c r="S83">
        <v>48013</v>
      </c>
      <c r="T83">
        <v>46171</v>
      </c>
      <c r="U83">
        <v>23692</v>
      </c>
      <c r="V83">
        <v>40585</v>
      </c>
      <c r="W83">
        <v>19048</v>
      </c>
      <c r="X83">
        <v>39746</v>
      </c>
      <c r="Y83">
        <v>21332</v>
      </c>
      <c r="Z83">
        <v>38982</v>
      </c>
    </row>
    <row r="84" spans="1:26">
      <c r="A84" t="s">
        <v>94</v>
      </c>
      <c r="B84" t="s">
        <v>271</v>
      </c>
      <c r="C84" t="s">
        <v>398</v>
      </c>
      <c r="D84" t="s">
        <v>402</v>
      </c>
      <c r="E84" t="s">
        <v>406</v>
      </c>
      <c r="F84">
        <v>4</v>
      </c>
      <c r="G84">
        <v>460.04</v>
      </c>
      <c r="H84">
        <v>15.67</v>
      </c>
      <c r="I84">
        <v>1628.56</v>
      </c>
      <c r="J84">
        <v>2920.64</v>
      </c>
      <c r="K84">
        <v>874.24</v>
      </c>
      <c r="L84" t="s">
        <v>410</v>
      </c>
      <c r="M84">
        <v>7</v>
      </c>
      <c r="N84" s="2" t="s">
        <v>416</v>
      </c>
      <c r="O84">
        <v>10473</v>
      </c>
      <c r="P84">
        <v>35913</v>
      </c>
      <c r="Q84">
        <v>14170</v>
      </c>
      <c r="R84">
        <v>22520</v>
      </c>
      <c r="S84">
        <v>49837</v>
      </c>
      <c r="T84">
        <v>46836</v>
      </c>
      <c r="U84">
        <v>49609</v>
      </c>
      <c r="V84">
        <v>24331</v>
      </c>
      <c r="W84">
        <v>47658</v>
      </c>
      <c r="X84">
        <v>18264</v>
      </c>
      <c r="Y84">
        <v>23016</v>
      </c>
      <c r="Z84">
        <v>20811</v>
      </c>
    </row>
    <row r="85" spans="1:26">
      <c r="A85" t="s">
        <v>95</v>
      </c>
      <c r="B85" t="s">
        <v>291</v>
      </c>
      <c r="C85" t="s">
        <v>399</v>
      </c>
      <c r="D85" t="s">
        <v>403</v>
      </c>
      <c r="E85" t="s">
        <v>404</v>
      </c>
      <c r="F85">
        <v>6</v>
      </c>
      <c r="G85">
        <v>297.66000000000003</v>
      </c>
      <c r="H85">
        <v>19.34</v>
      </c>
      <c r="I85">
        <v>1671.64</v>
      </c>
      <c r="J85">
        <v>1761.33</v>
      </c>
      <c r="K85">
        <v>1652.52</v>
      </c>
      <c r="L85" t="s">
        <v>411</v>
      </c>
      <c r="M85">
        <v>5</v>
      </c>
      <c r="N85" s="2" t="s">
        <v>413</v>
      </c>
      <c r="O85">
        <v>49196</v>
      </c>
      <c r="P85">
        <v>49346</v>
      </c>
      <c r="Q85">
        <v>22074</v>
      </c>
      <c r="R85">
        <v>42449</v>
      </c>
      <c r="S85">
        <v>40366</v>
      </c>
      <c r="T85">
        <v>28704</v>
      </c>
      <c r="U85">
        <v>22129</v>
      </c>
      <c r="V85">
        <v>48616</v>
      </c>
      <c r="W85">
        <v>35645</v>
      </c>
      <c r="X85">
        <v>19794</v>
      </c>
      <c r="Y85">
        <v>48617</v>
      </c>
      <c r="Z85">
        <v>16498</v>
      </c>
    </row>
    <row r="86" spans="1:26">
      <c r="A86" t="s">
        <v>96</v>
      </c>
      <c r="B86" t="s">
        <v>292</v>
      </c>
      <c r="C86" t="s">
        <v>399</v>
      </c>
      <c r="D86" t="s">
        <v>401</v>
      </c>
      <c r="E86" t="s">
        <v>407</v>
      </c>
      <c r="F86">
        <v>2</v>
      </c>
      <c r="G86">
        <v>26.09</v>
      </c>
      <c r="H86">
        <v>19.510000000000002</v>
      </c>
      <c r="I86">
        <v>3649.67</v>
      </c>
      <c r="J86">
        <v>799.96</v>
      </c>
      <c r="K86">
        <v>52.41</v>
      </c>
      <c r="L86" t="s">
        <v>409</v>
      </c>
      <c r="M86">
        <v>6</v>
      </c>
      <c r="N86" s="2" t="s">
        <v>413</v>
      </c>
      <c r="O86">
        <v>35350</v>
      </c>
      <c r="P86">
        <v>46262</v>
      </c>
      <c r="Q86">
        <v>37325</v>
      </c>
      <c r="R86">
        <v>18905</v>
      </c>
      <c r="S86">
        <v>44772</v>
      </c>
      <c r="T86">
        <v>4272</v>
      </c>
      <c r="U86">
        <v>35797</v>
      </c>
      <c r="V86">
        <v>48553</v>
      </c>
      <c r="W86">
        <v>12314</v>
      </c>
      <c r="X86">
        <v>25422</v>
      </c>
      <c r="Y86">
        <v>9825</v>
      </c>
      <c r="Z86">
        <v>44906</v>
      </c>
    </row>
    <row r="87" spans="1:26">
      <c r="A87" t="s">
        <v>97</v>
      </c>
      <c r="B87" t="s">
        <v>293</v>
      </c>
      <c r="C87" t="s">
        <v>395</v>
      </c>
      <c r="D87" t="s">
        <v>402</v>
      </c>
      <c r="E87" t="s">
        <v>404</v>
      </c>
      <c r="F87">
        <v>8</v>
      </c>
      <c r="G87">
        <v>457.25</v>
      </c>
      <c r="H87">
        <v>10.94</v>
      </c>
      <c r="I87">
        <v>3754.6</v>
      </c>
      <c r="J87">
        <v>1589.1</v>
      </c>
      <c r="K87">
        <v>636.66</v>
      </c>
      <c r="L87" t="s">
        <v>411</v>
      </c>
      <c r="M87">
        <v>4</v>
      </c>
      <c r="N87" s="2" t="s">
        <v>415</v>
      </c>
      <c r="O87">
        <v>20668</v>
      </c>
      <c r="P87">
        <v>32532</v>
      </c>
      <c r="Q87">
        <v>2688</v>
      </c>
      <c r="R87">
        <v>39074</v>
      </c>
      <c r="S87">
        <v>27499</v>
      </c>
      <c r="T87">
        <v>25064</v>
      </c>
      <c r="U87">
        <v>18763</v>
      </c>
      <c r="V87">
        <v>2404</v>
      </c>
      <c r="W87">
        <v>30976</v>
      </c>
      <c r="X87">
        <v>44707</v>
      </c>
      <c r="Y87">
        <v>48121</v>
      </c>
      <c r="Z87">
        <v>4469</v>
      </c>
    </row>
    <row r="88" spans="1:26">
      <c r="A88" t="s">
        <v>98</v>
      </c>
      <c r="B88" t="s">
        <v>294</v>
      </c>
      <c r="C88" t="s">
        <v>397</v>
      </c>
      <c r="D88" t="s">
        <v>401</v>
      </c>
      <c r="E88" t="s">
        <v>407</v>
      </c>
      <c r="F88">
        <v>8</v>
      </c>
      <c r="G88">
        <v>131.63</v>
      </c>
      <c r="H88">
        <v>16.82</v>
      </c>
      <c r="I88">
        <v>1081.76</v>
      </c>
      <c r="J88">
        <v>1060.83</v>
      </c>
      <c r="K88">
        <v>1963.41</v>
      </c>
      <c r="L88" t="s">
        <v>410</v>
      </c>
      <c r="M88">
        <v>9</v>
      </c>
      <c r="N88" s="2" t="s">
        <v>413</v>
      </c>
      <c r="O88">
        <v>26578</v>
      </c>
      <c r="P88">
        <v>27952</v>
      </c>
      <c r="Q88">
        <v>27654</v>
      </c>
      <c r="R88">
        <v>37203</v>
      </c>
      <c r="S88">
        <v>17033</v>
      </c>
      <c r="T88">
        <v>6948</v>
      </c>
      <c r="U88">
        <v>17365</v>
      </c>
      <c r="V88">
        <v>16931</v>
      </c>
      <c r="W88">
        <v>37670</v>
      </c>
      <c r="X88">
        <v>42499</v>
      </c>
      <c r="Y88">
        <v>16067</v>
      </c>
      <c r="Z88">
        <v>16567</v>
      </c>
    </row>
    <row r="89" spans="1:26">
      <c r="A89" t="s">
        <v>99</v>
      </c>
      <c r="B89" t="s">
        <v>295</v>
      </c>
      <c r="C89" t="s">
        <v>399</v>
      </c>
      <c r="D89" t="s">
        <v>403</v>
      </c>
      <c r="E89" t="s">
        <v>406</v>
      </c>
      <c r="F89">
        <v>1</v>
      </c>
      <c r="G89">
        <v>293.04000000000002</v>
      </c>
      <c r="H89">
        <v>14.43</v>
      </c>
      <c r="I89">
        <v>4353.8</v>
      </c>
      <c r="J89">
        <v>1620.12</v>
      </c>
      <c r="K89">
        <v>976.03</v>
      </c>
      <c r="L89" t="s">
        <v>409</v>
      </c>
      <c r="M89">
        <v>4</v>
      </c>
      <c r="N89" s="2" t="s">
        <v>415</v>
      </c>
      <c r="O89">
        <v>12619</v>
      </c>
      <c r="P89">
        <v>40306</v>
      </c>
      <c r="Q89">
        <v>47454</v>
      </c>
      <c r="R89">
        <v>49813</v>
      </c>
      <c r="S89">
        <v>27761</v>
      </c>
      <c r="T89">
        <v>25493</v>
      </c>
      <c r="U89">
        <v>1287</v>
      </c>
      <c r="V89">
        <v>48606</v>
      </c>
      <c r="W89">
        <v>48567</v>
      </c>
      <c r="X89">
        <v>23304</v>
      </c>
      <c r="Y89">
        <v>42306</v>
      </c>
      <c r="Z89">
        <v>32951</v>
      </c>
    </row>
    <row r="90" spans="1:26">
      <c r="A90" t="s">
        <v>100</v>
      </c>
      <c r="B90" t="s">
        <v>296</v>
      </c>
      <c r="C90" t="s">
        <v>396</v>
      </c>
      <c r="D90" t="s">
        <v>402</v>
      </c>
      <c r="E90" t="s">
        <v>405</v>
      </c>
      <c r="F90">
        <v>3</v>
      </c>
      <c r="G90">
        <v>91.1</v>
      </c>
      <c r="H90">
        <v>26.55</v>
      </c>
      <c r="I90">
        <v>3603.13</v>
      </c>
      <c r="J90">
        <v>420.94</v>
      </c>
      <c r="K90">
        <v>795.93</v>
      </c>
      <c r="L90" t="s">
        <v>410</v>
      </c>
      <c r="M90">
        <v>1</v>
      </c>
      <c r="N90" s="2" t="s">
        <v>415</v>
      </c>
      <c r="O90">
        <v>35432</v>
      </c>
      <c r="P90">
        <v>30484</v>
      </c>
      <c r="Q90">
        <v>29338</v>
      </c>
      <c r="R90">
        <v>12200</v>
      </c>
      <c r="S90">
        <v>10371</v>
      </c>
      <c r="T90">
        <v>34414</v>
      </c>
      <c r="U90">
        <v>13807</v>
      </c>
      <c r="V90">
        <v>39944</v>
      </c>
      <c r="W90">
        <v>28572</v>
      </c>
      <c r="X90">
        <v>28497</v>
      </c>
      <c r="Y90">
        <v>18955</v>
      </c>
      <c r="Z90">
        <v>23196</v>
      </c>
    </row>
    <row r="91" spans="1:26">
      <c r="A91" t="s">
        <v>101</v>
      </c>
      <c r="B91" t="s">
        <v>297</v>
      </c>
      <c r="C91" t="s">
        <v>399</v>
      </c>
      <c r="D91" t="s">
        <v>401</v>
      </c>
      <c r="E91" t="s">
        <v>404</v>
      </c>
      <c r="F91">
        <v>9</v>
      </c>
      <c r="G91">
        <v>26.6</v>
      </c>
      <c r="H91">
        <v>15.91</v>
      </c>
      <c r="I91">
        <v>2857.48</v>
      </c>
      <c r="J91">
        <v>441.51</v>
      </c>
      <c r="K91">
        <v>283.67</v>
      </c>
      <c r="L91" t="s">
        <v>411</v>
      </c>
      <c r="M91">
        <v>7</v>
      </c>
      <c r="N91" s="2" t="s">
        <v>416</v>
      </c>
      <c r="O91">
        <v>8177</v>
      </c>
      <c r="P91">
        <v>37647</v>
      </c>
      <c r="Q91">
        <v>43526</v>
      </c>
      <c r="R91">
        <v>20918</v>
      </c>
      <c r="S91">
        <v>13069</v>
      </c>
      <c r="T91">
        <v>30560</v>
      </c>
      <c r="U91">
        <v>29056</v>
      </c>
      <c r="V91">
        <v>29074</v>
      </c>
      <c r="W91">
        <v>17662</v>
      </c>
      <c r="X91">
        <v>42532</v>
      </c>
      <c r="Y91">
        <v>1049</v>
      </c>
      <c r="Z91">
        <v>40104</v>
      </c>
    </row>
    <row r="92" spans="1:26">
      <c r="A92" t="s">
        <v>102</v>
      </c>
      <c r="B92" t="s">
        <v>298</v>
      </c>
      <c r="C92" t="s">
        <v>399</v>
      </c>
      <c r="D92" t="s">
        <v>402</v>
      </c>
      <c r="E92" t="s">
        <v>405</v>
      </c>
      <c r="F92">
        <v>5</v>
      </c>
      <c r="G92">
        <v>162.62</v>
      </c>
      <c r="H92">
        <v>13.23</v>
      </c>
      <c r="I92">
        <v>2410.5100000000002</v>
      </c>
      <c r="J92">
        <v>473.45</v>
      </c>
      <c r="K92">
        <v>1949.62</v>
      </c>
      <c r="L92" t="s">
        <v>411</v>
      </c>
      <c r="M92">
        <v>7</v>
      </c>
      <c r="N92" s="2" t="s">
        <v>415</v>
      </c>
      <c r="O92">
        <v>26398</v>
      </c>
      <c r="P92">
        <v>27605</v>
      </c>
      <c r="Q92">
        <v>3873</v>
      </c>
      <c r="R92">
        <v>16694</v>
      </c>
      <c r="S92">
        <v>27888</v>
      </c>
      <c r="T92">
        <v>27887</v>
      </c>
      <c r="U92">
        <v>46517</v>
      </c>
      <c r="V92">
        <v>12142</v>
      </c>
      <c r="W92">
        <v>30475</v>
      </c>
      <c r="X92">
        <v>4257</v>
      </c>
      <c r="Y92">
        <v>46051</v>
      </c>
      <c r="Z92">
        <v>1861</v>
      </c>
    </row>
    <row r="93" spans="1:26">
      <c r="A93" t="s">
        <v>103</v>
      </c>
      <c r="B93" t="s">
        <v>299</v>
      </c>
      <c r="C93" t="s">
        <v>397</v>
      </c>
      <c r="D93" t="s">
        <v>403</v>
      </c>
      <c r="E93" t="s">
        <v>404</v>
      </c>
      <c r="F93">
        <v>6</v>
      </c>
      <c r="G93">
        <v>392.44</v>
      </c>
      <c r="H93">
        <v>12.13</v>
      </c>
      <c r="I93">
        <v>2761.84</v>
      </c>
      <c r="J93">
        <v>2822.47</v>
      </c>
      <c r="K93">
        <v>89.05</v>
      </c>
      <c r="L93" t="s">
        <v>410</v>
      </c>
      <c r="M93">
        <v>4</v>
      </c>
      <c r="N93" s="2" t="s">
        <v>413</v>
      </c>
      <c r="O93">
        <v>30655</v>
      </c>
      <c r="P93">
        <v>27441</v>
      </c>
      <c r="Q93">
        <v>22170</v>
      </c>
      <c r="R93">
        <v>4890</v>
      </c>
      <c r="S93">
        <v>15591</v>
      </c>
      <c r="T93">
        <v>30242</v>
      </c>
      <c r="U93">
        <v>45043</v>
      </c>
      <c r="V93">
        <v>36228</v>
      </c>
      <c r="W93">
        <v>19664</v>
      </c>
      <c r="X93">
        <v>34087</v>
      </c>
      <c r="Y93">
        <v>41957</v>
      </c>
      <c r="Z93">
        <v>42046</v>
      </c>
    </row>
    <row r="94" spans="1:26">
      <c r="A94" t="s">
        <v>104</v>
      </c>
      <c r="B94" t="s">
        <v>300</v>
      </c>
      <c r="C94" t="s">
        <v>398</v>
      </c>
      <c r="D94" t="s">
        <v>401</v>
      </c>
      <c r="E94" t="s">
        <v>407</v>
      </c>
      <c r="F94">
        <v>4</v>
      </c>
      <c r="G94">
        <v>146.02000000000001</v>
      </c>
      <c r="H94">
        <v>17.170000000000002</v>
      </c>
      <c r="I94">
        <v>880.3</v>
      </c>
      <c r="J94">
        <v>2212.0500000000002</v>
      </c>
      <c r="K94">
        <v>1487.5</v>
      </c>
      <c r="L94" t="s">
        <v>409</v>
      </c>
      <c r="M94">
        <v>3</v>
      </c>
      <c r="N94" s="2" t="s">
        <v>414</v>
      </c>
      <c r="O94">
        <v>45551</v>
      </c>
      <c r="P94">
        <v>27139</v>
      </c>
      <c r="Q94">
        <v>23840</v>
      </c>
      <c r="R94">
        <v>12576</v>
      </c>
      <c r="S94">
        <v>25975</v>
      </c>
      <c r="T94">
        <v>23550</v>
      </c>
      <c r="U94">
        <v>5925</v>
      </c>
      <c r="V94">
        <v>30431</v>
      </c>
      <c r="W94">
        <v>7697</v>
      </c>
      <c r="X94">
        <v>40869</v>
      </c>
      <c r="Y94">
        <v>2380</v>
      </c>
      <c r="Z94">
        <v>35451</v>
      </c>
    </row>
    <row r="95" spans="1:26">
      <c r="A95" t="s">
        <v>105</v>
      </c>
      <c r="B95" t="s">
        <v>301</v>
      </c>
      <c r="C95" t="s">
        <v>399</v>
      </c>
      <c r="D95" t="s">
        <v>402</v>
      </c>
      <c r="E95" t="s">
        <v>405</v>
      </c>
      <c r="F95">
        <v>2</v>
      </c>
      <c r="G95">
        <v>117.85</v>
      </c>
      <c r="H95">
        <v>24.12</v>
      </c>
      <c r="I95">
        <v>1098.1400000000001</v>
      </c>
      <c r="J95">
        <v>529.03</v>
      </c>
      <c r="K95">
        <v>1548.77</v>
      </c>
      <c r="L95" t="s">
        <v>410</v>
      </c>
      <c r="M95">
        <v>8</v>
      </c>
      <c r="N95" s="2" t="s">
        <v>414</v>
      </c>
      <c r="O95">
        <v>19378</v>
      </c>
      <c r="P95">
        <v>21157</v>
      </c>
      <c r="Q95">
        <v>1897</v>
      </c>
      <c r="R95">
        <v>34879</v>
      </c>
      <c r="S95">
        <v>23638</v>
      </c>
      <c r="T95">
        <v>49836</v>
      </c>
      <c r="U95">
        <v>13988</v>
      </c>
      <c r="V95">
        <v>45662</v>
      </c>
      <c r="W95">
        <v>17075</v>
      </c>
      <c r="X95">
        <v>43201</v>
      </c>
      <c r="Y95">
        <v>21733</v>
      </c>
      <c r="Z95">
        <v>21967</v>
      </c>
    </row>
    <row r="96" spans="1:26">
      <c r="A96" t="s">
        <v>106</v>
      </c>
      <c r="B96" t="s">
        <v>302</v>
      </c>
      <c r="C96" t="s">
        <v>395</v>
      </c>
      <c r="D96" t="s">
        <v>403</v>
      </c>
      <c r="E96" t="s">
        <v>404</v>
      </c>
      <c r="F96">
        <v>8</v>
      </c>
      <c r="G96">
        <v>114.21</v>
      </c>
      <c r="H96">
        <v>16.149999999999999</v>
      </c>
      <c r="I96">
        <v>546.71</v>
      </c>
      <c r="J96">
        <v>605.63</v>
      </c>
      <c r="K96">
        <v>525.13</v>
      </c>
      <c r="L96" t="s">
        <v>411</v>
      </c>
      <c r="M96">
        <v>5</v>
      </c>
      <c r="N96" s="2" t="s">
        <v>414</v>
      </c>
      <c r="O96">
        <v>23805</v>
      </c>
      <c r="P96">
        <v>13550</v>
      </c>
      <c r="Q96">
        <v>11260</v>
      </c>
      <c r="R96">
        <v>14755</v>
      </c>
      <c r="S96">
        <v>31197</v>
      </c>
      <c r="T96">
        <v>44336</v>
      </c>
      <c r="U96">
        <v>16799</v>
      </c>
      <c r="V96">
        <v>3077</v>
      </c>
      <c r="W96">
        <v>32775</v>
      </c>
      <c r="X96">
        <v>2368</v>
      </c>
      <c r="Y96">
        <v>12029</v>
      </c>
      <c r="Z96">
        <v>45899</v>
      </c>
    </row>
    <row r="97" spans="1:26">
      <c r="A97" t="s">
        <v>107</v>
      </c>
      <c r="B97" t="s">
        <v>303</v>
      </c>
      <c r="C97" t="s">
        <v>398</v>
      </c>
      <c r="D97" t="s">
        <v>402</v>
      </c>
      <c r="E97" t="s">
        <v>407</v>
      </c>
      <c r="F97">
        <v>6</v>
      </c>
      <c r="G97">
        <v>262.44</v>
      </c>
      <c r="H97">
        <v>19.850000000000001</v>
      </c>
      <c r="I97">
        <v>852.92</v>
      </c>
      <c r="J97">
        <v>2205.9499999999998</v>
      </c>
      <c r="K97">
        <v>1359.54</v>
      </c>
      <c r="L97" t="s">
        <v>410</v>
      </c>
      <c r="M97">
        <v>7</v>
      </c>
      <c r="N97" s="2" t="s">
        <v>416</v>
      </c>
      <c r="O97">
        <v>13246</v>
      </c>
      <c r="P97">
        <v>11745</v>
      </c>
      <c r="Q97">
        <v>11893</v>
      </c>
      <c r="R97">
        <v>11407</v>
      </c>
      <c r="S97">
        <v>17010</v>
      </c>
      <c r="T97">
        <v>46758</v>
      </c>
      <c r="U97">
        <v>10384</v>
      </c>
      <c r="V97">
        <v>12796</v>
      </c>
      <c r="W97">
        <v>5768</v>
      </c>
      <c r="X97">
        <v>28708</v>
      </c>
      <c r="Y97">
        <v>20728</v>
      </c>
      <c r="Z97">
        <v>20007</v>
      </c>
    </row>
    <row r="98" spans="1:26">
      <c r="A98" t="s">
        <v>108</v>
      </c>
      <c r="B98" t="s">
        <v>304</v>
      </c>
      <c r="C98" t="s">
        <v>396</v>
      </c>
      <c r="D98" t="s">
        <v>402</v>
      </c>
      <c r="E98" t="s">
        <v>405</v>
      </c>
      <c r="F98">
        <v>5</v>
      </c>
      <c r="G98">
        <v>488.02</v>
      </c>
      <c r="H98">
        <v>22.14</v>
      </c>
      <c r="I98">
        <v>2323.1</v>
      </c>
      <c r="J98">
        <v>510.68</v>
      </c>
      <c r="K98">
        <v>231.21</v>
      </c>
      <c r="L98" t="s">
        <v>411</v>
      </c>
      <c r="M98">
        <v>4</v>
      </c>
      <c r="N98" s="2" t="s">
        <v>413</v>
      </c>
      <c r="O98">
        <v>11937</v>
      </c>
      <c r="P98">
        <v>1082</v>
      </c>
      <c r="Q98">
        <v>14122</v>
      </c>
      <c r="R98">
        <v>41374</v>
      </c>
      <c r="S98">
        <v>32657</v>
      </c>
      <c r="T98">
        <v>37582</v>
      </c>
      <c r="U98">
        <v>5492</v>
      </c>
      <c r="V98">
        <v>17948</v>
      </c>
      <c r="W98">
        <v>33473</v>
      </c>
      <c r="X98">
        <v>1058</v>
      </c>
      <c r="Y98">
        <v>49157</v>
      </c>
      <c r="Z98">
        <v>21329</v>
      </c>
    </row>
    <row r="99" spans="1:26">
      <c r="A99" t="s">
        <v>109</v>
      </c>
      <c r="B99" t="s">
        <v>305</v>
      </c>
      <c r="C99" t="s">
        <v>397</v>
      </c>
      <c r="D99" t="s">
        <v>400</v>
      </c>
      <c r="E99" t="s">
        <v>405</v>
      </c>
      <c r="F99">
        <v>9</v>
      </c>
      <c r="G99">
        <v>234.9</v>
      </c>
      <c r="H99">
        <v>15.61</v>
      </c>
      <c r="I99">
        <v>2698.74</v>
      </c>
      <c r="J99">
        <v>741.96</v>
      </c>
      <c r="K99">
        <v>551.24</v>
      </c>
      <c r="L99" t="s">
        <v>410</v>
      </c>
      <c r="M99">
        <v>4</v>
      </c>
      <c r="N99" s="2" t="s">
        <v>416</v>
      </c>
      <c r="O99">
        <v>29338</v>
      </c>
      <c r="P99">
        <v>19983</v>
      </c>
      <c r="Q99">
        <v>38100</v>
      </c>
      <c r="R99">
        <v>49602</v>
      </c>
      <c r="S99">
        <v>27273</v>
      </c>
      <c r="T99">
        <v>43779</v>
      </c>
      <c r="U99">
        <v>29603</v>
      </c>
      <c r="V99">
        <v>45300</v>
      </c>
      <c r="W99">
        <v>29506</v>
      </c>
      <c r="X99">
        <v>42414</v>
      </c>
      <c r="Y99">
        <v>15730</v>
      </c>
      <c r="Z99">
        <v>33922</v>
      </c>
    </row>
    <row r="100" spans="1:26">
      <c r="A100" t="s">
        <v>110</v>
      </c>
      <c r="B100" t="s">
        <v>306</v>
      </c>
      <c r="C100" t="s">
        <v>396</v>
      </c>
      <c r="D100" t="s">
        <v>400</v>
      </c>
      <c r="E100" t="s">
        <v>404</v>
      </c>
      <c r="F100">
        <v>1</v>
      </c>
      <c r="G100">
        <v>283.08</v>
      </c>
      <c r="H100">
        <v>12.8</v>
      </c>
      <c r="I100">
        <v>187.52</v>
      </c>
      <c r="J100">
        <v>2891.87</v>
      </c>
      <c r="K100">
        <v>1586.41</v>
      </c>
      <c r="L100" t="s">
        <v>409</v>
      </c>
      <c r="M100">
        <v>8</v>
      </c>
      <c r="N100" s="2" t="s">
        <v>416</v>
      </c>
      <c r="O100">
        <v>19339</v>
      </c>
      <c r="P100">
        <v>28953</v>
      </c>
      <c r="Q100">
        <v>25006</v>
      </c>
      <c r="R100">
        <v>34321</v>
      </c>
      <c r="S100">
        <v>6509</v>
      </c>
      <c r="T100">
        <v>10081</v>
      </c>
      <c r="U100">
        <v>47521</v>
      </c>
      <c r="V100">
        <v>11518</v>
      </c>
      <c r="W100">
        <v>15799</v>
      </c>
      <c r="X100">
        <v>13811</v>
      </c>
      <c r="Y100">
        <v>39750</v>
      </c>
      <c r="Z100">
        <v>18616</v>
      </c>
    </row>
    <row r="101" spans="1:26">
      <c r="A101" t="s">
        <v>111</v>
      </c>
      <c r="B101" t="s">
        <v>215</v>
      </c>
      <c r="C101" t="s">
        <v>398</v>
      </c>
      <c r="D101" t="s">
        <v>403</v>
      </c>
      <c r="E101" t="s">
        <v>404</v>
      </c>
      <c r="F101">
        <v>5</v>
      </c>
      <c r="G101">
        <v>431.71</v>
      </c>
      <c r="H101">
        <v>26.3</v>
      </c>
      <c r="I101">
        <v>4004.31</v>
      </c>
      <c r="J101">
        <v>803.15</v>
      </c>
      <c r="K101">
        <v>1736.14</v>
      </c>
      <c r="L101" t="s">
        <v>409</v>
      </c>
      <c r="M101">
        <v>8</v>
      </c>
      <c r="N101" s="2" t="s">
        <v>414</v>
      </c>
      <c r="O101">
        <v>43427</v>
      </c>
      <c r="P101">
        <v>39587</v>
      </c>
      <c r="Q101">
        <v>34862</v>
      </c>
      <c r="R101">
        <v>37925</v>
      </c>
      <c r="S101">
        <v>32414</v>
      </c>
      <c r="T101">
        <v>17523</v>
      </c>
      <c r="U101">
        <v>12522</v>
      </c>
      <c r="V101">
        <v>5660</v>
      </c>
      <c r="W101">
        <v>25330</v>
      </c>
      <c r="X101">
        <v>41523</v>
      </c>
      <c r="Y101">
        <v>32658</v>
      </c>
      <c r="Z101">
        <v>11385</v>
      </c>
    </row>
    <row r="102" spans="1:26">
      <c r="A102" t="s">
        <v>112</v>
      </c>
      <c r="B102" t="s">
        <v>307</v>
      </c>
      <c r="C102" t="s">
        <v>398</v>
      </c>
      <c r="D102" t="s">
        <v>400</v>
      </c>
      <c r="E102" t="s">
        <v>404</v>
      </c>
      <c r="F102">
        <v>6</v>
      </c>
      <c r="G102">
        <v>272.18</v>
      </c>
      <c r="H102">
        <v>12.53</v>
      </c>
      <c r="I102">
        <v>1541.42</v>
      </c>
      <c r="J102">
        <v>2001.82</v>
      </c>
      <c r="K102">
        <v>1236.55</v>
      </c>
      <c r="L102" t="s">
        <v>410</v>
      </c>
      <c r="M102">
        <v>2</v>
      </c>
      <c r="N102" s="2" t="s">
        <v>415</v>
      </c>
      <c r="O102">
        <v>30634</v>
      </c>
      <c r="P102">
        <v>14343</v>
      </c>
      <c r="Q102">
        <v>10749</v>
      </c>
      <c r="R102">
        <v>9332</v>
      </c>
      <c r="S102">
        <v>42775</v>
      </c>
      <c r="T102">
        <v>25918</v>
      </c>
      <c r="U102">
        <v>35843</v>
      </c>
      <c r="V102">
        <v>48674</v>
      </c>
      <c r="W102">
        <v>36723</v>
      </c>
      <c r="X102">
        <v>28197</v>
      </c>
      <c r="Y102">
        <v>16684</v>
      </c>
      <c r="Z102">
        <v>20385</v>
      </c>
    </row>
    <row r="103" spans="1:26">
      <c r="A103" t="s">
        <v>113</v>
      </c>
      <c r="B103" t="s">
        <v>308</v>
      </c>
      <c r="C103" t="s">
        <v>398</v>
      </c>
      <c r="D103" t="s">
        <v>403</v>
      </c>
      <c r="E103" t="s">
        <v>407</v>
      </c>
      <c r="F103">
        <v>5</v>
      </c>
      <c r="G103">
        <v>100.39</v>
      </c>
      <c r="H103">
        <v>13.86</v>
      </c>
      <c r="I103">
        <v>4568</v>
      </c>
      <c r="J103">
        <v>2936.96</v>
      </c>
      <c r="K103">
        <v>1038.33</v>
      </c>
      <c r="L103" t="s">
        <v>410</v>
      </c>
      <c r="M103">
        <v>2</v>
      </c>
      <c r="N103" s="2" t="s">
        <v>416</v>
      </c>
      <c r="O103">
        <v>23582</v>
      </c>
      <c r="P103">
        <v>6628</v>
      </c>
      <c r="Q103">
        <v>47147</v>
      </c>
      <c r="R103">
        <v>48146</v>
      </c>
      <c r="S103">
        <v>22506</v>
      </c>
      <c r="T103">
        <v>5108</v>
      </c>
      <c r="U103">
        <v>34910</v>
      </c>
      <c r="V103">
        <v>5118</v>
      </c>
      <c r="W103">
        <v>37970</v>
      </c>
      <c r="X103">
        <v>39256</v>
      </c>
      <c r="Y103">
        <v>5833</v>
      </c>
      <c r="Z103">
        <v>28344</v>
      </c>
    </row>
    <row r="104" spans="1:26">
      <c r="A104" t="s">
        <v>114</v>
      </c>
      <c r="B104" t="s">
        <v>309</v>
      </c>
      <c r="C104" t="s">
        <v>396</v>
      </c>
      <c r="D104" t="s">
        <v>400</v>
      </c>
      <c r="E104" t="s">
        <v>404</v>
      </c>
      <c r="F104">
        <v>6</v>
      </c>
      <c r="G104">
        <v>156.80000000000001</v>
      </c>
      <c r="H104">
        <v>29.71</v>
      </c>
      <c r="I104">
        <v>4840.8100000000004</v>
      </c>
      <c r="J104">
        <v>1154.18</v>
      </c>
      <c r="K104">
        <v>360.64</v>
      </c>
      <c r="L104" t="s">
        <v>409</v>
      </c>
      <c r="M104">
        <v>3</v>
      </c>
      <c r="N104" s="2" t="s">
        <v>414</v>
      </c>
      <c r="O104">
        <v>31919</v>
      </c>
      <c r="P104">
        <v>18261</v>
      </c>
      <c r="Q104">
        <v>26634</v>
      </c>
      <c r="R104">
        <v>15221</v>
      </c>
      <c r="S104">
        <v>47012</v>
      </c>
      <c r="T104">
        <v>7034</v>
      </c>
      <c r="U104">
        <v>12285</v>
      </c>
      <c r="V104">
        <v>2849</v>
      </c>
      <c r="W104">
        <v>37493</v>
      </c>
      <c r="X104">
        <v>14785</v>
      </c>
      <c r="Y104">
        <v>41967</v>
      </c>
      <c r="Z104">
        <v>46117</v>
      </c>
    </row>
    <row r="105" spans="1:26">
      <c r="A105" t="s">
        <v>115</v>
      </c>
      <c r="B105" t="s">
        <v>310</v>
      </c>
      <c r="C105" t="s">
        <v>398</v>
      </c>
      <c r="D105" t="s">
        <v>402</v>
      </c>
      <c r="E105" t="s">
        <v>405</v>
      </c>
      <c r="F105">
        <v>6</v>
      </c>
      <c r="G105">
        <v>161.87</v>
      </c>
      <c r="H105">
        <v>0.01</v>
      </c>
      <c r="I105">
        <v>1008.75</v>
      </c>
      <c r="J105">
        <v>101.67</v>
      </c>
      <c r="K105">
        <v>173.06</v>
      </c>
      <c r="L105" t="s">
        <v>411</v>
      </c>
      <c r="M105">
        <v>3</v>
      </c>
      <c r="N105" s="2" t="s">
        <v>415</v>
      </c>
      <c r="O105">
        <v>23673</v>
      </c>
      <c r="P105">
        <v>43487</v>
      </c>
      <c r="Q105">
        <v>13521</v>
      </c>
      <c r="R105">
        <v>11008</v>
      </c>
      <c r="S105">
        <v>10318</v>
      </c>
      <c r="T105">
        <v>10471</v>
      </c>
      <c r="U105">
        <v>45396</v>
      </c>
      <c r="V105">
        <v>29821</v>
      </c>
      <c r="W105">
        <v>11858</v>
      </c>
      <c r="X105">
        <v>45166</v>
      </c>
      <c r="Y105">
        <v>11745</v>
      </c>
      <c r="Z105">
        <v>19872</v>
      </c>
    </row>
    <row r="106" spans="1:26">
      <c r="A106" t="s">
        <v>116</v>
      </c>
      <c r="B106" t="s">
        <v>311</v>
      </c>
      <c r="C106" t="s">
        <v>396</v>
      </c>
      <c r="D106" t="s">
        <v>403</v>
      </c>
      <c r="E106" t="s">
        <v>405</v>
      </c>
      <c r="F106">
        <v>7</v>
      </c>
      <c r="G106">
        <v>204.69</v>
      </c>
      <c r="H106">
        <v>5.56</v>
      </c>
      <c r="I106">
        <v>2364.2800000000002</v>
      </c>
      <c r="J106">
        <v>770.23</v>
      </c>
      <c r="K106">
        <v>279.42</v>
      </c>
      <c r="L106" t="s">
        <v>409</v>
      </c>
      <c r="M106">
        <v>1</v>
      </c>
      <c r="N106" s="2" t="s">
        <v>413</v>
      </c>
      <c r="O106">
        <v>48152</v>
      </c>
      <c r="P106">
        <v>49490</v>
      </c>
      <c r="Q106">
        <v>2036</v>
      </c>
      <c r="R106">
        <v>17368</v>
      </c>
      <c r="S106">
        <v>1237</v>
      </c>
      <c r="T106">
        <v>28347</v>
      </c>
      <c r="U106">
        <v>14224</v>
      </c>
      <c r="V106">
        <v>28663</v>
      </c>
      <c r="W106">
        <v>40070</v>
      </c>
      <c r="X106">
        <v>28887</v>
      </c>
      <c r="Y106">
        <v>15910</v>
      </c>
      <c r="Z106">
        <v>19445</v>
      </c>
    </row>
    <row r="107" spans="1:26">
      <c r="A107" t="s">
        <v>117</v>
      </c>
      <c r="B107" t="s">
        <v>312</v>
      </c>
      <c r="C107" t="s">
        <v>398</v>
      </c>
      <c r="D107" t="s">
        <v>403</v>
      </c>
      <c r="E107" t="s">
        <v>404</v>
      </c>
      <c r="F107">
        <v>4</v>
      </c>
      <c r="G107">
        <v>219.13</v>
      </c>
      <c r="H107">
        <v>11.52</v>
      </c>
      <c r="I107">
        <v>106.04</v>
      </c>
      <c r="J107">
        <v>2501.09</v>
      </c>
      <c r="K107">
        <v>493.35</v>
      </c>
      <c r="L107" t="s">
        <v>411</v>
      </c>
      <c r="M107">
        <v>3</v>
      </c>
      <c r="N107" s="2" t="s">
        <v>413</v>
      </c>
      <c r="O107">
        <v>7953</v>
      </c>
      <c r="P107">
        <v>6483</v>
      </c>
      <c r="Q107">
        <v>3968</v>
      </c>
      <c r="R107">
        <v>24978</v>
      </c>
      <c r="S107">
        <v>25254</v>
      </c>
      <c r="T107">
        <v>3919</v>
      </c>
      <c r="U107">
        <v>49415</v>
      </c>
      <c r="V107">
        <v>13663</v>
      </c>
      <c r="W107">
        <v>30642</v>
      </c>
      <c r="X107">
        <v>33442</v>
      </c>
      <c r="Y107">
        <v>28992</v>
      </c>
      <c r="Z107">
        <v>40594</v>
      </c>
    </row>
    <row r="108" spans="1:26">
      <c r="A108" t="s">
        <v>118</v>
      </c>
      <c r="B108" t="s">
        <v>313</v>
      </c>
      <c r="C108" t="s">
        <v>395</v>
      </c>
      <c r="D108" t="s">
        <v>402</v>
      </c>
      <c r="E108" t="s">
        <v>404</v>
      </c>
      <c r="F108">
        <v>8</v>
      </c>
      <c r="G108">
        <v>401.89</v>
      </c>
      <c r="H108">
        <v>27.98</v>
      </c>
      <c r="I108">
        <v>3031.8</v>
      </c>
      <c r="J108">
        <v>2600.6</v>
      </c>
      <c r="K108">
        <v>716.27</v>
      </c>
      <c r="L108" t="s">
        <v>410</v>
      </c>
      <c r="M108">
        <v>6</v>
      </c>
      <c r="N108" s="2" t="s">
        <v>414</v>
      </c>
      <c r="O108">
        <v>34207</v>
      </c>
      <c r="P108">
        <v>31168</v>
      </c>
      <c r="Q108">
        <v>41419</v>
      </c>
      <c r="R108">
        <v>25051</v>
      </c>
      <c r="S108">
        <v>6322</v>
      </c>
      <c r="T108">
        <v>46859</v>
      </c>
      <c r="U108">
        <v>25818</v>
      </c>
      <c r="V108">
        <v>6815</v>
      </c>
      <c r="W108">
        <v>3377</v>
      </c>
      <c r="X108">
        <v>13893</v>
      </c>
      <c r="Y108">
        <v>39683</v>
      </c>
      <c r="Z108">
        <v>21106</v>
      </c>
    </row>
    <row r="109" spans="1:26">
      <c r="A109" t="s">
        <v>119</v>
      </c>
      <c r="B109" t="s">
        <v>314</v>
      </c>
      <c r="C109" t="s">
        <v>398</v>
      </c>
      <c r="D109" t="s">
        <v>403</v>
      </c>
      <c r="E109" t="s">
        <v>406</v>
      </c>
      <c r="F109">
        <v>7</v>
      </c>
      <c r="G109">
        <v>181.2</v>
      </c>
      <c r="H109">
        <v>2.1</v>
      </c>
      <c r="I109">
        <v>3075.8</v>
      </c>
      <c r="J109">
        <v>2317.13</v>
      </c>
      <c r="K109">
        <v>792.77</v>
      </c>
      <c r="L109" t="s">
        <v>410</v>
      </c>
      <c r="M109">
        <v>8</v>
      </c>
      <c r="N109" s="2" t="s">
        <v>414</v>
      </c>
      <c r="O109">
        <v>42312</v>
      </c>
      <c r="P109">
        <v>27541</v>
      </c>
      <c r="Q109">
        <v>5999</v>
      </c>
      <c r="R109">
        <v>26784</v>
      </c>
      <c r="S109">
        <v>28747</v>
      </c>
      <c r="T109">
        <v>48412</v>
      </c>
      <c r="U109">
        <v>49971</v>
      </c>
      <c r="V109">
        <v>6002</v>
      </c>
      <c r="W109">
        <v>38012</v>
      </c>
      <c r="X109">
        <v>9096</v>
      </c>
      <c r="Y109">
        <v>46978</v>
      </c>
      <c r="Z109">
        <v>28482</v>
      </c>
    </row>
    <row r="110" spans="1:26">
      <c r="A110" t="s">
        <v>120</v>
      </c>
      <c r="B110" t="s">
        <v>315</v>
      </c>
      <c r="C110" t="s">
        <v>396</v>
      </c>
      <c r="D110" t="s">
        <v>403</v>
      </c>
      <c r="E110" t="s">
        <v>405</v>
      </c>
      <c r="F110">
        <v>9</v>
      </c>
      <c r="G110">
        <v>239.43</v>
      </c>
      <c r="H110">
        <v>0.28000000000000003</v>
      </c>
      <c r="I110">
        <v>1312.95</v>
      </c>
      <c r="J110">
        <v>383.67</v>
      </c>
      <c r="K110">
        <v>725.33</v>
      </c>
      <c r="L110" t="s">
        <v>411</v>
      </c>
      <c r="M110">
        <v>6</v>
      </c>
      <c r="N110" s="2" t="s">
        <v>415</v>
      </c>
      <c r="O110">
        <v>20995</v>
      </c>
      <c r="P110">
        <v>37481</v>
      </c>
      <c r="Q110">
        <v>10004</v>
      </c>
      <c r="R110">
        <v>28880</v>
      </c>
      <c r="S110">
        <v>7420</v>
      </c>
      <c r="T110">
        <v>38533</v>
      </c>
      <c r="U110">
        <v>31366</v>
      </c>
      <c r="V110">
        <v>28116</v>
      </c>
      <c r="W110">
        <v>30502</v>
      </c>
      <c r="X110">
        <v>9915</v>
      </c>
      <c r="Y110">
        <v>29519</v>
      </c>
      <c r="Z110">
        <v>41078</v>
      </c>
    </row>
    <row r="111" spans="1:26">
      <c r="A111" t="s">
        <v>121</v>
      </c>
      <c r="B111" t="s">
        <v>316</v>
      </c>
      <c r="C111" t="s">
        <v>399</v>
      </c>
      <c r="D111" t="s">
        <v>400</v>
      </c>
      <c r="E111" t="s">
        <v>407</v>
      </c>
      <c r="F111">
        <v>7</v>
      </c>
      <c r="G111">
        <v>316.24</v>
      </c>
      <c r="H111">
        <v>1.58</v>
      </c>
      <c r="I111">
        <v>2836.22</v>
      </c>
      <c r="J111">
        <v>2396.7600000000002</v>
      </c>
      <c r="K111">
        <v>516.16</v>
      </c>
      <c r="L111" t="s">
        <v>410</v>
      </c>
      <c r="M111">
        <v>5</v>
      </c>
      <c r="N111" s="2" t="s">
        <v>415</v>
      </c>
      <c r="O111">
        <v>25087</v>
      </c>
      <c r="P111">
        <v>21098</v>
      </c>
      <c r="Q111">
        <v>26295</v>
      </c>
      <c r="R111">
        <v>43483</v>
      </c>
      <c r="S111">
        <v>15915</v>
      </c>
      <c r="T111">
        <v>36078</v>
      </c>
      <c r="U111">
        <v>46789</v>
      </c>
      <c r="V111">
        <v>29774</v>
      </c>
      <c r="W111">
        <v>3041</v>
      </c>
      <c r="X111">
        <v>7794</v>
      </c>
      <c r="Y111">
        <v>23379</v>
      </c>
      <c r="Z111">
        <v>44970</v>
      </c>
    </row>
    <row r="112" spans="1:26">
      <c r="A112" t="s">
        <v>122</v>
      </c>
      <c r="B112" t="s">
        <v>317</v>
      </c>
      <c r="C112" t="s">
        <v>398</v>
      </c>
      <c r="D112" t="s">
        <v>403</v>
      </c>
      <c r="E112" t="s">
        <v>406</v>
      </c>
      <c r="F112">
        <v>3</v>
      </c>
      <c r="G112">
        <v>195.09</v>
      </c>
      <c r="H112">
        <v>2.66</v>
      </c>
      <c r="I112">
        <v>1205.1500000000001</v>
      </c>
      <c r="J112">
        <v>2760.1</v>
      </c>
      <c r="K112">
        <v>1043.96</v>
      </c>
      <c r="L112" t="s">
        <v>411</v>
      </c>
      <c r="M112">
        <v>4</v>
      </c>
      <c r="N112" s="2" t="s">
        <v>416</v>
      </c>
      <c r="O112">
        <v>39709</v>
      </c>
      <c r="P112">
        <v>16723</v>
      </c>
      <c r="Q112">
        <v>26733</v>
      </c>
      <c r="R112">
        <v>34212</v>
      </c>
      <c r="S112">
        <v>6643</v>
      </c>
      <c r="T112">
        <v>38494</v>
      </c>
      <c r="U112">
        <v>13486</v>
      </c>
      <c r="V112">
        <v>9146</v>
      </c>
      <c r="W112">
        <v>28675</v>
      </c>
      <c r="X112">
        <v>49295</v>
      </c>
      <c r="Y112">
        <v>9996</v>
      </c>
      <c r="Z112">
        <v>39416</v>
      </c>
    </row>
    <row r="113" spans="1:26">
      <c r="A113" t="s">
        <v>123</v>
      </c>
      <c r="B113" t="s">
        <v>318</v>
      </c>
      <c r="C113" t="s">
        <v>399</v>
      </c>
      <c r="D113" t="s">
        <v>401</v>
      </c>
      <c r="E113" t="s">
        <v>404</v>
      </c>
      <c r="F113">
        <v>3</v>
      </c>
      <c r="G113">
        <v>419.92</v>
      </c>
      <c r="H113">
        <v>1.1299999999999999</v>
      </c>
      <c r="I113">
        <v>888.04</v>
      </c>
      <c r="J113">
        <v>1821.8</v>
      </c>
      <c r="K113">
        <v>1659.31</v>
      </c>
      <c r="L113" t="s">
        <v>408</v>
      </c>
      <c r="M113">
        <v>3</v>
      </c>
      <c r="N113" s="2" t="s">
        <v>413</v>
      </c>
      <c r="O113">
        <v>43287</v>
      </c>
      <c r="P113">
        <v>46440</v>
      </c>
      <c r="Q113">
        <v>34135</v>
      </c>
      <c r="R113">
        <v>15805</v>
      </c>
      <c r="S113">
        <v>37547</v>
      </c>
      <c r="T113">
        <v>22810</v>
      </c>
      <c r="U113">
        <v>16451</v>
      </c>
      <c r="V113">
        <v>44820</v>
      </c>
      <c r="W113">
        <v>19910</v>
      </c>
      <c r="X113">
        <v>19245</v>
      </c>
      <c r="Y113">
        <v>30939</v>
      </c>
      <c r="Z113">
        <v>42587</v>
      </c>
    </row>
    <row r="114" spans="1:26">
      <c r="A114" t="s">
        <v>124</v>
      </c>
      <c r="B114" t="s">
        <v>319</v>
      </c>
      <c r="C114" t="s">
        <v>395</v>
      </c>
      <c r="D114" t="s">
        <v>402</v>
      </c>
      <c r="E114" t="s">
        <v>404</v>
      </c>
      <c r="F114">
        <v>8</v>
      </c>
      <c r="G114">
        <v>297.85000000000002</v>
      </c>
      <c r="H114">
        <v>14.39</v>
      </c>
      <c r="I114">
        <v>3292.45</v>
      </c>
      <c r="J114">
        <v>2825.58</v>
      </c>
      <c r="K114">
        <v>595.41999999999996</v>
      </c>
      <c r="L114" t="s">
        <v>409</v>
      </c>
      <c r="M114">
        <v>4</v>
      </c>
      <c r="N114" s="2" t="s">
        <v>416</v>
      </c>
      <c r="O114">
        <v>24977</v>
      </c>
      <c r="P114">
        <v>10612</v>
      </c>
      <c r="Q114">
        <v>37697</v>
      </c>
      <c r="R114">
        <v>44410</v>
      </c>
      <c r="S114">
        <v>43029</v>
      </c>
      <c r="T114">
        <v>34314</v>
      </c>
      <c r="U114">
        <v>46963</v>
      </c>
      <c r="V114">
        <v>49383</v>
      </c>
      <c r="W114">
        <v>45656</v>
      </c>
      <c r="X114">
        <v>44449</v>
      </c>
      <c r="Y114">
        <v>49799</v>
      </c>
      <c r="Z114">
        <v>30173</v>
      </c>
    </row>
    <row r="115" spans="1:26">
      <c r="A115" t="s">
        <v>125</v>
      </c>
      <c r="B115" t="s">
        <v>320</v>
      </c>
      <c r="C115" t="s">
        <v>397</v>
      </c>
      <c r="D115" t="s">
        <v>400</v>
      </c>
      <c r="E115" t="s">
        <v>405</v>
      </c>
      <c r="F115">
        <v>5</v>
      </c>
      <c r="G115">
        <v>154.08000000000001</v>
      </c>
      <c r="H115">
        <v>17.420000000000002</v>
      </c>
      <c r="I115">
        <v>1697.03</v>
      </c>
      <c r="J115">
        <v>2489.17</v>
      </c>
      <c r="K115">
        <v>1887.65</v>
      </c>
      <c r="L115" t="s">
        <v>408</v>
      </c>
      <c r="M115">
        <v>7</v>
      </c>
      <c r="N115" s="2" t="s">
        <v>416</v>
      </c>
      <c r="O115">
        <v>36593</v>
      </c>
      <c r="P115">
        <v>9700</v>
      </c>
      <c r="Q115">
        <v>25808</v>
      </c>
      <c r="R115">
        <v>31756</v>
      </c>
      <c r="S115">
        <v>42412</v>
      </c>
      <c r="T115">
        <v>46506</v>
      </c>
      <c r="U115">
        <v>30583</v>
      </c>
      <c r="V115">
        <v>3671</v>
      </c>
      <c r="W115">
        <v>5688</v>
      </c>
      <c r="X115">
        <v>40076</v>
      </c>
      <c r="Y115">
        <v>49492</v>
      </c>
      <c r="Z115">
        <v>2141</v>
      </c>
    </row>
    <row r="116" spans="1:26">
      <c r="A116" t="s">
        <v>126</v>
      </c>
      <c r="B116" t="s">
        <v>321</v>
      </c>
      <c r="C116" t="s">
        <v>395</v>
      </c>
      <c r="D116" t="s">
        <v>400</v>
      </c>
      <c r="E116" t="s">
        <v>404</v>
      </c>
      <c r="F116">
        <v>4</v>
      </c>
      <c r="G116">
        <v>359.89</v>
      </c>
      <c r="H116">
        <v>8.15</v>
      </c>
      <c r="I116">
        <v>2992.29</v>
      </c>
      <c r="J116">
        <v>2017.57</v>
      </c>
      <c r="K116">
        <v>1753.01</v>
      </c>
      <c r="L116" t="s">
        <v>411</v>
      </c>
      <c r="M116">
        <v>1</v>
      </c>
      <c r="N116" s="2" t="s">
        <v>415</v>
      </c>
      <c r="O116">
        <v>4868</v>
      </c>
      <c r="P116">
        <v>48055</v>
      </c>
      <c r="Q116">
        <v>16235</v>
      </c>
      <c r="R116">
        <v>16299</v>
      </c>
      <c r="S116">
        <v>7332</v>
      </c>
      <c r="T116">
        <v>25251</v>
      </c>
      <c r="U116">
        <v>21552</v>
      </c>
      <c r="V116">
        <v>31994</v>
      </c>
      <c r="W116">
        <v>4826</v>
      </c>
      <c r="X116">
        <v>3424</v>
      </c>
      <c r="Y116">
        <v>34495</v>
      </c>
      <c r="Z116">
        <v>40828</v>
      </c>
    </row>
    <row r="117" spans="1:26">
      <c r="A117" t="s">
        <v>127</v>
      </c>
      <c r="B117" t="s">
        <v>322</v>
      </c>
      <c r="C117" t="s">
        <v>398</v>
      </c>
      <c r="D117" t="s">
        <v>401</v>
      </c>
      <c r="E117" t="s">
        <v>407</v>
      </c>
      <c r="F117">
        <v>8</v>
      </c>
      <c r="G117">
        <v>268.55</v>
      </c>
      <c r="H117">
        <v>11.95</v>
      </c>
      <c r="I117">
        <v>2222.91</v>
      </c>
      <c r="J117">
        <v>1752.7</v>
      </c>
      <c r="K117">
        <v>365.44</v>
      </c>
      <c r="L117" t="s">
        <v>409</v>
      </c>
      <c r="M117">
        <v>7</v>
      </c>
      <c r="N117" s="2" t="s">
        <v>415</v>
      </c>
      <c r="O117">
        <v>9496</v>
      </c>
      <c r="P117">
        <v>33867</v>
      </c>
      <c r="Q117">
        <v>17668</v>
      </c>
      <c r="R117">
        <v>13816</v>
      </c>
      <c r="S117">
        <v>27975</v>
      </c>
      <c r="T117">
        <v>18185</v>
      </c>
      <c r="U117">
        <v>43756</v>
      </c>
      <c r="V117">
        <v>11025</v>
      </c>
      <c r="W117">
        <v>31495</v>
      </c>
      <c r="X117">
        <v>43266</v>
      </c>
      <c r="Y117">
        <v>35960</v>
      </c>
      <c r="Z117">
        <v>42242</v>
      </c>
    </row>
    <row r="118" spans="1:26">
      <c r="A118" t="s">
        <v>128</v>
      </c>
      <c r="B118" t="s">
        <v>323</v>
      </c>
      <c r="C118" t="s">
        <v>399</v>
      </c>
      <c r="D118" t="s">
        <v>402</v>
      </c>
      <c r="E118" t="s">
        <v>405</v>
      </c>
      <c r="F118">
        <v>6</v>
      </c>
      <c r="G118">
        <v>271.88</v>
      </c>
      <c r="H118">
        <v>2.75</v>
      </c>
      <c r="I118">
        <v>4923.32</v>
      </c>
      <c r="J118">
        <v>1078.29</v>
      </c>
      <c r="K118">
        <v>1583.24</v>
      </c>
      <c r="L118" t="s">
        <v>411</v>
      </c>
      <c r="M118">
        <v>1</v>
      </c>
      <c r="N118" s="2" t="s">
        <v>414</v>
      </c>
      <c r="O118">
        <v>19113</v>
      </c>
      <c r="P118">
        <v>22652</v>
      </c>
      <c r="Q118">
        <v>16161</v>
      </c>
      <c r="R118">
        <v>40542</v>
      </c>
      <c r="S118">
        <v>12747</v>
      </c>
      <c r="T118">
        <v>49505</v>
      </c>
      <c r="U118">
        <v>41779</v>
      </c>
      <c r="V118">
        <v>10043</v>
      </c>
      <c r="W118">
        <v>7469</v>
      </c>
      <c r="X118">
        <v>23843</v>
      </c>
      <c r="Y118">
        <v>26589</v>
      </c>
      <c r="Z118">
        <v>44905</v>
      </c>
    </row>
    <row r="119" spans="1:26">
      <c r="A119" t="s">
        <v>129</v>
      </c>
      <c r="B119" t="s">
        <v>324</v>
      </c>
      <c r="C119" t="s">
        <v>399</v>
      </c>
      <c r="D119" t="s">
        <v>402</v>
      </c>
      <c r="E119" t="s">
        <v>404</v>
      </c>
      <c r="F119">
        <v>2</v>
      </c>
      <c r="G119">
        <v>245.73</v>
      </c>
      <c r="H119">
        <v>10.09</v>
      </c>
      <c r="I119">
        <v>832.95</v>
      </c>
      <c r="J119">
        <v>519.9</v>
      </c>
      <c r="K119">
        <v>1170.45</v>
      </c>
      <c r="L119" t="s">
        <v>409</v>
      </c>
      <c r="M119">
        <v>2</v>
      </c>
      <c r="N119" s="2" t="s">
        <v>413</v>
      </c>
      <c r="O119">
        <v>23014</v>
      </c>
      <c r="P119">
        <v>46795</v>
      </c>
      <c r="Q119">
        <v>3722</v>
      </c>
      <c r="R119">
        <v>42911</v>
      </c>
      <c r="S119">
        <v>19429</v>
      </c>
      <c r="T119">
        <v>9468</v>
      </c>
      <c r="U119">
        <v>19705</v>
      </c>
      <c r="V119">
        <v>32556</v>
      </c>
      <c r="W119">
        <v>29645</v>
      </c>
      <c r="X119">
        <v>21859</v>
      </c>
      <c r="Y119">
        <v>21973</v>
      </c>
      <c r="Z119">
        <v>24503</v>
      </c>
    </row>
    <row r="120" spans="1:26">
      <c r="A120" t="s">
        <v>130</v>
      </c>
      <c r="B120" t="s">
        <v>325</v>
      </c>
      <c r="C120" t="s">
        <v>396</v>
      </c>
      <c r="D120" t="s">
        <v>400</v>
      </c>
      <c r="E120" t="s">
        <v>405</v>
      </c>
      <c r="F120">
        <v>4</v>
      </c>
      <c r="G120">
        <v>253.54</v>
      </c>
      <c r="H120">
        <v>15.68</v>
      </c>
      <c r="I120">
        <v>2376.5300000000002</v>
      </c>
      <c r="J120">
        <v>1834.61</v>
      </c>
      <c r="K120">
        <v>1154.82</v>
      </c>
      <c r="L120" t="s">
        <v>409</v>
      </c>
      <c r="M120">
        <v>4</v>
      </c>
      <c r="N120" s="2" t="s">
        <v>416</v>
      </c>
      <c r="O120">
        <v>41931</v>
      </c>
      <c r="P120">
        <v>20782</v>
      </c>
      <c r="Q120">
        <v>13661</v>
      </c>
      <c r="R120">
        <v>24355</v>
      </c>
      <c r="S120">
        <v>46072</v>
      </c>
      <c r="T120">
        <v>10950</v>
      </c>
      <c r="U120">
        <v>26467</v>
      </c>
      <c r="V120">
        <v>40825</v>
      </c>
      <c r="W120">
        <v>1936</v>
      </c>
      <c r="X120">
        <v>47869</v>
      </c>
      <c r="Y120">
        <v>4634</v>
      </c>
      <c r="Z120">
        <v>46510</v>
      </c>
    </row>
    <row r="121" spans="1:26">
      <c r="A121" t="s">
        <v>131</v>
      </c>
      <c r="B121" t="s">
        <v>326</v>
      </c>
      <c r="C121" t="s">
        <v>399</v>
      </c>
      <c r="D121" t="s">
        <v>403</v>
      </c>
      <c r="E121" t="s">
        <v>404</v>
      </c>
      <c r="F121">
        <v>4</v>
      </c>
      <c r="G121">
        <v>385.02</v>
      </c>
      <c r="H121">
        <v>21.97</v>
      </c>
      <c r="I121">
        <v>3434.24</v>
      </c>
      <c r="J121">
        <v>988.43</v>
      </c>
      <c r="K121">
        <v>812.53</v>
      </c>
      <c r="L121" t="s">
        <v>409</v>
      </c>
      <c r="M121">
        <v>1</v>
      </c>
      <c r="N121" s="2" t="s">
        <v>416</v>
      </c>
      <c r="O121">
        <v>48301</v>
      </c>
      <c r="P121">
        <v>36794</v>
      </c>
      <c r="Q121">
        <v>12952</v>
      </c>
      <c r="R121">
        <v>41264</v>
      </c>
      <c r="S121">
        <v>45971</v>
      </c>
      <c r="T121">
        <v>44472</v>
      </c>
      <c r="U121">
        <v>12052</v>
      </c>
      <c r="V121">
        <v>49351</v>
      </c>
      <c r="W121">
        <v>3919</v>
      </c>
      <c r="X121">
        <v>44259</v>
      </c>
      <c r="Y121">
        <v>39190</v>
      </c>
      <c r="Z121">
        <v>11705</v>
      </c>
    </row>
    <row r="122" spans="1:26">
      <c r="A122" t="s">
        <v>132</v>
      </c>
      <c r="B122" t="s">
        <v>327</v>
      </c>
      <c r="C122" t="s">
        <v>396</v>
      </c>
      <c r="D122" t="s">
        <v>400</v>
      </c>
      <c r="E122" t="s">
        <v>404</v>
      </c>
      <c r="F122">
        <v>6</v>
      </c>
      <c r="G122">
        <v>60.46</v>
      </c>
      <c r="H122">
        <v>0.1</v>
      </c>
      <c r="I122">
        <v>2038.17</v>
      </c>
      <c r="J122">
        <v>2605.9899999999998</v>
      </c>
      <c r="K122">
        <v>1027.25</v>
      </c>
      <c r="L122" t="s">
        <v>409</v>
      </c>
      <c r="M122">
        <v>9</v>
      </c>
      <c r="N122" s="2" t="s">
        <v>414</v>
      </c>
      <c r="O122">
        <v>30001</v>
      </c>
      <c r="P122">
        <v>47805</v>
      </c>
      <c r="Q122">
        <v>33492</v>
      </c>
      <c r="R122">
        <v>42259</v>
      </c>
      <c r="S122">
        <v>8124</v>
      </c>
      <c r="T122">
        <v>10381</v>
      </c>
      <c r="U122">
        <v>33066</v>
      </c>
      <c r="V122">
        <v>17504</v>
      </c>
      <c r="W122">
        <v>7494</v>
      </c>
      <c r="X122">
        <v>32463</v>
      </c>
      <c r="Y122">
        <v>15781</v>
      </c>
      <c r="Z122">
        <v>32910</v>
      </c>
    </row>
    <row r="123" spans="1:26">
      <c r="A123" t="s">
        <v>133</v>
      </c>
      <c r="B123" t="s">
        <v>328</v>
      </c>
      <c r="C123" t="s">
        <v>397</v>
      </c>
      <c r="D123" t="s">
        <v>402</v>
      </c>
      <c r="E123" t="s">
        <v>404</v>
      </c>
      <c r="F123">
        <v>6</v>
      </c>
      <c r="G123">
        <v>173.84</v>
      </c>
      <c r="H123">
        <v>14.02</v>
      </c>
      <c r="I123">
        <v>4876.03</v>
      </c>
      <c r="J123">
        <v>2980.34</v>
      </c>
      <c r="K123">
        <v>824.5</v>
      </c>
      <c r="L123" t="s">
        <v>411</v>
      </c>
      <c r="M123">
        <v>6</v>
      </c>
      <c r="N123" s="2" t="s">
        <v>413</v>
      </c>
      <c r="O123">
        <v>48286</v>
      </c>
      <c r="P123">
        <v>13858</v>
      </c>
      <c r="Q123">
        <v>30803</v>
      </c>
      <c r="R123">
        <v>6597</v>
      </c>
      <c r="S123">
        <v>47916</v>
      </c>
      <c r="T123">
        <v>2755</v>
      </c>
      <c r="U123">
        <v>30963</v>
      </c>
      <c r="V123">
        <v>36262</v>
      </c>
      <c r="W123">
        <v>27787</v>
      </c>
      <c r="X123">
        <v>16129</v>
      </c>
      <c r="Y123">
        <v>14147</v>
      </c>
      <c r="Z123">
        <v>26176</v>
      </c>
    </row>
    <row r="124" spans="1:26">
      <c r="A124" t="s">
        <v>134</v>
      </c>
      <c r="B124" t="s">
        <v>329</v>
      </c>
      <c r="C124" t="s">
        <v>398</v>
      </c>
      <c r="D124" t="s">
        <v>401</v>
      </c>
      <c r="E124" t="s">
        <v>407</v>
      </c>
      <c r="F124">
        <v>1</v>
      </c>
      <c r="G124">
        <v>47</v>
      </c>
      <c r="H124">
        <v>8.91</v>
      </c>
      <c r="I124">
        <v>3637.25</v>
      </c>
      <c r="J124">
        <v>2269.66</v>
      </c>
      <c r="K124">
        <v>1102.48</v>
      </c>
      <c r="L124" t="s">
        <v>409</v>
      </c>
      <c r="M124">
        <v>1</v>
      </c>
      <c r="N124" s="2" t="s">
        <v>413</v>
      </c>
      <c r="O124">
        <v>25916</v>
      </c>
      <c r="P124">
        <v>34624</v>
      </c>
      <c r="Q124">
        <v>28918</v>
      </c>
      <c r="R124">
        <v>24186</v>
      </c>
      <c r="S124">
        <v>6660</v>
      </c>
      <c r="T124">
        <v>39934</v>
      </c>
      <c r="U124">
        <v>42931</v>
      </c>
      <c r="V124">
        <v>45941</v>
      </c>
      <c r="W124">
        <v>21419</v>
      </c>
      <c r="X124">
        <v>44255</v>
      </c>
      <c r="Y124">
        <v>41104</v>
      </c>
      <c r="Z124">
        <v>4819</v>
      </c>
    </row>
    <row r="125" spans="1:26">
      <c r="A125" t="s">
        <v>135</v>
      </c>
      <c r="B125" t="s">
        <v>248</v>
      </c>
      <c r="C125" t="s">
        <v>396</v>
      </c>
      <c r="D125" t="s">
        <v>400</v>
      </c>
      <c r="E125" t="s">
        <v>407</v>
      </c>
      <c r="F125">
        <v>8</v>
      </c>
      <c r="G125">
        <v>379.09</v>
      </c>
      <c r="H125">
        <v>25.58</v>
      </c>
      <c r="I125">
        <v>3319.22</v>
      </c>
      <c r="J125">
        <v>316.92</v>
      </c>
      <c r="K125">
        <v>1274.5</v>
      </c>
      <c r="L125" t="s">
        <v>409</v>
      </c>
      <c r="M125">
        <v>1</v>
      </c>
      <c r="N125" s="2" t="s">
        <v>415</v>
      </c>
      <c r="O125">
        <v>2565</v>
      </c>
      <c r="P125">
        <v>6017</v>
      </c>
      <c r="Q125">
        <v>27043</v>
      </c>
      <c r="R125">
        <v>46283</v>
      </c>
      <c r="S125">
        <v>17541</v>
      </c>
      <c r="T125">
        <v>11487</v>
      </c>
      <c r="U125">
        <v>22171</v>
      </c>
      <c r="V125">
        <v>43309</v>
      </c>
      <c r="W125">
        <v>16360</v>
      </c>
      <c r="X125">
        <v>3375</v>
      </c>
      <c r="Y125">
        <v>23576</v>
      </c>
      <c r="Z125">
        <v>24133</v>
      </c>
    </row>
    <row r="126" spans="1:26">
      <c r="A126" t="s">
        <v>136</v>
      </c>
      <c r="B126" t="s">
        <v>330</v>
      </c>
      <c r="C126" t="s">
        <v>397</v>
      </c>
      <c r="D126" t="s">
        <v>402</v>
      </c>
      <c r="E126" t="s">
        <v>405</v>
      </c>
      <c r="F126">
        <v>6</v>
      </c>
      <c r="G126">
        <v>143.43</v>
      </c>
      <c r="H126">
        <v>21.47</v>
      </c>
      <c r="I126">
        <v>3809.59</v>
      </c>
      <c r="J126">
        <v>901.62</v>
      </c>
      <c r="K126">
        <v>1364.89</v>
      </c>
      <c r="L126" t="s">
        <v>408</v>
      </c>
      <c r="M126">
        <v>6</v>
      </c>
      <c r="N126" s="2" t="s">
        <v>415</v>
      </c>
      <c r="O126">
        <v>28759</v>
      </c>
      <c r="P126">
        <v>20388</v>
      </c>
      <c r="Q126">
        <v>25268</v>
      </c>
      <c r="R126">
        <v>16132</v>
      </c>
      <c r="S126">
        <v>43134</v>
      </c>
      <c r="T126">
        <v>43854</v>
      </c>
      <c r="U126">
        <v>25001</v>
      </c>
      <c r="V126">
        <v>6243</v>
      </c>
      <c r="W126">
        <v>47181</v>
      </c>
      <c r="X126">
        <v>48125</v>
      </c>
      <c r="Y126">
        <v>15699</v>
      </c>
      <c r="Z126">
        <v>11351</v>
      </c>
    </row>
    <row r="127" spans="1:26">
      <c r="A127" t="s">
        <v>137</v>
      </c>
      <c r="B127" t="s">
        <v>331</v>
      </c>
      <c r="C127" t="s">
        <v>399</v>
      </c>
      <c r="D127" t="s">
        <v>400</v>
      </c>
      <c r="E127" t="s">
        <v>404</v>
      </c>
      <c r="F127">
        <v>3</v>
      </c>
      <c r="G127">
        <v>449.74</v>
      </c>
      <c r="H127">
        <v>17.670000000000002</v>
      </c>
      <c r="I127">
        <v>4767.9799999999996</v>
      </c>
      <c r="J127">
        <v>371.87</v>
      </c>
      <c r="K127">
        <v>1088.3399999999999</v>
      </c>
      <c r="L127" t="s">
        <v>410</v>
      </c>
      <c r="M127">
        <v>4</v>
      </c>
      <c r="N127" s="2" t="s">
        <v>416</v>
      </c>
      <c r="O127">
        <v>12689</v>
      </c>
      <c r="P127">
        <v>9498</v>
      </c>
      <c r="Q127">
        <v>38452</v>
      </c>
      <c r="R127">
        <v>22134</v>
      </c>
      <c r="S127">
        <v>23939</v>
      </c>
      <c r="T127">
        <v>10312</v>
      </c>
      <c r="U127">
        <v>36048</v>
      </c>
      <c r="V127">
        <v>14066</v>
      </c>
      <c r="W127">
        <v>42103</v>
      </c>
      <c r="X127">
        <v>36051</v>
      </c>
      <c r="Y127">
        <v>43018</v>
      </c>
      <c r="Z127">
        <v>12348</v>
      </c>
    </row>
    <row r="128" spans="1:26">
      <c r="A128" t="s">
        <v>138</v>
      </c>
      <c r="B128" t="s">
        <v>235</v>
      </c>
      <c r="C128" t="s">
        <v>399</v>
      </c>
      <c r="D128" t="s">
        <v>403</v>
      </c>
      <c r="E128" t="s">
        <v>404</v>
      </c>
      <c r="F128">
        <v>9</v>
      </c>
      <c r="G128">
        <v>268.02</v>
      </c>
      <c r="H128">
        <v>8.32</v>
      </c>
      <c r="I128">
        <v>4548.3100000000004</v>
      </c>
      <c r="J128">
        <v>1969.01</v>
      </c>
      <c r="K128">
        <v>1456.77</v>
      </c>
      <c r="L128" t="s">
        <v>410</v>
      </c>
      <c r="M128">
        <v>4</v>
      </c>
      <c r="N128" s="2" t="s">
        <v>416</v>
      </c>
      <c r="O128">
        <v>19413</v>
      </c>
      <c r="P128">
        <v>45839</v>
      </c>
      <c r="Q128">
        <v>41506</v>
      </c>
      <c r="R128">
        <v>3129</v>
      </c>
      <c r="S128">
        <v>17986</v>
      </c>
      <c r="T128">
        <v>12005</v>
      </c>
      <c r="U128">
        <v>20294</v>
      </c>
      <c r="V128">
        <v>43131</v>
      </c>
      <c r="W128">
        <v>14924</v>
      </c>
      <c r="X128">
        <v>37215</v>
      </c>
      <c r="Y128">
        <v>28181</v>
      </c>
      <c r="Z128">
        <v>19690</v>
      </c>
    </row>
    <row r="129" spans="1:26">
      <c r="A129" t="s">
        <v>139</v>
      </c>
      <c r="B129" t="s">
        <v>332</v>
      </c>
      <c r="C129" t="s">
        <v>397</v>
      </c>
      <c r="D129" t="s">
        <v>400</v>
      </c>
      <c r="E129" t="s">
        <v>407</v>
      </c>
      <c r="F129">
        <v>2</v>
      </c>
      <c r="G129">
        <v>402.37</v>
      </c>
      <c r="H129">
        <v>27.31</v>
      </c>
      <c r="I129">
        <v>3649</v>
      </c>
      <c r="J129">
        <v>2307.31</v>
      </c>
      <c r="K129">
        <v>325.49</v>
      </c>
      <c r="L129" t="s">
        <v>408</v>
      </c>
      <c r="M129">
        <v>6</v>
      </c>
      <c r="N129" s="2" t="s">
        <v>415</v>
      </c>
      <c r="O129">
        <v>3386</v>
      </c>
      <c r="P129">
        <v>17227</v>
      </c>
      <c r="Q129">
        <v>43635</v>
      </c>
      <c r="R129">
        <v>41169</v>
      </c>
      <c r="S129">
        <v>9174</v>
      </c>
      <c r="T129">
        <v>23800</v>
      </c>
      <c r="U129">
        <v>22738</v>
      </c>
      <c r="V129">
        <v>29500</v>
      </c>
      <c r="W129">
        <v>43399</v>
      </c>
      <c r="X129">
        <v>28187</v>
      </c>
      <c r="Y129">
        <v>33606</v>
      </c>
      <c r="Z129">
        <v>25418</v>
      </c>
    </row>
    <row r="130" spans="1:26">
      <c r="A130" t="s">
        <v>140</v>
      </c>
      <c r="B130" t="s">
        <v>333</v>
      </c>
      <c r="C130" t="s">
        <v>399</v>
      </c>
      <c r="D130" t="s">
        <v>400</v>
      </c>
      <c r="E130" t="s">
        <v>404</v>
      </c>
      <c r="F130">
        <v>8</v>
      </c>
      <c r="G130">
        <v>489.68</v>
      </c>
      <c r="H130">
        <v>1.35</v>
      </c>
      <c r="I130">
        <v>3770.89</v>
      </c>
      <c r="J130">
        <v>2780.74</v>
      </c>
      <c r="K130">
        <v>463.37</v>
      </c>
      <c r="L130" t="s">
        <v>408</v>
      </c>
      <c r="M130">
        <v>7</v>
      </c>
      <c r="N130" s="2" t="s">
        <v>413</v>
      </c>
      <c r="O130">
        <v>33754</v>
      </c>
      <c r="P130">
        <v>36453</v>
      </c>
      <c r="Q130">
        <v>24217</v>
      </c>
      <c r="R130">
        <v>39814</v>
      </c>
      <c r="S130">
        <v>39539</v>
      </c>
      <c r="T130">
        <v>49590</v>
      </c>
      <c r="U130">
        <v>13272</v>
      </c>
      <c r="V130">
        <v>31285</v>
      </c>
      <c r="W130">
        <v>34709</v>
      </c>
      <c r="X130">
        <v>42880</v>
      </c>
      <c r="Y130">
        <v>14205</v>
      </c>
      <c r="Z130">
        <v>45375</v>
      </c>
    </row>
    <row r="131" spans="1:26">
      <c r="A131" t="s">
        <v>141</v>
      </c>
      <c r="B131" t="s">
        <v>334</v>
      </c>
      <c r="C131" t="s">
        <v>397</v>
      </c>
      <c r="D131" t="s">
        <v>402</v>
      </c>
      <c r="E131" t="s">
        <v>407</v>
      </c>
      <c r="F131">
        <v>3</v>
      </c>
      <c r="G131">
        <v>421.5</v>
      </c>
      <c r="H131">
        <v>3.28</v>
      </c>
      <c r="I131">
        <v>815.02</v>
      </c>
      <c r="J131">
        <v>1342.61</v>
      </c>
      <c r="K131">
        <v>1646.53</v>
      </c>
      <c r="L131" t="s">
        <v>411</v>
      </c>
      <c r="M131">
        <v>9</v>
      </c>
      <c r="N131" s="2" t="s">
        <v>415</v>
      </c>
      <c r="O131">
        <v>14024</v>
      </c>
      <c r="P131">
        <v>38667</v>
      </c>
      <c r="Q131">
        <v>7125</v>
      </c>
      <c r="R131">
        <v>7480</v>
      </c>
      <c r="S131">
        <v>39744</v>
      </c>
      <c r="T131">
        <v>47366</v>
      </c>
      <c r="U131">
        <v>49748</v>
      </c>
      <c r="V131">
        <v>17877</v>
      </c>
      <c r="W131">
        <v>5956</v>
      </c>
      <c r="X131">
        <v>42381</v>
      </c>
      <c r="Y131">
        <v>4068</v>
      </c>
      <c r="Z131">
        <v>45668</v>
      </c>
    </row>
    <row r="132" spans="1:26">
      <c r="A132" t="s">
        <v>142</v>
      </c>
      <c r="B132" t="s">
        <v>335</v>
      </c>
      <c r="C132" t="s">
        <v>396</v>
      </c>
      <c r="D132" t="s">
        <v>402</v>
      </c>
      <c r="E132" t="s">
        <v>404</v>
      </c>
      <c r="F132">
        <v>5</v>
      </c>
      <c r="G132">
        <v>434.83</v>
      </c>
      <c r="H132">
        <v>11.75</v>
      </c>
      <c r="I132">
        <v>603.67999999999995</v>
      </c>
      <c r="J132">
        <v>2709.06</v>
      </c>
      <c r="K132">
        <v>678.93</v>
      </c>
      <c r="L132" t="s">
        <v>411</v>
      </c>
      <c r="M132">
        <v>5</v>
      </c>
      <c r="N132" s="2" t="s">
        <v>413</v>
      </c>
      <c r="O132">
        <v>18575</v>
      </c>
      <c r="P132">
        <v>3495</v>
      </c>
      <c r="Q132">
        <v>44987</v>
      </c>
      <c r="R132">
        <v>19382</v>
      </c>
      <c r="S132">
        <v>21377</v>
      </c>
      <c r="T132">
        <v>8556</v>
      </c>
      <c r="U132">
        <v>48272</v>
      </c>
      <c r="V132">
        <v>9045</v>
      </c>
      <c r="W132">
        <v>19236</v>
      </c>
      <c r="X132">
        <v>31739</v>
      </c>
      <c r="Y132">
        <v>4296</v>
      </c>
      <c r="Z132">
        <v>45953</v>
      </c>
    </row>
    <row r="133" spans="1:26">
      <c r="A133" t="s">
        <v>143</v>
      </c>
      <c r="B133" t="s">
        <v>336</v>
      </c>
      <c r="C133" t="s">
        <v>396</v>
      </c>
      <c r="D133" t="s">
        <v>402</v>
      </c>
      <c r="E133" t="s">
        <v>405</v>
      </c>
      <c r="F133">
        <v>6</v>
      </c>
      <c r="G133">
        <v>209.91</v>
      </c>
      <c r="H133">
        <v>3.73</v>
      </c>
      <c r="I133">
        <v>2897.43</v>
      </c>
      <c r="J133">
        <v>2639.78</v>
      </c>
      <c r="K133">
        <v>94.64</v>
      </c>
      <c r="L133" t="s">
        <v>411</v>
      </c>
      <c r="M133">
        <v>9</v>
      </c>
      <c r="N133" s="2" t="s">
        <v>416</v>
      </c>
      <c r="O133">
        <v>35386</v>
      </c>
      <c r="P133">
        <v>15955</v>
      </c>
      <c r="Q133">
        <v>46804</v>
      </c>
      <c r="R133">
        <v>43348</v>
      </c>
      <c r="S133">
        <v>14972</v>
      </c>
      <c r="T133">
        <v>16141</v>
      </c>
      <c r="U133">
        <v>46784</v>
      </c>
      <c r="V133">
        <v>6902</v>
      </c>
      <c r="W133">
        <v>36218</v>
      </c>
      <c r="X133">
        <v>15343</v>
      </c>
      <c r="Y133">
        <v>7949</v>
      </c>
      <c r="Z133">
        <v>30752</v>
      </c>
    </row>
    <row r="134" spans="1:26">
      <c r="A134" t="s">
        <v>144</v>
      </c>
      <c r="B134" t="s">
        <v>337</v>
      </c>
      <c r="C134" t="s">
        <v>397</v>
      </c>
      <c r="D134" t="s">
        <v>400</v>
      </c>
      <c r="E134" t="s">
        <v>404</v>
      </c>
      <c r="F134">
        <v>6</v>
      </c>
      <c r="G134">
        <v>280.33999999999997</v>
      </c>
      <c r="H134">
        <v>28.69</v>
      </c>
      <c r="I134">
        <v>190</v>
      </c>
      <c r="J134">
        <v>985.73</v>
      </c>
      <c r="K134">
        <v>349.89</v>
      </c>
      <c r="L134" t="s">
        <v>408</v>
      </c>
      <c r="M134">
        <v>4</v>
      </c>
      <c r="N134" s="2" t="s">
        <v>414</v>
      </c>
      <c r="O134">
        <v>3128</v>
      </c>
      <c r="P134">
        <v>38253</v>
      </c>
      <c r="Q134">
        <v>11667</v>
      </c>
      <c r="R134">
        <v>42491</v>
      </c>
      <c r="S134">
        <v>7393</v>
      </c>
      <c r="T134">
        <v>27617</v>
      </c>
      <c r="U134">
        <v>26603</v>
      </c>
      <c r="V134">
        <v>4218</v>
      </c>
      <c r="W134">
        <v>43862</v>
      </c>
      <c r="X134">
        <v>43772</v>
      </c>
      <c r="Y134">
        <v>6946</v>
      </c>
      <c r="Z134">
        <v>12567</v>
      </c>
    </row>
    <row r="135" spans="1:26">
      <c r="A135" t="s">
        <v>145</v>
      </c>
      <c r="B135" t="s">
        <v>338</v>
      </c>
      <c r="C135" t="s">
        <v>396</v>
      </c>
      <c r="D135" t="s">
        <v>403</v>
      </c>
      <c r="E135" t="s">
        <v>404</v>
      </c>
      <c r="F135">
        <v>4</v>
      </c>
      <c r="G135">
        <v>134.41</v>
      </c>
      <c r="H135">
        <v>23.94</v>
      </c>
      <c r="I135">
        <v>2463.5500000000002</v>
      </c>
      <c r="J135">
        <v>2613.2600000000002</v>
      </c>
      <c r="K135">
        <v>486.05</v>
      </c>
      <c r="L135" t="s">
        <v>408</v>
      </c>
      <c r="M135">
        <v>2</v>
      </c>
      <c r="N135" s="2" t="s">
        <v>413</v>
      </c>
      <c r="O135">
        <v>43174</v>
      </c>
      <c r="P135">
        <v>39715</v>
      </c>
      <c r="Q135">
        <v>10126</v>
      </c>
      <c r="R135">
        <v>12899</v>
      </c>
      <c r="S135">
        <v>3432</v>
      </c>
      <c r="T135">
        <v>20005</v>
      </c>
      <c r="U135">
        <v>15406</v>
      </c>
      <c r="V135">
        <v>48474</v>
      </c>
      <c r="W135">
        <v>28109</v>
      </c>
      <c r="X135">
        <v>1432</v>
      </c>
      <c r="Y135">
        <v>42796</v>
      </c>
      <c r="Z135">
        <v>27693</v>
      </c>
    </row>
    <row r="136" spans="1:26">
      <c r="A136" t="s">
        <v>146</v>
      </c>
      <c r="B136" t="s">
        <v>339</v>
      </c>
      <c r="C136" t="s">
        <v>396</v>
      </c>
      <c r="D136" t="s">
        <v>401</v>
      </c>
      <c r="E136" t="s">
        <v>406</v>
      </c>
      <c r="F136">
        <v>3</v>
      </c>
      <c r="G136">
        <v>106.1</v>
      </c>
      <c r="H136">
        <v>7.77</v>
      </c>
      <c r="I136">
        <v>1130.71</v>
      </c>
      <c r="J136">
        <v>1158.23</v>
      </c>
      <c r="K136">
        <v>1916.78</v>
      </c>
      <c r="L136" t="s">
        <v>409</v>
      </c>
      <c r="M136">
        <v>3</v>
      </c>
      <c r="N136" s="2" t="s">
        <v>416</v>
      </c>
      <c r="O136">
        <v>48756</v>
      </c>
      <c r="P136">
        <v>14866</v>
      </c>
      <c r="Q136">
        <v>43227</v>
      </c>
      <c r="R136">
        <v>30574</v>
      </c>
      <c r="S136">
        <v>28811</v>
      </c>
      <c r="T136">
        <v>20453</v>
      </c>
      <c r="U136">
        <v>4437</v>
      </c>
      <c r="V136">
        <v>49987</v>
      </c>
      <c r="W136">
        <v>43765</v>
      </c>
      <c r="X136">
        <v>38218</v>
      </c>
      <c r="Y136">
        <v>38588</v>
      </c>
      <c r="Z136">
        <v>41793</v>
      </c>
    </row>
    <row r="137" spans="1:26">
      <c r="A137" t="s">
        <v>147</v>
      </c>
      <c r="B137" t="s">
        <v>340</v>
      </c>
      <c r="C137" t="s">
        <v>396</v>
      </c>
      <c r="D137" t="s">
        <v>401</v>
      </c>
      <c r="E137" t="s">
        <v>407</v>
      </c>
      <c r="F137">
        <v>4</v>
      </c>
      <c r="G137">
        <v>257.7</v>
      </c>
      <c r="H137">
        <v>17.66</v>
      </c>
      <c r="I137">
        <v>1795.48</v>
      </c>
      <c r="J137">
        <v>925.76</v>
      </c>
      <c r="K137">
        <v>1167.43</v>
      </c>
      <c r="L137" t="s">
        <v>411</v>
      </c>
      <c r="M137">
        <v>1</v>
      </c>
      <c r="N137" s="2" t="s">
        <v>415</v>
      </c>
      <c r="O137">
        <v>39926</v>
      </c>
      <c r="P137">
        <v>12378</v>
      </c>
      <c r="Q137">
        <v>47978</v>
      </c>
      <c r="R137">
        <v>19980</v>
      </c>
      <c r="S137">
        <v>40458</v>
      </c>
      <c r="T137">
        <v>48354</v>
      </c>
      <c r="U137">
        <v>17207</v>
      </c>
      <c r="V137">
        <v>37739</v>
      </c>
      <c r="W137">
        <v>34917</v>
      </c>
      <c r="X137">
        <v>22963</v>
      </c>
      <c r="Y137">
        <v>18033</v>
      </c>
      <c r="Z137">
        <v>27562</v>
      </c>
    </row>
    <row r="138" spans="1:26">
      <c r="A138" t="s">
        <v>148</v>
      </c>
      <c r="B138" t="s">
        <v>341</v>
      </c>
      <c r="C138" t="s">
        <v>395</v>
      </c>
      <c r="D138" t="s">
        <v>402</v>
      </c>
      <c r="E138" t="s">
        <v>404</v>
      </c>
      <c r="F138">
        <v>1</v>
      </c>
      <c r="G138">
        <v>301.57</v>
      </c>
      <c r="H138">
        <v>29.47</v>
      </c>
      <c r="I138">
        <v>3901.44</v>
      </c>
      <c r="J138">
        <v>1964.77</v>
      </c>
      <c r="K138">
        <v>1868.82</v>
      </c>
      <c r="L138" t="s">
        <v>411</v>
      </c>
      <c r="M138">
        <v>6</v>
      </c>
      <c r="N138" s="2" t="s">
        <v>414</v>
      </c>
      <c r="O138">
        <v>31821</v>
      </c>
      <c r="P138">
        <v>18712</v>
      </c>
      <c r="Q138">
        <v>21610</v>
      </c>
      <c r="R138">
        <v>25253</v>
      </c>
      <c r="S138">
        <v>48664</v>
      </c>
      <c r="T138">
        <v>13931</v>
      </c>
      <c r="U138">
        <v>11780</v>
      </c>
      <c r="V138">
        <v>44085</v>
      </c>
      <c r="W138">
        <v>15242</v>
      </c>
      <c r="X138">
        <v>30025</v>
      </c>
      <c r="Y138">
        <v>6476</v>
      </c>
      <c r="Z138">
        <v>32148</v>
      </c>
    </row>
    <row r="139" spans="1:26">
      <c r="A139" t="s">
        <v>149</v>
      </c>
      <c r="B139" t="s">
        <v>342</v>
      </c>
      <c r="C139" t="s">
        <v>398</v>
      </c>
      <c r="D139" t="s">
        <v>402</v>
      </c>
      <c r="E139" t="s">
        <v>404</v>
      </c>
      <c r="F139">
        <v>4</v>
      </c>
      <c r="G139">
        <v>176.24</v>
      </c>
      <c r="H139">
        <v>26.53</v>
      </c>
      <c r="I139">
        <v>4712.0600000000004</v>
      </c>
      <c r="J139">
        <v>1018.72</v>
      </c>
      <c r="K139">
        <v>1171.57</v>
      </c>
      <c r="L139" t="s">
        <v>411</v>
      </c>
      <c r="M139">
        <v>6</v>
      </c>
      <c r="N139" s="2" t="s">
        <v>414</v>
      </c>
      <c r="O139">
        <v>40715</v>
      </c>
      <c r="P139">
        <v>5842</v>
      </c>
      <c r="Q139">
        <v>30639</v>
      </c>
      <c r="R139">
        <v>28374</v>
      </c>
      <c r="S139">
        <v>19674</v>
      </c>
      <c r="T139">
        <v>13562</v>
      </c>
      <c r="U139">
        <v>21946</v>
      </c>
      <c r="V139">
        <v>29693</v>
      </c>
      <c r="W139">
        <v>5642</v>
      </c>
      <c r="X139">
        <v>21278</v>
      </c>
      <c r="Y139">
        <v>46912</v>
      </c>
      <c r="Z139">
        <v>7007</v>
      </c>
    </row>
    <row r="140" spans="1:26">
      <c r="A140" t="s">
        <v>150</v>
      </c>
      <c r="B140" t="s">
        <v>343</v>
      </c>
      <c r="C140" t="s">
        <v>399</v>
      </c>
      <c r="D140" t="s">
        <v>400</v>
      </c>
      <c r="E140" t="s">
        <v>406</v>
      </c>
      <c r="F140">
        <v>1</v>
      </c>
      <c r="G140">
        <v>289.02999999999997</v>
      </c>
      <c r="H140">
        <v>18.02</v>
      </c>
      <c r="I140">
        <v>454.84</v>
      </c>
      <c r="J140">
        <v>1909.12</v>
      </c>
      <c r="K140">
        <v>984.74</v>
      </c>
      <c r="L140" t="s">
        <v>410</v>
      </c>
      <c r="M140">
        <v>1</v>
      </c>
      <c r="N140" s="2" t="s">
        <v>415</v>
      </c>
      <c r="O140">
        <v>4590</v>
      </c>
      <c r="P140">
        <v>19502</v>
      </c>
      <c r="Q140">
        <v>48348</v>
      </c>
      <c r="R140">
        <v>2018</v>
      </c>
      <c r="S140">
        <v>7299</v>
      </c>
      <c r="T140">
        <v>33764</v>
      </c>
      <c r="U140">
        <v>30161</v>
      </c>
      <c r="V140">
        <v>47316</v>
      </c>
      <c r="W140">
        <v>48876</v>
      </c>
      <c r="X140">
        <v>39804</v>
      </c>
      <c r="Y140">
        <v>30000</v>
      </c>
      <c r="Z140">
        <v>25458</v>
      </c>
    </row>
    <row r="141" spans="1:26">
      <c r="A141" t="s">
        <v>151</v>
      </c>
      <c r="B141" t="s">
        <v>344</v>
      </c>
      <c r="C141" t="s">
        <v>395</v>
      </c>
      <c r="D141" t="s">
        <v>401</v>
      </c>
      <c r="E141" t="s">
        <v>406</v>
      </c>
      <c r="F141">
        <v>1</v>
      </c>
      <c r="G141">
        <v>444.86</v>
      </c>
      <c r="H141">
        <v>27.11</v>
      </c>
      <c r="I141">
        <v>2717.79</v>
      </c>
      <c r="J141">
        <v>1849</v>
      </c>
      <c r="K141">
        <v>661.77</v>
      </c>
      <c r="L141" t="s">
        <v>409</v>
      </c>
      <c r="M141">
        <v>3</v>
      </c>
      <c r="N141" s="2" t="s">
        <v>413</v>
      </c>
      <c r="O141">
        <v>45217</v>
      </c>
      <c r="P141">
        <v>42692</v>
      </c>
      <c r="Q141">
        <v>28785</v>
      </c>
      <c r="R141">
        <v>19860</v>
      </c>
      <c r="S141">
        <v>30342</v>
      </c>
      <c r="T141">
        <v>41366</v>
      </c>
      <c r="U141">
        <v>3920</v>
      </c>
      <c r="V141">
        <v>37723</v>
      </c>
      <c r="W141">
        <v>16433</v>
      </c>
      <c r="X141">
        <v>30501</v>
      </c>
      <c r="Y141">
        <v>21153</v>
      </c>
      <c r="Z141">
        <v>9572</v>
      </c>
    </row>
    <row r="142" spans="1:26">
      <c r="A142" t="s">
        <v>152</v>
      </c>
      <c r="B142" t="s">
        <v>345</v>
      </c>
      <c r="C142" t="s">
        <v>396</v>
      </c>
      <c r="D142" t="s">
        <v>402</v>
      </c>
      <c r="E142" t="s">
        <v>407</v>
      </c>
      <c r="F142">
        <v>6</v>
      </c>
      <c r="G142">
        <v>282.79000000000002</v>
      </c>
      <c r="H142">
        <v>29.68</v>
      </c>
      <c r="I142">
        <v>4424.41</v>
      </c>
      <c r="J142">
        <v>1712.14</v>
      </c>
      <c r="K142">
        <v>1232.42</v>
      </c>
      <c r="L142" t="s">
        <v>411</v>
      </c>
      <c r="M142">
        <v>5</v>
      </c>
      <c r="N142" s="2" t="s">
        <v>414</v>
      </c>
      <c r="O142">
        <v>48658</v>
      </c>
      <c r="P142">
        <v>37036</v>
      </c>
      <c r="Q142">
        <v>26660</v>
      </c>
      <c r="R142">
        <v>22394</v>
      </c>
      <c r="S142">
        <v>45283</v>
      </c>
      <c r="T142">
        <v>26049</v>
      </c>
      <c r="U142">
        <v>41184</v>
      </c>
      <c r="V142">
        <v>1810</v>
      </c>
      <c r="W142">
        <v>5502</v>
      </c>
      <c r="X142">
        <v>16376</v>
      </c>
      <c r="Y142">
        <v>5857</v>
      </c>
      <c r="Z142">
        <v>14946</v>
      </c>
    </row>
    <row r="143" spans="1:26">
      <c r="A143" t="s">
        <v>153</v>
      </c>
      <c r="B143" t="s">
        <v>346</v>
      </c>
      <c r="C143" t="s">
        <v>397</v>
      </c>
      <c r="D143" t="s">
        <v>403</v>
      </c>
      <c r="E143" t="s">
        <v>406</v>
      </c>
      <c r="F143">
        <v>5</v>
      </c>
      <c r="G143">
        <v>363.2</v>
      </c>
      <c r="H143">
        <v>22.3</v>
      </c>
      <c r="I143">
        <v>504.29</v>
      </c>
      <c r="J143">
        <v>1172.24</v>
      </c>
      <c r="K143">
        <v>321.44</v>
      </c>
      <c r="L143" t="s">
        <v>411</v>
      </c>
      <c r="M143">
        <v>3</v>
      </c>
      <c r="N143" s="2" t="s">
        <v>414</v>
      </c>
      <c r="O143">
        <v>20804</v>
      </c>
      <c r="P143">
        <v>19998</v>
      </c>
      <c r="Q143">
        <v>34635</v>
      </c>
      <c r="R143">
        <v>17013</v>
      </c>
      <c r="S143">
        <v>17530</v>
      </c>
      <c r="T143">
        <v>17720</v>
      </c>
      <c r="U143">
        <v>47176</v>
      </c>
      <c r="V143">
        <v>14448</v>
      </c>
      <c r="W143">
        <v>36574</v>
      </c>
      <c r="X143">
        <v>32178</v>
      </c>
      <c r="Y143">
        <v>48295</v>
      </c>
      <c r="Z143">
        <v>24094</v>
      </c>
    </row>
    <row r="144" spans="1:26">
      <c r="A144" t="s">
        <v>154</v>
      </c>
      <c r="B144" t="s">
        <v>325</v>
      </c>
      <c r="C144" t="s">
        <v>396</v>
      </c>
      <c r="D144" t="s">
        <v>403</v>
      </c>
      <c r="E144" t="s">
        <v>405</v>
      </c>
      <c r="F144">
        <v>4</v>
      </c>
      <c r="G144">
        <v>404.6</v>
      </c>
      <c r="H144">
        <v>1.95</v>
      </c>
      <c r="I144">
        <v>4140.12</v>
      </c>
      <c r="J144">
        <v>1668.07</v>
      </c>
      <c r="K144">
        <v>1801.61</v>
      </c>
      <c r="L144" t="s">
        <v>411</v>
      </c>
      <c r="M144">
        <v>3</v>
      </c>
      <c r="N144" s="2" t="s">
        <v>415</v>
      </c>
      <c r="O144">
        <v>24404</v>
      </c>
      <c r="P144">
        <v>25175</v>
      </c>
      <c r="Q144">
        <v>1338</v>
      </c>
      <c r="R144">
        <v>30540</v>
      </c>
      <c r="S144">
        <v>7433</v>
      </c>
      <c r="T144">
        <v>22707</v>
      </c>
      <c r="U144">
        <v>16334</v>
      </c>
      <c r="V144">
        <v>37315</v>
      </c>
      <c r="W144">
        <v>23875</v>
      </c>
      <c r="X144">
        <v>24645</v>
      </c>
      <c r="Y144">
        <v>35729</v>
      </c>
      <c r="Z144">
        <v>23461</v>
      </c>
    </row>
    <row r="145" spans="1:26">
      <c r="A145" t="s">
        <v>155</v>
      </c>
      <c r="B145" t="s">
        <v>347</v>
      </c>
      <c r="C145" t="s">
        <v>398</v>
      </c>
      <c r="D145" t="s">
        <v>402</v>
      </c>
      <c r="E145" t="s">
        <v>406</v>
      </c>
      <c r="F145">
        <v>3</v>
      </c>
      <c r="G145">
        <v>494.48</v>
      </c>
      <c r="H145">
        <v>12.05</v>
      </c>
      <c r="I145">
        <v>1853.23</v>
      </c>
      <c r="J145">
        <v>1809.63</v>
      </c>
      <c r="K145">
        <v>1667.2</v>
      </c>
      <c r="L145" t="s">
        <v>410</v>
      </c>
      <c r="M145">
        <v>3</v>
      </c>
      <c r="N145" s="2" t="s">
        <v>413</v>
      </c>
      <c r="O145">
        <v>8599</v>
      </c>
      <c r="P145">
        <v>39665</v>
      </c>
      <c r="Q145">
        <v>45525</v>
      </c>
      <c r="R145">
        <v>23335</v>
      </c>
      <c r="S145">
        <v>46707</v>
      </c>
      <c r="T145">
        <v>26616</v>
      </c>
      <c r="U145">
        <v>22055</v>
      </c>
      <c r="V145">
        <v>48922</v>
      </c>
      <c r="W145">
        <v>43398</v>
      </c>
      <c r="X145">
        <v>28111</v>
      </c>
      <c r="Y145">
        <v>42899</v>
      </c>
      <c r="Z145">
        <v>37891</v>
      </c>
    </row>
    <row r="146" spans="1:26">
      <c r="A146" t="s">
        <v>156</v>
      </c>
      <c r="B146" t="s">
        <v>348</v>
      </c>
      <c r="C146" t="s">
        <v>396</v>
      </c>
      <c r="D146" t="s">
        <v>402</v>
      </c>
      <c r="E146" t="s">
        <v>405</v>
      </c>
      <c r="F146">
        <v>1</v>
      </c>
      <c r="G146">
        <v>305.57</v>
      </c>
      <c r="H146">
        <v>25.13</v>
      </c>
      <c r="I146">
        <v>1678.26</v>
      </c>
      <c r="J146">
        <v>1659.78</v>
      </c>
      <c r="K146">
        <v>669.19</v>
      </c>
      <c r="L146" t="s">
        <v>410</v>
      </c>
      <c r="M146">
        <v>5</v>
      </c>
      <c r="N146" s="2" t="s">
        <v>413</v>
      </c>
      <c r="O146">
        <v>23406</v>
      </c>
      <c r="P146">
        <v>1210</v>
      </c>
      <c r="Q146">
        <v>32101</v>
      </c>
      <c r="R146">
        <v>8310</v>
      </c>
      <c r="S146">
        <v>27989</v>
      </c>
      <c r="T146">
        <v>17621</v>
      </c>
      <c r="U146">
        <v>29250</v>
      </c>
      <c r="V146">
        <v>6641</v>
      </c>
      <c r="W146">
        <v>5440</v>
      </c>
      <c r="X146">
        <v>4654</v>
      </c>
      <c r="Y146">
        <v>38942</v>
      </c>
      <c r="Z146">
        <v>28482</v>
      </c>
    </row>
    <row r="147" spans="1:26">
      <c r="A147" t="s">
        <v>157</v>
      </c>
      <c r="B147" t="s">
        <v>349</v>
      </c>
      <c r="C147" t="s">
        <v>397</v>
      </c>
      <c r="D147" t="s">
        <v>401</v>
      </c>
      <c r="E147" t="s">
        <v>407</v>
      </c>
      <c r="F147">
        <v>6</v>
      </c>
      <c r="G147">
        <v>405.36</v>
      </c>
      <c r="H147">
        <v>6.92</v>
      </c>
      <c r="I147">
        <v>4889.59</v>
      </c>
      <c r="J147">
        <v>1361.04</v>
      </c>
      <c r="K147">
        <v>1907.96</v>
      </c>
      <c r="L147" t="s">
        <v>408</v>
      </c>
      <c r="M147">
        <v>5</v>
      </c>
      <c r="N147" s="2" t="s">
        <v>414</v>
      </c>
      <c r="O147">
        <v>8627</v>
      </c>
      <c r="P147">
        <v>5314</v>
      </c>
      <c r="Q147">
        <v>34202</v>
      </c>
      <c r="R147">
        <v>28042</v>
      </c>
      <c r="S147">
        <v>15408</v>
      </c>
      <c r="T147">
        <v>17151</v>
      </c>
      <c r="U147">
        <v>13546</v>
      </c>
      <c r="V147">
        <v>9269</v>
      </c>
      <c r="W147">
        <v>42653</v>
      </c>
      <c r="X147">
        <v>18309</v>
      </c>
      <c r="Y147">
        <v>20862</v>
      </c>
      <c r="Z147">
        <v>10862</v>
      </c>
    </row>
    <row r="148" spans="1:26">
      <c r="A148" t="s">
        <v>158</v>
      </c>
      <c r="B148" t="s">
        <v>350</v>
      </c>
      <c r="C148" t="s">
        <v>398</v>
      </c>
      <c r="D148" t="s">
        <v>401</v>
      </c>
      <c r="E148" t="s">
        <v>407</v>
      </c>
      <c r="F148">
        <v>2</v>
      </c>
      <c r="G148">
        <v>481.7</v>
      </c>
      <c r="H148">
        <v>24.92</v>
      </c>
      <c r="I148">
        <v>1084.21</v>
      </c>
      <c r="J148">
        <v>93.27</v>
      </c>
      <c r="K148">
        <v>1659.14</v>
      </c>
      <c r="L148" t="s">
        <v>409</v>
      </c>
      <c r="M148">
        <v>4</v>
      </c>
      <c r="N148" s="2" t="s">
        <v>414</v>
      </c>
      <c r="O148">
        <v>35138</v>
      </c>
      <c r="P148">
        <v>37006</v>
      </c>
      <c r="Q148">
        <v>6534</v>
      </c>
      <c r="R148">
        <v>45301</v>
      </c>
      <c r="S148">
        <v>49058</v>
      </c>
      <c r="T148">
        <v>17834</v>
      </c>
      <c r="U148">
        <v>17164</v>
      </c>
      <c r="V148">
        <v>5864</v>
      </c>
      <c r="W148">
        <v>48225</v>
      </c>
      <c r="X148">
        <v>29078</v>
      </c>
      <c r="Y148">
        <v>5136</v>
      </c>
      <c r="Z148">
        <v>46947</v>
      </c>
    </row>
    <row r="149" spans="1:26">
      <c r="A149" t="s">
        <v>159</v>
      </c>
      <c r="B149" t="s">
        <v>351</v>
      </c>
      <c r="C149" t="s">
        <v>396</v>
      </c>
      <c r="D149" t="s">
        <v>400</v>
      </c>
      <c r="E149" t="s">
        <v>407</v>
      </c>
      <c r="F149">
        <v>8</v>
      </c>
      <c r="G149">
        <v>472.76</v>
      </c>
      <c r="H149">
        <v>3.61</v>
      </c>
      <c r="I149">
        <v>3496.65</v>
      </c>
      <c r="J149">
        <v>1781.83</v>
      </c>
      <c r="K149">
        <v>1349.3</v>
      </c>
      <c r="L149" t="s">
        <v>408</v>
      </c>
      <c r="M149">
        <v>1</v>
      </c>
      <c r="N149" s="2" t="s">
        <v>413</v>
      </c>
      <c r="O149">
        <v>19480</v>
      </c>
      <c r="P149">
        <v>34256</v>
      </c>
      <c r="Q149">
        <v>42833</v>
      </c>
      <c r="R149">
        <v>48989</v>
      </c>
      <c r="S149">
        <v>28525</v>
      </c>
      <c r="T149">
        <v>35842</v>
      </c>
      <c r="U149">
        <v>1032</v>
      </c>
      <c r="V149">
        <v>10364</v>
      </c>
      <c r="W149">
        <v>48427</v>
      </c>
      <c r="X149">
        <v>24654</v>
      </c>
      <c r="Y149">
        <v>28249</v>
      </c>
      <c r="Z149">
        <v>3473</v>
      </c>
    </row>
    <row r="150" spans="1:26">
      <c r="A150" t="s">
        <v>160</v>
      </c>
      <c r="B150" t="s">
        <v>352</v>
      </c>
      <c r="C150" t="s">
        <v>398</v>
      </c>
      <c r="D150" t="s">
        <v>401</v>
      </c>
      <c r="E150" t="s">
        <v>407</v>
      </c>
      <c r="F150">
        <v>5</v>
      </c>
      <c r="G150">
        <v>79.13</v>
      </c>
      <c r="H150">
        <v>1.41</v>
      </c>
      <c r="I150">
        <v>4125.0600000000004</v>
      </c>
      <c r="J150">
        <v>546.91</v>
      </c>
      <c r="K150">
        <v>287.44</v>
      </c>
      <c r="L150" t="s">
        <v>409</v>
      </c>
      <c r="M150">
        <v>5</v>
      </c>
      <c r="N150" s="2" t="s">
        <v>416</v>
      </c>
      <c r="O150">
        <v>18625</v>
      </c>
      <c r="P150">
        <v>6983</v>
      </c>
      <c r="Q150">
        <v>35818</v>
      </c>
      <c r="R150">
        <v>25203</v>
      </c>
      <c r="S150">
        <v>21325</v>
      </c>
      <c r="T150">
        <v>21015</v>
      </c>
      <c r="U150">
        <v>43520</v>
      </c>
      <c r="V150">
        <v>39511</v>
      </c>
      <c r="W150">
        <v>31355</v>
      </c>
      <c r="X150">
        <v>42508</v>
      </c>
      <c r="Y150">
        <v>27636</v>
      </c>
      <c r="Z150">
        <v>26189</v>
      </c>
    </row>
    <row r="151" spans="1:26">
      <c r="A151" t="s">
        <v>161</v>
      </c>
      <c r="B151" t="s">
        <v>353</v>
      </c>
      <c r="C151" t="s">
        <v>399</v>
      </c>
      <c r="D151" t="s">
        <v>403</v>
      </c>
      <c r="E151" t="s">
        <v>407</v>
      </c>
      <c r="F151">
        <v>7</v>
      </c>
      <c r="G151">
        <v>209.13</v>
      </c>
      <c r="H151">
        <v>11.52</v>
      </c>
      <c r="I151">
        <v>301.8</v>
      </c>
      <c r="J151">
        <v>1945.6</v>
      </c>
      <c r="K151">
        <v>982.56</v>
      </c>
      <c r="L151" t="s">
        <v>410</v>
      </c>
      <c r="M151">
        <v>5</v>
      </c>
      <c r="N151" s="2" t="s">
        <v>414</v>
      </c>
      <c r="O151">
        <v>37329</v>
      </c>
      <c r="P151">
        <v>39573</v>
      </c>
      <c r="Q151">
        <v>42366</v>
      </c>
      <c r="R151">
        <v>43321</v>
      </c>
      <c r="S151">
        <v>44503</v>
      </c>
      <c r="T151">
        <v>32987</v>
      </c>
      <c r="U151">
        <v>47124</v>
      </c>
      <c r="V151">
        <v>40119</v>
      </c>
      <c r="W151">
        <v>6403</v>
      </c>
      <c r="X151">
        <v>36652</v>
      </c>
      <c r="Y151">
        <v>45803</v>
      </c>
      <c r="Z151">
        <v>47950</v>
      </c>
    </row>
    <row r="152" spans="1:26">
      <c r="A152" t="s">
        <v>162</v>
      </c>
      <c r="B152" t="s">
        <v>354</v>
      </c>
      <c r="C152" t="s">
        <v>399</v>
      </c>
      <c r="D152" t="s">
        <v>403</v>
      </c>
      <c r="E152" t="s">
        <v>405</v>
      </c>
      <c r="F152">
        <v>2</v>
      </c>
      <c r="G152">
        <v>168.76</v>
      </c>
      <c r="H152">
        <v>1.1000000000000001</v>
      </c>
      <c r="I152">
        <v>3384.89</v>
      </c>
      <c r="J152">
        <v>2290.0700000000002</v>
      </c>
      <c r="K152">
        <v>1036.9100000000001</v>
      </c>
      <c r="L152" t="s">
        <v>411</v>
      </c>
      <c r="M152">
        <v>4</v>
      </c>
      <c r="N152" s="2" t="s">
        <v>413</v>
      </c>
      <c r="O152">
        <v>33946</v>
      </c>
      <c r="P152">
        <v>27594</v>
      </c>
      <c r="Q152">
        <v>12467</v>
      </c>
      <c r="R152">
        <v>43877</v>
      </c>
      <c r="S152">
        <v>34847</v>
      </c>
      <c r="T152">
        <v>16558</v>
      </c>
      <c r="U152">
        <v>5369</v>
      </c>
      <c r="V152">
        <v>31750</v>
      </c>
      <c r="W152">
        <v>34994</v>
      </c>
      <c r="X152">
        <v>39402</v>
      </c>
      <c r="Y152">
        <v>44758</v>
      </c>
      <c r="Z152">
        <v>17554</v>
      </c>
    </row>
    <row r="153" spans="1:26">
      <c r="A153" t="s">
        <v>163</v>
      </c>
      <c r="B153" t="s">
        <v>355</v>
      </c>
      <c r="C153" t="s">
        <v>396</v>
      </c>
      <c r="D153" t="s">
        <v>402</v>
      </c>
      <c r="E153" t="s">
        <v>405</v>
      </c>
      <c r="F153">
        <v>8</v>
      </c>
      <c r="G153">
        <v>52.59</v>
      </c>
      <c r="H153">
        <v>28.72</v>
      </c>
      <c r="I153">
        <v>4762.59</v>
      </c>
      <c r="J153">
        <v>1526.31</v>
      </c>
      <c r="K153">
        <v>503.48</v>
      </c>
      <c r="L153" t="s">
        <v>408</v>
      </c>
      <c r="M153">
        <v>6</v>
      </c>
      <c r="N153" s="2" t="s">
        <v>414</v>
      </c>
      <c r="O153">
        <v>15442</v>
      </c>
      <c r="P153">
        <v>33835</v>
      </c>
      <c r="Q153">
        <v>7623</v>
      </c>
      <c r="R153">
        <v>30852</v>
      </c>
      <c r="S153">
        <v>4973</v>
      </c>
      <c r="T153">
        <v>20856</v>
      </c>
      <c r="U153">
        <v>44182</v>
      </c>
      <c r="V153">
        <v>39314</v>
      </c>
      <c r="W153">
        <v>14854</v>
      </c>
      <c r="X153">
        <v>41399</v>
      </c>
      <c r="Y153">
        <v>31510</v>
      </c>
      <c r="Z153">
        <v>24008</v>
      </c>
    </row>
    <row r="154" spans="1:26">
      <c r="A154" t="s">
        <v>164</v>
      </c>
      <c r="B154" t="s">
        <v>356</v>
      </c>
      <c r="C154" t="s">
        <v>398</v>
      </c>
      <c r="D154" t="s">
        <v>401</v>
      </c>
      <c r="E154" t="s">
        <v>407</v>
      </c>
      <c r="F154">
        <v>2</v>
      </c>
      <c r="G154">
        <v>320.29000000000002</v>
      </c>
      <c r="H154">
        <v>24.79</v>
      </c>
      <c r="I154">
        <v>708.68</v>
      </c>
      <c r="J154">
        <v>1649.97</v>
      </c>
      <c r="K154">
        <v>205.93</v>
      </c>
      <c r="L154" t="s">
        <v>411</v>
      </c>
      <c r="M154">
        <v>4</v>
      </c>
      <c r="N154" s="2" t="s">
        <v>415</v>
      </c>
      <c r="O154">
        <v>49349</v>
      </c>
      <c r="P154">
        <v>20687</v>
      </c>
      <c r="Q154">
        <v>20490</v>
      </c>
      <c r="R154">
        <v>41392</v>
      </c>
      <c r="S154">
        <v>33041</v>
      </c>
      <c r="T154">
        <v>5692</v>
      </c>
      <c r="U154">
        <v>18590</v>
      </c>
      <c r="V154">
        <v>31580</v>
      </c>
      <c r="W154">
        <v>9406</v>
      </c>
      <c r="X154">
        <v>1083</v>
      </c>
      <c r="Y154">
        <v>38509</v>
      </c>
      <c r="Z154">
        <v>43162</v>
      </c>
    </row>
    <row r="155" spans="1:26">
      <c r="A155" t="s">
        <v>165</v>
      </c>
      <c r="B155" t="s">
        <v>357</v>
      </c>
      <c r="C155" t="s">
        <v>397</v>
      </c>
      <c r="D155" t="s">
        <v>400</v>
      </c>
      <c r="E155" t="s">
        <v>406</v>
      </c>
      <c r="F155">
        <v>4</v>
      </c>
      <c r="G155">
        <v>370.59</v>
      </c>
      <c r="H155">
        <v>24.02</v>
      </c>
      <c r="I155">
        <v>4491.4799999999996</v>
      </c>
      <c r="J155">
        <v>2856.86</v>
      </c>
      <c r="K155">
        <v>1564.61</v>
      </c>
      <c r="L155" t="s">
        <v>408</v>
      </c>
      <c r="M155">
        <v>7</v>
      </c>
      <c r="N155" s="2" t="s">
        <v>415</v>
      </c>
      <c r="O155">
        <v>37268</v>
      </c>
      <c r="P155">
        <v>36360</v>
      </c>
      <c r="Q155">
        <v>5961</v>
      </c>
      <c r="R155">
        <v>12821</v>
      </c>
      <c r="S155">
        <v>46945</v>
      </c>
      <c r="T155">
        <v>13167</v>
      </c>
      <c r="U155">
        <v>32414</v>
      </c>
      <c r="V155">
        <v>12684</v>
      </c>
      <c r="W155">
        <v>49479</v>
      </c>
      <c r="X155">
        <v>2028</v>
      </c>
      <c r="Y155">
        <v>20652</v>
      </c>
      <c r="Z155">
        <v>9288</v>
      </c>
    </row>
    <row r="156" spans="1:26">
      <c r="A156" t="s">
        <v>166</v>
      </c>
      <c r="B156" t="s">
        <v>358</v>
      </c>
      <c r="C156" t="s">
        <v>396</v>
      </c>
      <c r="D156" t="s">
        <v>403</v>
      </c>
      <c r="E156" t="s">
        <v>404</v>
      </c>
      <c r="F156">
        <v>1</v>
      </c>
      <c r="G156">
        <v>425.58</v>
      </c>
      <c r="H156">
        <v>18.89</v>
      </c>
      <c r="I156">
        <v>3014.41</v>
      </c>
      <c r="J156">
        <v>2549.14</v>
      </c>
      <c r="K156">
        <v>287.97000000000003</v>
      </c>
      <c r="L156" t="s">
        <v>410</v>
      </c>
      <c r="M156">
        <v>7</v>
      </c>
      <c r="N156" s="2" t="s">
        <v>416</v>
      </c>
      <c r="O156">
        <v>19367</v>
      </c>
      <c r="P156">
        <v>44434</v>
      </c>
      <c r="Q156">
        <v>11831</v>
      </c>
      <c r="R156">
        <v>29540</v>
      </c>
      <c r="S156">
        <v>24941</v>
      </c>
      <c r="T156">
        <v>32239</v>
      </c>
      <c r="U156">
        <v>24528</v>
      </c>
      <c r="V156">
        <v>13929</v>
      </c>
      <c r="W156">
        <v>49346</v>
      </c>
      <c r="X156">
        <v>49287</v>
      </c>
      <c r="Y156">
        <v>9456</v>
      </c>
      <c r="Z156">
        <v>4743</v>
      </c>
    </row>
    <row r="157" spans="1:26">
      <c r="A157" t="s">
        <v>167</v>
      </c>
      <c r="B157" t="s">
        <v>359</v>
      </c>
      <c r="C157" t="s">
        <v>399</v>
      </c>
      <c r="D157" t="s">
        <v>403</v>
      </c>
      <c r="E157" t="s">
        <v>407</v>
      </c>
      <c r="F157">
        <v>5</v>
      </c>
      <c r="G157">
        <v>70.16</v>
      </c>
      <c r="H157">
        <v>6.49</v>
      </c>
      <c r="I157">
        <v>3121.36</v>
      </c>
      <c r="J157">
        <v>2747</v>
      </c>
      <c r="K157">
        <v>1208.8699999999999</v>
      </c>
      <c r="L157" t="s">
        <v>410</v>
      </c>
      <c r="M157">
        <v>2</v>
      </c>
      <c r="N157" s="2" t="s">
        <v>414</v>
      </c>
      <c r="O157">
        <v>13487</v>
      </c>
      <c r="P157">
        <v>25782</v>
      </c>
      <c r="Q157">
        <v>40702</v>
      </c>
      <c r="R157">
        <v>14138</v>
      </c>
      <c r="S157">
        <v>41372</v>
      </c>
      <c r="T157">
        <v>18124</v>
      </c>
      <c r="U157">
        <v>26579</v>
      </c>
      <c r="V157">
        <v>33689</v>
      </c>
      <c r="W157">
        <v>8069</v>
      </c>
      <c r="X157">
        <v>30306</v>
      </c>
      <c r="Y157">
        <v>40932</v>
      </c>
      <c r="Z157">
        <v>22682</v>
      </c>
    </row>
    <row r="158" spans="1:26">
      <c r="A158" t="s">
        <v>168</v>
      </c>
      <c r="B158" t="s">
        <v>360</v>
      </c>
      <c r="C158" t="s">
        <v>399</v>
      </c>
      <c r="D158" t="s">
        <v>400</v>
      </c>
      <c r="E158" t="s">
        <v>406</v>
      </c>
      <c r="F158">
        <v>9</v>
      </c>
      <c r="G158">
        <v>439.46</v>
      </c>
      <c r="H158">
        <v>15.55</v>
      </c>
      <c r="I158">
        <v>3103.43</v>
      </c>
      <c r="J158">
        <v>2450.61</v>
      </c>
      <c r="K158">
        <v>1876.08</v>
      </c>
      <c r="L158" t="s">
        <v>410</v>
      </c>
      <c r="M158">
        <v>3</v>
      </c>
      <c r="N158" s="2" t="s">
        <v>416</v>
      </c>
      <c r="O158">
        <v>25698</v>
      </c>
      <c r="P158">
        <v>34121</v>
      </c>
      <c r="Q158">
        <v>20375</v>
      </c>
      <c r="R158">
        <v>20013</v>
      </c>
      <c r="S158">
        <v>32764</v>
      </c>
      <c r="T158">
        <v>34708</v>
      </c>
      <c r="U158">
        <v>39716</v>
      </c>
      <c r="V158">
        <v>31009</v>
      </c>
      <c r="W158">
        <v>26673</v>
      </c>
      <c r="X158">
        <v>6973</v>
      </c>
      <c r="Y158">
        <v>32558</v>
      </c>
      <c r="Z158">
        <v>12363</v>
      </c>
    </row>
    <row r="159" spans="1:26">
      <c r="A159" t="s">
        <v>169</v>
      </c>
      <c r="B159" t="s">
        <v>229</v>
      </c>
      <c r="C159" t="s">
        <v>396</v>
      </c>
      <c r="D159" t="s">
        <v>400</v>
      </c>
      <c r="E159" t="s">
        <v>404</v>
      </c>
      <c r="F159">
        <v>1</v>
      </c>
      <c r="G159">
        <v>325.02999999999997</v>
      </c>
      <c r="H159">
        <v>17.920000000000002</v>
      </c>
      <c r="I159">
        <v>1564.3</v>
      </c>
      <c r="J159">
        <v>371.31</v>
      </c>
      <c r="K159">
        <v>1758.41</v>
      </c>
      <c r="L159" t="s">
        <v>408</v>
      </c>
      <c r="M159">
        <v>1</v>
      </c>
      <c r="N159" s="2" t="s">
        <v>413</v>
      </c>
      <c r="O159">
        <v>46105</v>
      </c>
      <c r="P159">
        <v>36744</v>
      </c>
      <c r="Q159">
        <v>30405</v>
      </c>
      <c r="R159">
        <v>16966</v>
      </c>
      <c r="S159">
        <v>26035</v>
      </c>
      <c r="T159">
        <v>9508</v>
      </c>
      <c r="U159">
        <v>29525</v>
      </c>
      <c r="V159">
        <v>8169</v>
      </c>
      <c r="W159">
        <v>48836</v>
      </c>
      <c r="X159">
        <v>6488</v>
      </c>
      <c r="Y159">
        <v>41309</v>
      </c>
      <c r="Z159">
        <v>37225</v>
      </c>
    </row>
    <row r="160" spans="1:26">
      <c r="A160" t="s">
        <v>170</v>
      </c>
      <c r="B160" t="s">
        <v>361</v>
      </c>
      <c r="C160" t="s">
        <v>398</v>
      </c>
      <c r="D160" t="s">
        <v>403</v>
      </c>
      <c r="E160" t="s">
        <v>407</v>
      </c>
      <c r="F160">
        <v>9</v>
      </c>
      <c r="G160">
        <v>354.93</v>
      </c>
      <c r="H160">
        <v>15.75</v>
      </c>
      <c r="I160">
        <v>4682.49</v>
      </c>
      <c r="J160">
        <v>489.53</v>
      </c>
      <c r="K160">
        <v>591.62</v>
      </c>
      <c r="L160" t="s">
        <v>409</v>
      </c>
      <c r="M160">
        <v>8</v>
      </c>
      <c r="N160" s="2" t="s">
        <v>413</v>
      </c>
      <c r="O160">
        <v>26552</v>
      </c>
      <c r="P160">
        <v>16284</v>
      </c>
      <c r="Q160">
        <v>24879</v>
      </c>
      <c r="R160">
        <v>1384</v>
      </c>
      <c r="S160">
        <v>46543</v>
      </c>
      <c r="T160">
        <v>21515</v>
      </c>
      <c r="U160">
        <v>38321</v>
      </c>
      <c r="V160">
        <v>26389</v>
      </c>
      <c r="W160">
        <v>18447</v>
      </c>
      <c r="X160">
        <v>5415</v>
      </c>
      <c r="Y160">
        <v>2886</v>
      </c>
      <c r="Z160">
        <v>37620</v>
      </c>
    </row>
    <row r="161" spans="1:26">
      <c r="A161" t="s">
        <v>171</v>
      </c>
      <c r="B161" t="s">
        <v>362</v>
      </c>
      <c r="C161" t="s">
        <v>399</v>
      </c>
      <c r="D161" t="s">
        <v>403</v>
      </c>
      <c r="E161" t="s">
        <v>407</v>
      </c>
      <c r="F161">
        <v>8</v>
      </c>
      <c r="G161">
        <v>456.21</v>
      </c>
      <c r="H161">
        <v>7.81</v>
      </c>
      <c r="I161">
        <v>4742.0200000000004</v>
      </c>
      <c r="J161">
        <v>1603.54</v>
      </c>
      <c r="K161">
        <v>1710.32</v>
      </c>
      <c r="L161" t="s">
        <v>408</v>
      </c>
      <c r="M161">
        <v>9</v>
      </c>
      <c r="N161" s="2" t="s">
        <v>414</v>
      </c>
      <c r="O161">
        <v>28836</v>
      </c>
      <c r="P161">
        <v>21370</v>
      </c>
      <c r="Q161">
        <v>49627</v>
      </c>
      <c r="R161">
        <v>43944</v>
      </c>
      <c r="S161">
        <v>35424</v>
      </c>
      <c r="T161">
        <v>39304</v>
      </c>
      <c r="U161">
        <v>29394</v>
      </c>
      <c r="V161">
        <v>26788</v>
      </c>
      <c r="W161">
        <v>8943</v>
      </c>
      <c r="X161">
        <v>22800</v>
      </c>
      <c r="Y161">
        <v>31607</v>
      </c>
      <c r="Z161">
        <v>48068</v>
      </c>
    </row>
    <row r="162" spans="1:26">
      <c r="A162" t="s">
        <v>172</v>
      </c>
      <c r="B162" t="s">
        <v>363</v>
      </c>
      <c r="C162" t="s">
        <v>398</v>
      </c>
      <c r="D162" t="s">
        <v>400</v>
      </c>
      <c r="E162" t="s">
        <v>405</v>
      </c>
      <c r="F162">
        <v>6</v>
      </c>
      <c r="G162">
        <v>316.13</v>
      </c>
      <c r="H162">
        <v>15.46</v>
      </c>
      <c r="I162">
        <v>3163.99</v>
      </c>
      <c r="J162">
        <v>775.91</v>
      </c>
      <c r="K162">
        <v>50.65</v>
      </c>
      <c r="L162" t="s">
        <v>409</v>
      </c>
      <c r="M162">
        <v>4</v>
      </c>
      <c r="N162" s="2" t="s">
        <v>414</v>
      </c>
      <c r="O162">
        <v>7926</v>
      </c>
      <c r="P162">
        <v>31458</v>
      </c>
      <c r="Q162">
        <v>4816</v>
      </c>
      <c r="R162">
        <v>8470</v>
      </c>
      <c r="S162">
        <v>35184</v>
      </c>
      <c r="T162">
        <v>5622</v>
      </c>
      <c r="U162">
        <v>10157</v>
      </c>
      <c r="V162">
        <v>21994</v>
      </c>
      <c r="W162">
        <v>30661</v>
      </c>
      <c r="X162">
        <v>15957</v>
      </c>
      <c r="Y162">
        <v>28862</v>
      </c>
      <c r="Z162">
        <v>17903</v>
      </c>
    </row>
    <row r="163" spans="1:26">
      <c r="A163" t="s">
        <v>173</v>
      </c>
      <c r="B163" t="s">
        <v>364</v>
      </c>
      <c r="C163" t="s">
        <v>399</v>
      </c>
      <c r="D163" t="s">
        <v>403</v>
      </c>
      <c r="E163" t="s">
        <v>404</v>
      </c>
      <c r="F163">
        <v>7</v>
      </c>
      <c r="G163">
        <v>174.57</v>
      </c>
      <c r="H163">
        <v>14.74</v>
      </c>
      <c r="I163">
        <v>3938.77</v>
      </c>
      <c r="J163">
        <v>1456.25</v>
      </c>
      <c r="K163">
        <v>84.49</v>
      </c>
      <c r="L163" t="s">
        <v>408</v>
      </c>
      <c r="M163">
        <v>6</v>
      </c>
      <c r="N163" s="2" t="s">
        <v>416</v>
      </c>
      <c r="O163">
        <v>28117</v>
      </c>
      <c r="P163">
        <v>43321</v>
      </c>
      <c r="Q163">
        <v>18636</v>
      </c>
      <c r="R163">
        <v>12969</v>
      </c>
      <c r="S163">
        <v>14338</v>
      </c>
      <c r="T163">
        <v>48633</v>
      </c>
      <c r="U163">
        <v>32518</v>
      </c>
      <c r="V163">
        <v>45479</v>
      </c>
      <c r="W163">
        <v>20567</v>
      </c>
      <c r="X163">
        <v>1049</v>
      </c>
      <c r="Y163">
        <v>39547</v>
      </c>
      <c r="Z163">
        <v>25502</v>
      </c>
    </row>
    <row r="164" spans="1:26">
      <c r="A164" t="s">
        <v>174</v>
      </c>
      <c r="B164" t="s">
        <v>308</v>
      </c>
      <c r="C164" t="s">
        <v>399</v>
      </c>
      <c r="D164" t="s">
        <v>402</v>
      </c>
      <c r="E164" t="s">
        <v>404</v>
      </c>
      <c r="F164">
        <v>3</v>
      </c>
      <c r="G164">
        <v>414.3</v>
      </c>
      <c r="H164">
        <v>29.89</v>
      </c>
      <c r="I164">
        <v>3100.06</v>
      </c>
      <c r="J164">
        <v>1213.3800000000001</v>
      </c>
      <c r="K164">
        <v>1224.98</v>
      </c>
      <c r="L164" t="s">
        <v>408</v>
      </c>
      <c r="M164">
        <v>9</v>
      </c>
      <c r="N164" s="2" t="s">
        <v>415</v>
      </c>
      <c r="O164">
        <v>22474</v>
      </c>
      <c r="P164">
        <v>21923</v>
      </c>
      <c r="Q164">
        <v>17506</v>
      </c>
      <c r="R164">
        <v>28496</v>
      </c>
      <c r="S164">
        <v>31282</v>
      </c>
      <c r="T164">
        <v>49343</v>
      </c>
      <c r="U164">
        <v>3061</v>
      </c>
      <c r="V164">
        <v>17368</v>
      </c>
      <c r="W164">
        <v>36524</v>
      </c>
      <c r="X164">
        <v>13489</v>
      </c>
      <c r="Y164">
        <v>45768</v>
      </c>
      <c r="Z164">
        <v>38992</v>
      </c>
    </row>
    <row r="165" spans="1:26">
      <c r="A165" t="s">
        <v>175</v>
      </c>
      <c r="B165" t="s">
        <v>365</v>
      </c>
      <c r="C165" t="s">
        <v>395</v>
      </c>
      <c r="D165" t="s">
        <v>402</v>
      </c>
      <c r="E165" t="s">
        <v>406</v>
      </c>
      <c r="F165">
        <v>1</v>
      </c>
      <c r="G165">
        <v>187.9</v>
      </c>
      <c r="H165">
        <v>26.92</v>
      </c>
      <c r="I165">
        <v>2473.5500000000002</v>
      </c>
      <c r="J165">
        <v>1670.77</v>
      </c>
      <c r="K165">
        <v>761.36</v>
      </c>
      <c r="L165" t="s">
        <v>410</v>
      </c>
      <c r="M165">
        <v>6</v>
      </c>
      <c r="N165" s="2" t="s">
        <v>414</v>
      </c>
      <c r="O165">
        <v>2605</v>
      </c>
      <c r="P165">
        <v>17691</v>
      </c>
      <c r="Q165">
        <v>18445</v>
      </c>
      <c r="R165">
        <v>10465</v>
      </c>
      <c r="S165">
        <v>36891</v>
      </c>
      <c r="T165">
        <v>18762</v>
      </c>
      <c r="U165">
        <v>9054</v>
      </c>
      <c r="V165">
        <v>2992</v>
      </c>
      <c r="W165">
        <v>29458</v>
      </c>
      <c r="X165">
        <v>38099</v>
      </c>
      <c r="Y165">
        <v>14768</v>
      </c>
      <c r="Z165">
        <v>39592</v>
      </c>
    </row>
    <row r="166" spans="1:26">
      <c r="A166" t="s">
        <v>176</v>
      </c>
      <c r="B166" t="s">
        <v>366</v>
      </c>
      <c r="C166" t="s">
        <v>399</v>
      </c>
      <c r="D166" t="s">
        <v>400</v>
      </c>
      <c r="E166" t="s">
        <v>405</v>
      </c>
      <c r="F166">
        <v>5</v>
      </c>
      <c r="G166">
        <v>26.77</v>
      </c>
      <c r="H166">
        <v>13.9</v>
      </c>
      <c r="I166">
        <v>3338.02</v>
      </c>
      <c r="J166">
        <v>2253.2800000000002</v>
      </c>
      <c r="K166">
        <v>803.6</v>
      </c>
      <c r="L166" t="s">
        <v>411</v>
      </c>
      <c r="M166">
        <v>9</v>
      </c>
      <c r="N166" s="2" t="s">
        <v>415</v>
      </c>
      <c r="O166">
        <v>44453</v>
      </c>
      <c r="P166">
        <v>32765</v>
      </c>
      <c r="Q166">
        <v>34985</v>
      </c>
      <c r="R166">
        <v>9310</v>
      </c>
      <c r="S166">
        <v>9477</v>
      </c>
      <c r="T166">
        <v>10720</v>
      </c>
      <c r="U166">
        <v>6308</v>
      </c>
      <c r="V166">
        <v>32448</v>
      </c>
      <c r="W166">
        <v>7087</v>
      </c>
      <c r="X166">
        <v>7958</v>
      </c>
      <c r="Y166">
        <v>18621</v>
      </c>
      <c r="Z166">
        <v>48945</v>
      </c>
    </row>
    <row r="167" spans="1:26">
      <c r="A167" t="s">
        <v>177</v>
      </c>
      <c r="B167" t="s">
        <v>367</v>
      </c>
      <c r="C167" t="s">
        <v>397</v>
      </c>
      <c r="D167" t="s">
        <v>401</v>
      </c>
      <c r="E167" t="s">
        <v>405</v>
      </c>
      <c r="F167">
        <v>2</v>
      </c>
      <c r="G167">
        <v>417.02</v>
      </c>
      <c r="H167">
        <v>18.690000000000001</v>
      </c>
      <c r="I167">
        <v>2809.71</v>
      </c>
      <c r="J167">
        <v>2160.6999999999998</v>
      </c>
      <c r="K167">
        <v>1150.6600000000001</v>
      </c>
      <c r="L167" t="s">
        <v>411</v>
      </c>
      <c r="M167">
        <v>4</v>
      </c>
      <c r="N167" s="2" t="s">
        <v>415</v>
      </c>
      <c r="O167">
        <v>6692</v>
      </c>
      <c r="P167">
        <v>32516</v>
      </c>
      <c r="Q167">
        <v>46140</v>
      </c>
      <c r="R167">
        <v>10662</v>
      </c>
      <c r="S167">
        <v>21264</v>
      </c>
      <c r="T167">
        <v>28451</v>
      </c>
      <c r="U167">
        <v>15472</v>
      </c>
      <c r="V167">
        <v>27365</v>
      </c>
      <c r="W167">
        <v>4634</v>
      </c>
      <c r="X167">
        <v>1364</v>
      </c>
      <c r="Y167">
        <v>14730</v>
      </c>
      <c r="Z167">
        <v>7869</v>
      </c>
    </row>
    <row r="168" spans="1:26">
      <c r="A168" t="s">
        <v>178</v>
      </c>
      <c r="B168" t="s">
        <v>368</v>
      </c>
      <c r="C168" t="s">
        <v>396</v>
      </c>
      <c r="D168" t="s">
        <v>400</v>
      </c>
      <c r="E168" t="s">
        <v>405</v>
      </c>
      <c r="F168">
        <v>5</v>
      </c>
      <c r="G168">
        <v>179.14</v>
      </c>
      <c r="H168">
        <v>22.44</v>
      </c>
      <c r="I168">
        <v>3027.63</v>
      </c>
      <c r="J168">
        <v>1587.64</v>
      </c>
      <c r="K168">
        <v>423.98</v>
      </c>
      <c r="L168" t="s">
        <v>409</v>
      </c>
      <c r="M168">
        <v>8</v>
      </c>
      <c r="N168" s="2" t="s">
        <v>416</v>
      </c>
      <c r="O168">
        <v>43852</v>
      </c>
      <c r="P168">
        <v>35647</v>
      </c>
      <c r="Q168">
        <v>29346</v>
      </c>
      <c r="R168">
        <v>47010</v>
      </c>
      <c r="S168">
        <v>10522</v>
      </c>
      <c r="T168">
        <v>44342</v>
      </c>
      <c r="U168">
        <v>6184</v>
      </c>
      <c r="V168">
        <v>32946</v>
      </c>
      <c r="W168">
        <v>21469</v>
      </c>
      <c r="X168">
        <v>11405</v>
      </c>
      <c r="Y168">
        <v>14527</v>
      </c>
      <c r="Z168">
        <v>36405</v>
      </c>
    </row>
    <row r="169" spans="1:26">
      <c r="A169" t="s">
        <v>179</v>
      </c>
      <c r="B169" t="s">
        <v>354</v>
      </c>
      <c r="C169" t="s">
        <v>396</v>
      </c>
      <c r="D169" t="s">
        <v>400</v>
      </c>
      <c r="E169" t="s">
        <v>405</v>
      </c>
      <c r="F169">
        <v>8</v>
      </c>
      <c r="G169">
        <v>389.18</v>
      </c>
      <c r="H169">
        <v>1.05</v>
      </c>
      <c r="I169">
        <v>3940.78</v>
      </c>
      <c r="J169">
        <v>2476.06</v>
      </c>
      <c r="K169">
        <v>462.92</v>
      </c>
      <c r="L169" t="s">
        <v>411</v>
      </c>
      <c r="M169">
        <v>9</v>
      </c>
      <c r="N169" s="2" t="s">
        <v>415</v>
      </c>
      <c r="O169">
        <v>38923</v>
      </c>
      <c r="P169">
        <v>24980</v>
      </c>
      <c r="Q169">
        <v>40533</v>
      </c>
      <c r="R169">
        <v>31318</v>
      </c>
      <c r="S169">
        <v>30081</v>
      </c>
      <c r="T169">
        <v>17732</v>
      </c>
      <c r="U169">
        <v>15895</v>
      </c>
      <c r="V169">
        <v>40691</v>
      </c>
      <c r="W169">
        <v>3055</v>
      </c>
      <c r="X169">
        <v>38713</v>
      </c>
      <c r="Y169">
        <v>38484</v>
      </c>
      <c r="Z169">
        <v>2182</v>
      </c>
    </row>
    <row r="170" spans="1:26">
      <c r="A170" t="s">
        <v>180</v>
      </c>
      <c r="B170" t="s">
        <v>369</v>
      </c>
      <c r="C170" t="s">
        <v>398</v>
      </c>
      <c r="D170" t="s">
        <v>401</v>
      </c>
      <c r="E170" t="s">
        <v>404</v>
      </c>
      <c r="F170">
        <v>9</v>
      </c>
      <c r="G170">
        <v>187.75</v>
      </c>
      <c r="H170">
        <v>26.85</v>
      </c>
      <c r="I170">
        <v>2456.4299999999998</v>
      </c>
      <c r="J170">
        <v>1321.04</v>
      </c>
      <c r="K170">
        <v>994.97</v>
      </c>
      <c r="L170" t="s">
        <v>408</v>
      </c>
      <c r="M170">
        <v>4</v>
      </c>
      <c r="N170" s="2" t="s">
        <v>416</v>
      </c>
      <c r="O170">
        <v>19204</v>
      </c>
      <c r="P170">
        <v>6026</v>
      </c>
      <c r="Q170">
        <v>20677</v>
      </c>
      <c r="R170">
        <v>40569</v>
      </c>
      <c r="S170">
        <v>5113</v>
      </c>
      <c r="T170">
        <v>22575</v>
      </c>
      <c r="U170">
        <v>40510</v>
      </c>
      <c r="V170">
        <v>32305</v>
      </c>
      <c r="W170">
        <v>28588</v>
      </c>
      <c r="X170">
        <v>29676</v>
      </c>
      <c r="Y170">
        <v>37014</v>
      </c>
      <c r="Z170">
        <v>41683</v>
      </c>
    </row>
    <row r="171" spans="1:26">
      <c r="A171" t="s">
        <v>181</v>
      </c>
      <c r="B171" t="s">
        <v>370</v>
      </c>
      <c r="C171" t="s">
        <v>399</v>
      </c>
      <c r="D171" t="s">
        <v>401</v>
      </c>
      <c r="E171" t="s">
        <v>404</v>
      </c>
      <c r="F171">
        <v>2</v>
      </c>
      <c r="G171">
        <v>431.92</v>
      </c>
      <c r="H171">
        <v>25.8</v>
      </c>
      <c r="I171">
        <v>299.7</v>
      </c>
      <c r="J171">
        <v>2695.31</v>
      </c>
      <c r="K171">
        <v>1520.79</v>
      </c>
      <c r="L171" t="s">
        <v>408</v>
      </c>
      <c r="M171">
        <v>5</v>
      </c>
      <c r="N171" s="2" t="s">
        <v>416</v>
      </c>
      <c r="O171">
        <v>38831</v>
      </c>
      <c r="P171">
        <v>23657</v>
      </c>
      <c r="Q171">
        <v>48960</v>
      </c>
      <c r="R171">
        <v>19589</v>
      </c>
      <c r="S171">
        <v>34784</v>
      </c>
      <c r="T171">
        <v>28779</v>
      </c>
      <c r="U171">
        <v>26862</v>
      </c>
      <c r="V171">
        <v>36854</v>
      </c>
      <c r="W171">
        <v>24840</v>
      </c>
      <c r="X171">
        <v>3161</v>
      </c>
      <c r="Y171">
        <v>38645</v>
      </c>
      <c r="Z171">
        <v>20682</v>
      </c>
    </row>
    <row r="172" spans="1:26">
      <c r="A172" t="s">
        <v>182</v>
      </c>
      <c r="B172" t="s">
        <v>371</v>
      </c>
      <c r="C172" t="s">
        <v>397</v>
      </c>
      <c r="D172" t="s">
        <v>401</v>
      </c>
      <c r="E172" t="s">
        <v>407</v>
      </c>
      <c r="F172">
        <v>3</v>
      </c>
      <c r="G172">
        <v>117.56</v>
      </c>
      <c r="H172">
        <v>13.72</v>
      </c>
      <c r="I172">
        <v>903.6</v>
      </c>
      <c r="J172">
        <v>260.27999999999997</v>
      </c>
      <c r="K172">
        <v>1258.02</v>
      </c>
      <c r="L172" t="s">
        <v>410</v>
      </c>
      <c r="M172">
        <v>8</v>
      </c>
      <c r="N172" s="2" t="s">
        <v>413</v>
      </c>
      <c r="O172">
        <v>22967</v>
      </c>
      <c r="P172">
        <v>44985</v>
      </c>
      <c r="Q172">
        <v>19648</v>
      </c>
      <c r="R172">
        <v>27149</v>
      </c>
      <c r="S172">
        <v>45406</v>
      </c>
      <c r="T172">
        <v>17453</v>
      </c>
      <c r="U172">
        <v>19981</v>
      </c>
      <c r="V172">
        <v>35888</v>
      </c>
      <c r="W172">
        <v>43850</v>
      </c>
      <c r="X172">
        <v>1793</v>
      </c>
      <c r="Y172">
        <v>41456</v>
      </c>
      <c r="Z172">
        <v>20853</v>
      </c>
    </row>
    <row r="173" spans="1:26">
      <c r="A173" t="s">
        <v>183</v>
      </c>
      <c r="B173" t="s">
        <v>372</v>
      </c>
      <c r="C173" t="s">
        <v>398</v>
      </c>
      <c r="D173" t="s">
        <v>402</v>
      </c>
      <c r="E173" t="s">
        <v>407</v>
      </c>
      <c r="F173">
        <v>3</v>
      </c>
      <c r="G173">
        <v>487.53</v>
      </c>
      <c r="H173">
        <v>11.74</v>
      </c>
      <c r="I173">
        <v>2249.1799999999998</v>
      </c>
      <c r="J173">
        <v>2866.25</v>
      </c>
      <c r="K173">
        <v>629.84</v>
      </c>
      <c r="L173" t="s">
        <v>410</v>
      </c>
      <c r="M173">
        <v>6</v>
      </c>
      <c r="N173" s="2" t="s">
        <v>416</v>
      </c>
      <c r="O173">
        <v>44085</v>
      </c>
      <c r="P173">
        <v>31128</v>
      </c>
      <c r="Q173">
        <v>13949</v>
      </c>
      <c r="R173">
        <v>48223</v>
      </c>
      <c r="S173">
        <v>34688</v>
      </c>
      <c r="T173">
        <v>2676</v>
      </c>
      <c r="U173">
        <v>18811</v>
      </c>
      <c r="V173">
        <v>16341</v>
      </c>
      <c r="W173">
        <v>26871</v>
      </c>
      <c r="X173">
        <v>9836</v>
      </c>
      <c r="Y173">
        <v>41100</v>
      </c>
      <c r="Z173">
        <v>37073</v>
      </c>
    </row>
    <row r="174" spans="1:26">
      <c r="A174" t="s">
        <v>184</v>
      </c>
      <c r="B174" t="s">
        <v>373</v>
      </c>
      <c r="C174" t="s">
        <v>395</v>
      </c>
      <c r="D174" t="s">
        <v>403</v>
      </c>
      <c r="E174" t="s">
        <v>405</v>
      </c>
      <c r="F174">
        <v>1</v>
      </c>
      <c r="G174">
        <v>392.08</v>
      </c>
      <c r="H174">
        <v>8.19</v>
      </c>
      <c r="I174">
        <v>3651.65</v>
      </c>
      <c r="J174">
        <v>1981.34</v>
      </c>
      <c r="K174">
        <v>889.16</v>
      </c>
      <c r="L174" t="s">
        <v>411</v>
      </c>
      <c r="M174">
        <v>7</v>
      </c>
      <c r="N174" s="2" t="s">
        <v>416</v>
      </c>
      <c r="O174">
        <v>47976</v>
      </c>
      <c r="P174">
        <v>46913</v>
      </c>
      <c r="Q174">
        <v>26122</v>
      </c>
      <c r="R174">
        <v>24191</v>
      </c>
      <c r="S174">
        <v>17161</v>
      </c>
      <c r="T174">
        <v>6686</v>
      </c>
      <c r="U174">
        <v>10441</v>
      </c>
      <c r="V174">
        <v>42998</v>
      </c>
      <c r="W174">
        <v>23169</v>
      </c>
      <c r="X174">
        <v>27288</v>
      </c>
      <c r="Y174">
        <v>33309</v>
      </c>
      <c r="Z174">
        <v>28595</v>
      </c>
    </row>
    <row r="175" spans="1:26">
      <c r="A175" t="s">
        <v>185</v>
      </c>
      <c r="B175" t="s">
        <v>374</v>
      </c>
      <c r="C175" t="s">
        <v>398</v>
      </c>
      <c r="D175" t="s">
        <v>402</v>
      </c>
      <c r="E175" t="s">
        <v>405</v>
      </c>
      <c r="F175">
        <v>8</v>
      </c>
      <c r="G175">
        <v>65.98</v>
      </c>
      <c r="H175">
        <v>14.3</v>
      </c>
      <c r="I175">
        <v>3007.07</v>
      </c>
      <c r="J175">
        <v>1171.22</v>
      </c>
      <c r="K175">
        <v>382.8</v>
      </c>
      <c r="L175" t="s">
        <v>409</v>
      </c>
      <c r="M175">
        <v>3</v>
      </c>
      <c r="N175" s="2" t="s">
        <v>413</v>
      </c>
      <c r="O175">
        <v>16642</v>
      </c>
      <c r="P175">
        <v>9166</v>
      </c>
      <c r="Q175">
        <v>15551</v>
      </c>
      <c r="R175">
        <v>4058</v>
      </c>
      <c r="S175">
        <v>40038</v>
      </c>
      <c r="T175">
        <v>23327</v>
      </c>
      <c r="U175">
        <v>25365</v>
      </c>
      <c r="V175">
        <v>28325</v>
      </c>
      <c r="W175">
        <v>37910</v>
      </c>
      <c r="X175">
        <v>43077</v>
      </c>
      <c r="Y175">
        <v>14451</v>
      </c>
      <c r="Z175">
        <v>26545</v>
      </c>
    </row>
    <row r="176" spans="1:26">
      <c r="A176" t="s">
        <v>186</v>
      </c>
      <c r="B176" t="s">
        <v>327</v>
      </c>
      <c r="C176" t="s">
        <v>398</v>
      </c>
      <c r="D176" t="s">
        <v>403</v>
      </c>
      <c r="E176" t="s">
        <v>405</v>
      </c>
      <c r="F176">
        <v>6</v>
      </c>
      <c r="G176">
        <v>287.23</v>
      </c>
      <c r="H176">
        <v>1.33</v>
      </c>
      <c r="I176">
        <v>3286.44</v>
      </c>
      <c r="J176">
        <v>631.6</v>
      </c>
      <c r="K176">
        <v>195.53</v>
      </c>
      <c r="L176" t="s">
        <v>411</v>
      </c>
      <c r="M176">
        <v>7</v>
      </c>
      <c r="N176" s="2" t="s">
        <v>413</v>
      </c>
      <c r="O176">
        <v>24380</v>
      </c>
      <c r="P176">
        <v>27543</v>
      </c>
      <c r="Q176">
        <v>10708</v>
      </c>
      <c r="R176">
        <v>2391</v>
      </c>
      <c r="S176">
        <v>30061</v>
      </c>
      <c r="T176">
        <v>10235</v>
      </c>
      <c r="U176">
        <v>9902</v>
      </c>
      <c r="V176">
        <v>9881</v>
      </c>
      <c r="W176">
        <v>29249</v>
      </c>
      <c r="X176">
        <v>41143</v>
      </c>
      <c r="Y176">
        <v>5920</v>
      </c>
      <c r="Z176">
        <v>22298</v>
      </c>
    </row>
    <row r="177" spans="1:26">
      <c r="A177" t="s">
        <v>187</v>
      </c>
      <c r="B177" t="s">
        <v>375</v>
      </c>
      <c r="C177" t="s">
        <v>399</v>
      </c>
      <c r="D177" t="s">
        <v>402</v>
      </c>
      <c r="E177" t="s">
        <v>407</v>
      </c>
      <c r="F177">
        <v>8</v>
      </c>
      <c r="G177">
        <v>492.83</v>
      </c>
      <c r="H177">
        <v>25.57</v>
      </c>
      <c r="I177">
        <v>2448.4699999999998</v>
      </c>
      <c r="J177">
        <v>1463.59</v>
      </c>
      <c r="K177">
        <v>1576.26</v>
      </c>
      <c r="L177" t="s">
        <v>411</v>
      </c>
      <c r="M177">
        <v>8</v>
      </c>
      <c r="N177" s="2" t="s">
        <v>416</v>
      </c>
      <c r="O177">
        <v>8517</v>
      </c>
      <c r="P177">
        <v>14732</v>
      </c>
      <c r="Q177">
        <v>49052</v>
      </c>
      <c r="R177">
        <v>38438</v>
      </c>
      <c r="S177">
        <v>16299</v>
      </c>
      <c r="T177">
        <v>23462</v>
      </c>
      <c r="U177">
        <v>8418</v>
      </c>
      <c r="V177">
        <v>33234</v>
      </c>
      <c r="W177">
        <v>2228</v>
      </c>
      <c r="X177">
        <v>33979</v>
      </c>
      <c r="Y177">
        <v>7777</v>
      </c>
      <c r="Z177">
        <v>24291</v>
      </c>
    </row>
    <row r="178" spans="1:26">
      <c r="A178" t="s">
        <v>188</v>
      </c>
      <c r="B178" t="s">
        <v>376</v>
      </c>
      <c r="C178" t="s">
        <v>395</v>
      </c>
      <c r="D178" t="s">
        <v>403</v>
      </c>
      <c r="E178" t="s">
        <v>406</v>
      </c>
      <c r="F178">
        <v>9</v>
      </c>
      <c r="G178">
        <v>240.82</v>
      </c>
      <c r="H178">
        <v>1.06</v>
      </c>
      <c r="I178">
        <v>3117.14</v>
      </c>
      <c r="J178">
        <v>623.95000000000005</v>
      </c>
      <c r="K178">
        <v>567.51</v>
      </c>
      <c r="L178" t="s">
        <v>411</v>
      </c>
      <c r="M178">
        <v>6</v>
      </c>
      <c r="N178" s="2" t="s">
        <v>416</v>
      </c>
      <c r="O178">
        <v>41388</v>
      </c>
      <c r="P178">
        <v>24993</v>
      </c>
      <c r="Q178">
        <v>28895</v>
      </c>
      <c r="R178">
        <v>40183</v>
      </c>
      <c r="S178">
        <v>34100</v>
      </c>
      <c r="T178">
        <v>17536</v>
      </c>
      <c r="U178">
        <v>48095</v>
      </c>
      <c r="V178">
        <v>1118</v>
      </c>
      <c r="W178">
        <v>5374</v>
      </c>
      <c r="X178">
        <v>32195</v>
      </c>
      <c r="Y178">
        <v>1136</v>
      </c>
      <c r="Z178">
        <v>21233</v>
      </c>
    </row>
    <row r="179" spans="1:26">
      <c r="A179" t="s">
        <v>189</v>
      </c>
      <c r="B179" t="s">
        <v>377</v>
      </c>
      <c r="C179" t="s">
        <v>398</v>
      </c>
      <c r="D179" t="s">
        <v>402</v>
      </c>
      <c r="E179" t="s">
        <v>406</v>
      </c>
      <c r="F179">
        <v>5</v>
      </c>
      <c r="G179">
        <v>99.23</v>
      </c>
      <c r="H179">
        <v>9.8699999999999992</v>
      </c>
      <c r="I179">
        <v>1712.19</v>
      </c>
      <c r="J179">
        <v>540.67999999999995</v>
      </c>
      <c r="K179">
        <v>396.64</v>
      </c>
      <c r="L179" t="s">
        <v>411</v>
      </c>
      <c r="M179">
        <v>9</v>
      </c>
      <c r="N179" s="2" t="s">
        <v>415</v>
      </c>
      <c r="O179">
        <v>16611</v>
      </c>
      <c r="P179">
        <v>5469</v>
      </c>
      <c r="Q179">
        <v>11521</v>
      </c>
      <c r="R179">
        <v>16712</v>
      </c>
      <c r="S179">
        <v>42467</v>
      </c>
      <c r="T179">
        <v>14973</v>
      </c>
      <c r="U179">
        <v>32369</v>
      </c>
      <c r="V179">
        <v>28144</v>
      </c>
      <c r="W179">
        <v>1206</v>
      </c>
      <c r="X179">
        <v>38959</v>
      </c>
      <c r="Y179">
        <v>41507</v>
      </c>
      <c r="Z179">
        <v>1729</v>
      </c>
    </row>
    <row r="180" spans="1:26">
      <c r="A180" t="s">
        <v>190</v>
      </c>
      <c r="B180" t="s">
        <v>378</v>
      </c>
      <c r="C180" t="s">
        <v>397</v>
      </c>
      <c r="D180" t="s">
        <v>401</v>
      </c>
      <c r="E180" t="s">
        <v>407</v>
      </c>
      <c r="F180">
        <v>3</v>
      </c>
      <c r="G180">
        <v>247.54</v>
      </c>
      <c r="H180">
        <v>27.95</v>
      </c>
      <c r="I180">
        <v>2403.89</v>
      </c>
      <c r="J180">
        <v>1871.19</v>
      </c>
      <c r="K180">
        <v>1398.66</v>
      </c>
      <c r="L180" t="s">
        <v>408</v>
      </c>
      <c r="M180">
        <v>6</v>
      </c>
      <c r="N180" s="2" t="s">
        <v>416</v>
      </c>
      <c r="O180">
        <v>25288</v>
      </c>
      <c r="P180">
        <v>46335</v>
      </c>
      <c r="Q180">
        <v>26466</v>
      </c>
      <c r="R180">
        <v>3365</v>
      </c>
      <c r="S180">
        <v>35158</v>
      </c>
      <c r="T180">
        <v>46100</v>
      </c>
      <c r="U180">
        <v>49957</v>
      </c>
      <c r="V180">
        <v>32732</v>
      </c>
      <c r="W180">
        <v>11267</v>
      </c>
      <c r="X180">
        <v>9851</v>
      </c>
      <c r="Y180">
        <v>46982</v>
      </c>
      <c r="Z180">
        <v>3405</v>
      </c>
    </row>
    <row r="181" spans="1:26">
      <c r="A181" t="s">
        <v>191</v>
      </c>
      <c r="B181" t="s">
        <v>379</v>
      </c>
      <c r="C181" t="s">
        <v>397</v>
      </c>
      <c r="D181" t="s">
        <v>400</v>
      </c>
      <c r="E181" t="s">
        <v>407</v>
      </c>
      <c r="F181">
        <v>5</v>
      </c>
      <c r="G181">
        <v>261.10000000000002</v>
      </c>
      <c r="H181">
        <v>22.06</v>
      </c>
      <c r="I181">
        <v>3746.97</v>
      </c>
      <c r="J181">
        <v>1593.1</v>
      </c>
      <c r="K181">
        <v>1255.2</v>
      </c>
      <c r="L181" t="s">
        <v>409</v>
      </c>
      <c r="M181">
        <v>9</v>
      </c>
      <c r="N181" s="2" t="s">
        <v>415</v>
      </c>
      <c r="O181">
        <v>17713</v>
      </c>
      <c r="P181">
        <v>12717</v>
      </c>
      <c r="Q181">
        <v>35726</v>
      </c>
      <c r="R181">
        <v>19173</v>
      </c>
      <c r="S181">
        <v>3298</v>
      </c>
      <c r="T181">
        <v>16813</v>
      </c>
      <c r="U181">
        <v>49174</v>
      </c>
      <c r="V181">
        <v>9439</v>
      </c>
      <c r="W181">
        <v>41874</v>
      </c>
      <c r="X181">
        <v>43000</v>
      </c>
      <c r="Y181">
        <v>1979</v>
      </c>
      <c r="Z181">
        <v>26613</v>
      </c>
    </row>
    <row r="182" spans="1:26">
      <c r="A182" t="s">
        <v>192</v>
      </c>
      <c r="B182" t="s">
        <v>380</v>
      </c>
      <c r="C182" t="s">
        <v>396</v>
      </c>
      <c r="D182" t="s">
        <v>402</v>
      </c>
      <c r="E182" t="s">
        <v>407</v>
      </c>
      <c r="F182">
        <v>5</v>
      </c>
      <c r="G182">
        <v>373.43</v>
      </c>
      <c r="H182">
        <v>8.44</v>
      </c>
      <c r="I182">
        <v>4371.9799999999996</v>
      </c>
      <c r="J182">
        <v>2026.78</v>
      </c>
      <c r="K182">
        <v>1284.72</v>
      </c>
      <c r="L182" t="s">
        <v>408</v>
      </c>
      <c r="M182">
        <v>4</v>
      </c>
      <c r="N182" s="2" t="s">
        <v>416</v>
      </c>
      <c r="O182">
        <v>30393</v>
      </c>
      <c r="P182">
        <v>41368</v>
      </c>
      <c r="Q182">
        <v>16599</v>
      </c>
      <c r="R182">
        <v>8856</v>
      </c>
      <c r="S182">
        <v>7825</v>
      </c>
      <c r="T182">
        <v>5819</v>
      </c>
      <c r="U182">
        <v>24730</v>
      </c>
      <c r="V182">
        <v>19600</v>
      </c>
      <c r="W182">
        <v>36554</v>
      </c>
      <c r="X182">
        <v>26356</v>
      </c>
      <c r="Y182">
        <v>4210</v>
      </c>
      <c r="Z182">
        <v>45560</v>
      </c>
    </row>
    <row r="183" spans="1:26">
      <c r="A183" t="s">
        <v>193</v>
      </c>
      <c r="B183" t="s">
        <v>381</v>
      </c>
      <c r="C183" t="s">
        <v>395</v>
      </c>
      <c r="D183" t="s">
        <v>403</v>
      </c>
      <c r="E183" t="s">
        <v>407</v>
      </c>
      <c r="F183">
        <v>5</v>
      </c>
      <c r="G183">
        <v>352.43</v>
      </c>
      <c r="H183">
        <v>7.58</v>
      </c>
      <c r="I183">
        <v>2224.91</v>
      </c>
      <c r="J183">
        <v>2792.34</v>
      </c>
      <c r="K183">
        <v>496.34</v>
      </c>
      <c r="L183" t="s">
        <v>409</v>
      </c>
      <c r="M183">
        <v>8</v>
      </c>
      <c r="N183" s="2" t="s">
        <v>413</v>
      </c>
      <c r="O183">
        <v>26955</v>
      </c>
      <c r="P183">
        <v>19856</v>
      </c>
      <c r="Q183">
        <v>38683</v>
      </c>
      <c r="R183">
        <v>14589</v>
      </c>
      <c r="S183">
        <v>17633</v>
      </c>
      <c r="T183">
        <v>3383</v>
      </c>
      <c r="U183">
        <v>46275</v>
      </c>
      <c r="V183">
        <v>44673</v>
      </c>
      <c r="W183">
        <v>16080</v>
      </c>
      <c r="X183">
        <v>47337</v>
      </c>
      <c r="Y183">
        <v>25902</v>
      </c>
      <c r="Z183">
        <v>34334</v>
      </c>
    </row>
    <row r="184" spans="1:26">
      <c r="A184" t="s">
        <v>194</v>
      </c>
      <c r="B184" t="s">
        <v>382</v>
      </c>
      <c r="C184" t="s">
        <v>395</v>
      </c>
      <c r="D184" t="s">
        <v>401</v>
      </c>
      <c r="E184" t="s">
        <v>407</v>
      </c>
      <c r="F184">
        <v>3</v>
      </c>
      <c r="G184">
        <v>207.25</v>
      </c>
      <c r="H184">
        <v>0.15</v>
      </c>
      <c r="I184">
        <v>313.94</v>
      </c>
      <c r="J184">
        <v>1620.17</v>
      </c>
      <c r="K184">
        <v>503.66</v>
      </c>
      <c r="L184" t="s">
        <v>410</v>
      </c>
      <c r="M184">
        <v>4</v>
      </c>
      <c r="N184" s="2" t="s">
        <v>414</v>
      </c>
      <c r="O184">
        <v>47306</v>
      </c>
      <c r="P184">
        <v>5797</v>
      </c>
      <c r="Q184">
        <v>9143</v>
      </c>
      <c r="R184">
        <v>28138</v>
      </c>
      <c r="S184">
        <v>13415</v>
      </c>
      <c r="T184">
        <v>19191</v>
      </c>
      <c r="U184">
        <v>4541</v>
      </c>
      <c r="V184">
        <v>13311</v>
      </c>
      <c r="W184">
        <v>9956</v>
      </c>
      <c r="X184">
        <v>8945</v>
      </c>
      <c r="Y184">
        <v>28174</v>
      </c>
      <c r="Z184">
        <v>47274</v>
      </c>
    </row>
    <row r="185" spans="1:26">
      <c r="A185" t="s">
        <v>195</v>
      </c>
      <c r="B185" t="s">
        <v>383</v>
      </c>
      <c r="C185" t="s">
        <v>396</v>
      </c>
      <c r="D185" t="s">
        <v>402</v>
      </c>
      <c r="E185" t="s">
        <v>407</v>
      </c>
      <c r="F185">
        <v>4</v>
      </c>
      <c r="G185">
        <v>116.83</v>
      </c>
      <c r="H185">
        <v>20.87</v>
      </c>
      <c r="I185">
        <v>892.2</v>
      </c>
      <c r="J185">
        <v>1763.75</v>
      </c>
      <c r="K185">
        <v>480.57</v>
      </c>
      <c r="L185" t="s">
        <v>411</v>
      </c>
      <c r="M185">
        <v>2</v>
      </c>
      <c r="N185" s="2" t="s">
        <v>414</v>
      </c>
      <c r="O185">
        <v>37323</v>
      </c>
      <c r="P185">
        <v>46424</v>
      </c>
      <c r="Q185">
        <v>33309</v>
      </c>
      <c r="R185">
        <v>8991</v>
      </c>
      <c r="S185">
        <v>41219</v>
      </c>
      <c r="T185">
        <v>45858</v>
      </c>
      <c r="U185">
        <v>19636</v>
      </c>
      <c r="V185">
        <v>4823</v>
      </c>
      <c r="W185">
        <v>30795</v>
      </c>
      <c r="X185">
        <v>39259</v>
      </c>
      <c r="Y185">
        <v>7677</v>
      </c>
      <c r="Z185">
        <v>37364</v>
      </c>
    </row>
    <row r="186" spans="1:26">
      <c r="A186" t="s">
        <v>196</v>
      </c>
      <c r="B186" t="s">
        <v>384</v>
      </c>
      <c r="C186" t="s">
        <v>398</v>
      </c>
      <c r="D186" t="s">
        <v>402</v>
      </c>
      <c r="E186" t="s">
        <v>405</v>
      </c>
      <c r="F186">
        <v>9</v>
      </c>
      <c r="G186">
        <v>326.08</v>
      </c>
      <c r="H186">
        <v>1.46</v>
      </c>
      <c r="I186">
        <v>202.22</v>
      </c>
      <c r="J186">
        <v>314.39999999999998</v>
      </c>
      <c r="K186">
        <v>388.82</v>
      </c>
      <c r="L186" t="s">
        <v>408</v>
      </c>
      <c r="M186">
        <v>9</v>
      </c>
      <c r="N186" s="2" t="s">
        <v>414</v>
      </c>
      <c r="O186">
        <v>37934</v>
      </c>
      <c r="P186">
        <v>44951</v>
      </c>
      <c r="Q186">
        <v>40887</v>
      </c>
      <c r="R186">
        <v>14289</v>
      </c>
      <c r="S186">
        <v>12829</v>
      </c>
      <c r="T186">
        <v>35174</v>
      </c>
      <c r="U186">
        <v>24194</v>
      </c>
      <c r="V186">
        <v>24082</v>
      </c>
      <c r="W186">
        <v>2916</v>
      </c>
      <c r="X186">
        <v>19609</v>
      </c>
      <c r="Y186">
        <v>8267</v>
      </c>
      <c r="Z186">
        <v>41302</v>
      </c>
    </row>
    <row r="187" spans="1:26">
      <c r="A187" t="s">
        <v>197</v>
      </c>
      <c r="B187" t="s">
        <v>385</v>
      </c>
      <c r="C187" t="s">
        <v>395</v>
      </c>
      <c r="D187" t="s">
        <v>401</v>
      </c>
      <c r="E187" t="s">
        <v>405</v>
      </c>
      <c r="F187">
        <v>9</v>
      </c>
      <c r="G187">
        <v>216.63</v>
      </c>
      <c r="H187">
        <v>15.98</v>
      </c>
      <c r="I187">
        <v>3300.99</v>
      </c>
      <c r="J187">
        <v>2167.0300000000002</v>
      </c>
      <c r="K187">
        <v>1328.66</v>
      </c>
      <c r="L187" t="s">
        <v>409</v>
      </c>
      <c r="M187">
        <v>5</v>
      </c>
      <c r="N187" s="2" t="s">
        <v>416</v>
      </c>
      <c r="O187">
        <v>13307</v>
      </c>
      <c r="P187">
        <v>26374</v>
      </c>
      <c r="Q187">
        <v>13832</v>
      </c>
      <c r="R187">
        <v>36460</v>
      </c>
      <c r="S187">
        <v>23247</v>
      </c>
      <c r="T187">
        <v>37908</v>
      </c>
      <c r="U187">
        <v>2998</v>
      </c>
      <c r="V187">
        <v>24760</v>
      </c>
      <c r="W187">
        <v>41677</v>
      </c>
      <c r="X187">
        <v>11331</v>
      </c>
      <c r="Y187">
        <v>43633</v>
      </c>
      <c r="Z187">
        <v>40314</v>
      </c>
    </row>
    <row r="188" spans="1:26">
      <c r="A188" t="s">
        <v>198</v>
      </c>
      <c r="B188" t="s">
        <v>386</v>
      </c>
      <c r="C188" t="s">
        <v>397</v>
      </c>
      <c r="D188" t="s">
        <v>402</v>
      </c>
      <c r="E188" t="s">
        <v>405</v>
      </c>
      <c r="F188">
        <v>2</v>
      </c>
      <c r="G188">
        <v>74.819999999999993</v>
      </c>
      <c r="H188">
        <v>28.86</v>
      </c>
      <c r="I188">
        <v>1728.34</v>
      </c>
      <c r="J188">
        <v>1229.72</v>
      </c>
      <c r="K188">
        <v>1703.63</v>
      </c>
      <c r="L188" t="s">
        <v>410</v>
      </c>
      <c r="M188">
        <v>4</v>
      </c>
      <c r="N188" s="2" t="s">
        <v>414</v>
      </c>
      <c r="O188">
        <v>46096</v>
      </c>
      <c r="P188">
        <v>26074</v>
      </c>
      <c r="Q188">
        <v>47455</v>
      </c>
      <c r="R188">
        <v>29353</v>
      </c>
      <c r="S188">
        <v>17600</v>
      </c>
      <c r="T188">
        <v>10952</v>
      </c>
      <c r="U188">
        <v>3753</v>
      </c>
      <c r="V188">
        <v>47745</v>
      </c>
      <c r="W188">
        <v>22424</v>
      </c>
      <c r="X188">
        <v>15214</v>
      </c>
      <c r="Y188">
        <v>49323</v>
      </c>
      <c r="Z188">
        <v>4419</v>
      </c>
    </row>
    <row r="189" spans="1:26">
      <c r="A189" t="s">
        <v>199</v>
      </c>
      <c r="B189" t="s">
        <v>265</v>
      </c>
      <c r="C189" t="s">
        <v>397</v>
      </c>
      <c r="D189" t="s">
        <v>400</v>
      </c>
      <c r="E189" t="s">
        <v>405</v>
      </c>
      <c r="F189">
        <v>8</v>
      </c>
      <c r="G189">
        <v>451.28</v>
      </c>
      <c r="H189">
        <v>3.28</v>
      </c>
      <c r="I189">
        <v>2758.15</v>
      </c>
      <c r="J189">
        <v>2931.34</v>
      </c>
      <c r="K189">
        <v>1462.42</v>
      </c>
      <c r="L189" t="s">
        <v>410</v>
      </c>
      <c r="M189">
        <v>2</v>
      </c>
      <c r="N189" s="2" t="s">
        <v>413</v>
      </c>
      <c r="O189">
        <v>46847</v>
      </c>
      <c r="P189">
        <v>35887</v>
      </c>
      <c r="Q189">
        <v>24514</v>
      </c>
      <c r="R189">
        <v>33753</v>
      </c>
      <c r="S189">
        <v>9171</v>
      </c>
      <c r="T189">
        <v>27788</v>
      </c>
      <c r="U189">
        <v>36573</v>
      </c>
      <c r="V189">
        <v>21007</v>
      </c>
      <c r="W189">
        <v>39386</v>
      </c>
      <c r="X189">
        <v>29918</v>
      </c>
      <c r="Y189">
        <v>34664</v>
      </c>
      <c r="Z189">
        <v>23694</v>
      </c>
    </row>
    <row r="190" spans="1:26">
      <c r="A190" t="s">
        <v>200</v>
      </c>
      <c r="B190" t="s">
        <v>355</v>
      </c>
      <c r="C190" t="s">
        <v>399</v>
      </c>
      <c r="D190" t="s">
        <v>402</v>
      </c>
      <c r="E190" t="s">
        <v>407</v>
      </c>
      <c r="F190">
        <v>8</v>
      </c>
      <c r="G190">
        <v>348.7</v>
      </c>
      <c r="H190">
        <v>26.83</v>
      </c>
      <c r="I190">
        <v>2517.06</v>
      </c>
      <c r="J190">
        <v>2478.36</v>
      </c>
      <c r="K190">
        <v>1594.58</v>
      </c>
      <c r="L190" t="s">
        <v>411</v>
      </c>
      <c r="M190">
        <v>1</v>
      </c>
      <c r="N190" s="2" t="s">
        <v>414</v>
      </c>
      <c r="O190">
        <v>43389</v>
      </c>
      <c r="P190">
        <v>25131</v>
      </c>
      <c r="Q190">
        <v>30593</v>
      </c>
      <c r="R190">
        <v>32059</v>
      </c>
      <c r="S190">
        <v>6747</v>
      </c>
      <c r="T190">
        <v>44768</v>
      </c>
      <c r="U190">
        <v>37007</v>
      </c>
      <c r="V190">
        <v>27899</v>
      </c>
      <c r="W190">
        <v>26825</v>
      </c>
      <c r="X190">
        <v>13874</v>
      </c>
      <c r="Y190">
        <v>27935</v>
      </c>
      <c r="Z190">
        <v>19182</v>
      </c>
    </row>
    <row r="191" spans="1:26">
      <c r="A191" t="s">
        <v>201</v>
      </c>
      <c r="B191" t="s">
        <v>346</v>
      </c>
      <c r="C191" t="s">
        <v>395</v>
      </c>
      <c r="D191" t="s">
        <v>400</v>
      </c>
      <c r="E191" t="s">
        <v>406</v>
      </c>
      <c r="F191">
        <v>7</v>
      </c>
      <c r="G191">
        <v>344.76</v>
      </c>
      <c r="H191">
        <v>29.74</v>
      </c>
      <c r="I191">
        <v>499.48</v>
      </c>
      <c r="J191">
        <v>1591.32</v>
      </c>
      <c r="K191">
        <v>839.36</v>
      </c>
      <c r="L191" t="s">
        <v>409</v>
      </c>
      <c r="M191">
        <v>7</v>
      </c>
      <c r="N191" s="2" t="s">
        <v>414</v>
      </c>
      <c r="O191">
        <v>25596</v>
      </c>
      <c r="P191">
        <v>15816</v>
      </c>
      <c r="Q191">
        <v>7629</v>
      </c>
      <c r="R191">
        <v>36611</v>
      </c>
      <c r="S191">
        <v>45775</v>
      </c>
      <c r="T191">
        <v>4539</v>
      </c>
      <c r="U191">
        <v>27410</v>
      </c>
      <c r="V191">
        <v>32547</v>
      </c>
      <c r="W191">
        <v>17773</v>
      </c>
      <c r="X191">
        <v>18612</v>
      </c>
      <c r="Y191">
        <v>37722</v>
      </c>
      <c r="Z191">
        <v>14410</v>
      </c>
    </row>
    <row r="192" spans="1:26">
      <c r="A192" t="s">
        <v>202</v>
      </c>
      <c r="B192" t="s">
        <v>315</v>
      </c>
      <c r="C192" t="s">
        <v>398</v>
      </c>
      <c r="D192" t="s">
        <v>400</v>
      </c>
      <c r="E192" t="s">
        <v>404</v>
      </c>
      <c r="F192">
        <v>8</v>
      </c>
      <c r="G192">
        <v>413.07</v>
      </c>
      <c r="H192">
        <v>1.85</v>
      </c>
      <c r="I192">
        <v>2075.98</v>
      </c>
      <c r="J192">
        <v>413.51</v>
      </c>
      <c r="K192">
        <v>1325.45</v>
      </c>
      <c r="L192" t="s">
        <v>408</v>
      </c>
      <c r="M192">
        <v>6</v>
      </c>
      <c r="N192" s="2" t="s">
        <v>416</v>
      </c>
      <c r="O192">
        <v>48982</v>
      </c>
      <c r="P192">
        <v>5282</v>
      </c>
      <c r="Q192">
        <v>7389</v>
      </c>
      <c r="R192">
        <v>31678</v>
      </c>
      <c r="S192">
        <v>30777</v>
      </c>
      <c r="T192">
        <v>8174</v>
      </c>
      <c r="U192">
        <v>32939</v>
      </c>
      <c r="V192">
        <v>26790</v>
      </c>
      <c r="W192">
        <v>34363</v>
      </c>
      <c r="X192">
        <v>33894</v>
      </c>
      <c r="Y192">
        <v>36980</v>
      </c>
      <c r="Z192">
        <v>12734</v>
      </c>
    </row>
    <row r="193" spans="1:26">
      <c r="A193" t="s">
        <v>203</v>
      </c>
      <c r="B193" t="s">
        <v>387</v>
      </c>
      <c r="C193" t="s">
        <v>396</v>
      </c>
      <c r="D193" t="s">
        <v>401</v>
      </c>
      <c r="E193" t="s">
        <v>407</v>
      </c>
      <c r="F193">
        <v>3</v>
      </c>
      <c r="G193">
        <v>269.52999999999997</v>
      </c>
      <c r="H193">
        <v>26.49</v>
      </c>
      <c r="I193">
        <v>1180.75</v>
      </c>
      <c r="J193">
        <v>2585.2800000000002</v>
      </c>
      <c r="K193">
        <v>740.76</v>
      </c>
      <c r="L193" t="s">
        <v>411</v>
      </c>
      <c r="M193">
        <v>2</v>
      </c>
      <c r="N193" s="2" t="s">
        <v>415</v>
      </c>
      <c r="O193">
        <v>34179</v>
      </c>
      <c r="P193">
        <v>10775</v>
      </c>
      <c r="Q193">
        <v>24409</v>
      </c>
      <c r="R193">
        <v>28843</v>
      </c>
      <c r="S193">
        <v>14914</v>
      </c>
      <c r="T193">
        <v>33379</v>
      </c>
      <c r="U193">
        <v>13618</v>
      </c>
      <c r="V193">
        <v>29147</v>
      </c>
      <c r="W193">
        <v>35706</v>
      </c>
      <c r="X193">
        <v>23830</v>
      </c>
      <c r="Y193">
        <v>23216</v>
      </c>
      <c r="Z193">
        <v>16156</v>
      </c>
    </row>
    <row r="194" spans="1:26">
      <c r="A194" t="s">
        <v>204</v>
      </c>
      <c r="B194" t="s">
        <v>388</v>
      </c>
      <c r="C194" t="s">
        <v>396</v>
      </c>
      <c r="D194" t="s">
        <v>402</v>
      </c>
      <c r="E194" t="s">
        <v>404</v>
      </c>
      <c r="F194">
        <v>6</v>
      </c>
      <c r="G194">
        <v>409.38</v>
      </c>
      <c r="H194">
        <v>15.48</v>
      </c>
      <c r="I194">
        <v>2150.16</v>
      </c>
      <c r="J194">
        <v>2409.35</v>
      </c>
      <c r="K194">
        <v>1074.73</v>
      </c>
      <c r="L194" t="s">
        <v>408</v>
      </c>
      <c r="M194">
        <v>8</v>
      </c>
      <c r="N194" s="2" t="s">
        <v>413</v>
      </c>
      <c r="O194">
        <v>28478</v>
      </c>
      <c r="P194">
        <v>13280</v>
      </c>
      <c r="Q194">
        <v>38909</v>
      </c>
      <c r="R194">
        <v>21560</v>
      </c>
      <c r="S194">
        <v>37619</v>
      </c>
      <c r="T194">
        <v>42558</v>
      </c>
      <c r="U194">
        <v>30311</v>
      </c>
      <c r="V194">
        <v>39326</v>
      </c>
      <c r="W194">
        <v>19973</v>
      </c>
      <c r="X194">
        <v>18937</v>
      </c>
      <c r="Y194">
        <v>42559</v>
      </c>
      <c r="Z194">
        <v>8120</v>
      </c>
    </row>
    <row r="195" spans="1:26">
      <c r="A195" t="s">
        <v>205</v>
      </c>
      <c r="B195" t="s">
        <v>389</v>
      </c>
      <c r="C195" t="s">
        <v>398</v>
      </c>
      <c r="D195" t="s">
        <v>401</v>
      </c>
      <c r="E195" t="s">
        <v>406</v>
      </c>
      <c r="F195">
        <v>1</v>
      </c>
      <c r="G195">
        <v>254.06</v>
      </c>
      <c r="H195">
        <v>27.2</v>
      </c>
      <c r="I195">
        <v>1097.53</v>
      </c>
      <c r="J195">
        <v>594.53</v>
      </c>
      <c r="K195">
        <v>989.19</v>
      </c>
      <c r="L195" t="s">
        <v>410</v>
      </c>
      <c r="M195">
        <v>4</v>
      </c>
      <c r="N195" s="2" t="s">
        <v>416</v>
      </c>
      <c r="O195">
        <v>16010</v>
      </c>
      <c r="P195">
        <v>45409</v>
      </c>
      <c r="Q195">
        <v>22889</v>
      </c>
      <c r="R195">
        <v>6444</v>
      </c>
      <c r="S195">
        <v>49654</v>
      </c>
      <c r="T195">
        <v>41514</v>
      </c>
      <c r="U195">
        <v>35601</v>
      </c>
      <c r="V195">
        <v>14215</v>
      </c>
      <c r="W195">
        <v>32546</v>
      </c>
      <c r="X195">
        <v>18389</v>
      </c>
      <c r="Y195">
        <v>10213</v>
      </c>
      <c r="Z195">
        <v>1461</v>
      </c>
    </row>
    <row r="196" spans="1:26">
      <c r="A196" t="s">
        <v>206</v>
      </c>
      <c r="B196" t="s">
        <v>390</v>
      </c>
      <c r="C196" t="s">
        <v>399</v>
      </c>
      <c r="D196" t="s">
        <v>402</v>
      </c>
      <c r="E196" t="s">
        <v>405</v>
      </c>
      <c r="F196">
        <v>7</v>
      </c>
      <c r="G196">
        <v>42.92</v>
      </c>
      <c r="H196">
        <v>17.14</v>
      </c>
      <c r="I196">
        <v>4218.22</v>
      </c>
      <c r="J196">
        <v>921.07</v>
      </c>
      <c r="K196">
        <v>394.93</v>
      </c>
      <c r="L196" t="s">
        <v>408</v>
      </c>
      <c r="M196">
        <v>8</v>
      </c>
      <c r="N196" s="2" t="s">
        <v>413</v>
      </c>
      <c r="O196">
        <v>46914</v>
      </c>
      <c r="P196">
        <v>44531</v>
      </c>
      <c r="Q196">
        <v>35209</v>
      </c>
      <c r="R196">
        <v>23479</v>
      </c>
      <c r="S196">
        <v>18457</v>
      </c>
      <c r="T196">
        <v>25427</v>
      </c>
      <c r="U196">
        <v>1720</v>
      </c>
      <c r="V196">
        <v>24035</v>
      </c>
      <c r="W196">
        <v>43798</v>
      </c>
      <c r="X196">
        <v>19633</v>
      </c>
      <c r="Y196">
        <v>17847</v>
      </c>
      <c r="Z196">
        <v>16288</v>
      </c>
    </row>
    <row r="197" spans="1:26">
      <c r="A197" t="s">
        <v>207</v>
      </c>
      <c r="B197" t="s">
        <v>391</v>
      </c>
      <c r="C197" t="s">
        <v>396</v>
      </c>
      <c r="D197" t="s">
        <v>402</v>
      </c>
      <c r="E197" t="s">
        <v>406</v>
      </c>
      <c r="F197">
        <v>1</v>
      </c>
      <c r="G197">
        <v>208.57</v>
      </c>
      <c r="H197">
        <v>19.86</v>
      </c>
      <c r="I197">
        <v>953.55</v>
      </c>
      <c r="J197">
        <v>2390.5500000000002</v>
      </c>
      <c r="K197">
        <v>804.8</v>
      </c>
      <c r="L197" t="s">
        <v>408</v>
      </c>
      <c r="M197">
        <v>7</v>
      </c>
      <c r="N197" s="2" t="s">
        <v>415</v>
      </c>
      <c r="O197">
        <v>46404</v>
      </c>
      <c r="P197">
        <v>5568</v>
      </c>
      <c r="Q197">
        <v>25515</v>
      </c>
      <c r="R197">
        <v>1140</v>
      </c>
      <c r="S197">
        <v>14658</v>
      </c>
      <c r="T197">
        <v>43280</v>
      </c>
      <c r="U197">
        <v>17997</v>
      </c>
      <c r="V197">
        <v>8692</v>
      </c>
      <c r="W197">
        <v>39785</v>
      </c>
      <c r="X197">
        <v>13658</v>
      </c>
      <c r="Y197">
        <v>46823</v>
      </c>
      <c r="Z197">
        <v>9681</v>
      </c>
    </row>
    <row r="198" spans="1:26">
      <c r="A198" t="s">
        <v>208</v>
      </c>
      <c r="B198" t="s">
        <v>392</v>
      </c>
      <c r="C198" t="s">
        <v>395</v>
      </c>
      <c r="D198" t="s">
        <v>403</v>
      </c>
      <c r="E198" t="s">
        <v>407</v>
      </c>
      <c r="F198">
        <v>9</v>
      </c>
      <c r="G198">
        <v>253.76</v>
      </c>
      <c r="H198">
        <v>16.309999999999999</v>
      </c>
      <c r="I198">
        <v>4807.82</v>
      </c>
      <c r="J198">
        <v>596.41999999999996</v>
      </c>
      <c r="K198">
        <v>1929.45</v>
      </c>
      <c r="L198" t="s">
        <v>411</v>
      </c>
      <c r="M198">
        <v>5</v>
      </c>
      <c r="N198" s="2" t="s">
        <v>414</v>
      </c>
      <c r="O198">
        <v>27897</v>
      </c>
      <c r="P198">
        <v>10499</v>
      </c>
      <c r="Q198">
        <v>47696</v>
      </c>
      <c r="R198">
        <v>14730</v>
      </c>
      <c r="S198">
        <v>5722</v>
      </c>
      <c r="T198">
        <v>27887</v>
      </c>
      <c r="U198">
        <v>21485</v>
      </c>
      <c r="V198">
        <v>36023</v>
      </c>
      <c r="W198">
        <v>5038</v>
      </c>
      <c r="X198">
        <v>27367</v>
      </c>
      <c r="Y198">
        <v>2878</v>
      </c>
      <c r="Z198">
        <v>20903</v>
      </c>
    </row>
    <row r="199" spans="1:26">
      <c r="A199" t="s">
        <v>209</v>
      </c>
      <c r="B199" t="s">
        <v>330</v>
      </c>
      <c r="C199" t="s">
        <v>399</v>
      </c>
      <c r="D199" t="s">
        <v>402</v>
      </c>
      <c r="E199" t="s">
        <v>405</v>
      </c>
      <c r="F199">
        <v>1</v>
      </c>
      <c r="G199">
        <v>362.9</v>
      </c>
      <c r="H199">
        <v>25.93</v>
      </c>
      <c r="I199">
        <v>2137.9499999999998</v>
      </c>
      <c r="J199">
        <v>2757.37</v>
      </c>
      <c r="K199">
        <v>534.73</v>
      </c>
      <c r="L199" t="s">
        <v>408</v>
      </c>
      <c r="M199">
        <v>8</v>
      </c>
      <c r="N199" s="2" t="s">
        <v>413</v>
      </c>
      <c r="O199">
        <v>23754</v>
      </c>
      <c r="P199">
        <v>45938</v>
      </c>
      <c r="Q199">
        <v>4024</v>
      </c>
      <c r="R199">
        <v>34929</v>
      </c>
      <c r="S199">
        <v>34015</v>
      </c>
      <c r="T199">
        <v>28900</v>
      </c>
      <c r="U199">
        <v>27941</v>
      </c>
      <c r="V199">
        <v>6713</v>
      </c>
      <c r="W199">
        <v>35325</v>
      </c>
      <c r="X199">
        <v>26893</v>
      </c>
      <c r="Y199">
        <v>31169</v>
      </c>
      <c r="Z199">
        <v>22685</v>
      </c>
    </row>
    <row r="200" spans="1:26">
      <c r="A200" t="s">
        <v>210</v>
      </c>
      <c r="B200" t="s">
        <v>393</v>
      </c>
      <c r="C200" t="s">
        <v>395</v>
      </c>
      <c r="D200" t="s">
        <v>401</v>
      </c>
      <c r="E200" t="s">
        <v>407</v>
      </c>
      <c r="F200">
        <v>1</v>
      </c>
      <c r="G200">
        <v>62.22</v>
      </c>
      <c r="H200">
        <v>22.02</v>
      </c>
      <c r="I200">
        <v>4246.6000000000004</v>
      </c>
      <c r="J200">
        <v>1302.3599999999999</v>
      </c>
      <c r="K200">
        <v>310.92</v>
      </c>
      <c r="L200" t="s">
        <v>411</v>
      </c>
      <c r="M200">
        <v>9</v>
      </c>
      <c r="N200" s="2" t="s">
        <v>415</v>
      </c>
      <c r="O200">
        <v>1034</v>
      </c>
      <c r="P200">
        <v>36489</v>
      </c>
      <c r="Q200">
        <v>22921</v>
      </c>
      <c r="R200">
        <v>45189</v>
      </c>
      <c r="S200">
        <v>19322</v>
      </c>
      <c r="T200">
        <v>21432</v>
      </c>
      <c r="U200">
        <v>35102</v>
      </c>
      <c r="V200">
        <v>6580</v>
      </c>
      <c r="W200">
        <v>13700</v>
      </c>
      <c r="X200">
        <v>23036</v>
      </c>
      <c r="Y200">
        <v>43682</v>
      </c>
      <c r="Z200">
        <v>35839</v>
      </c>
    </row>
    <row r="201" spans="1:26">
      <c r="A201" t="s">
        <v>211</v>
      </c>
      <c r="B201" t="s">
        <v>394</v>
      </c>
      <c r="C201" t="s">
        <v>397</v>
      </c>
      <c r="D201" t="s">
        <v>400</v>
      </c>
      <c r="E201" t="s">
        <v>405</v>
      </c>
      <c r="F201">
        <v>7</v>
      </c>
      <c r="G201">
        <v>78.61</v>
      </c>
      <c r="H201">
        <v>15.64</v>
      </c>
      <c r="I201">
        <v>3180.95</v>
      </c>
      <c r="J201">
        <v>306.76</v>
      </c>
      <c r="K201">
        <v>866.23</v>
      </c>
      <c r="L201" t="s">
        <v>410</v>
      </c>
      <c r="M201">
        <v>5</v>
      </c>
      <c r="N201" s="2" t="s">
        <v>413</v>
      </c>
      <c r="O201">
        <v>33889</v>
      </c>
      <c r="P201">
        <v>46059</v>
      </c>
      <c r="Q201">
        <v>48953</v>
      </c>
      <c r="R201">
        <v>36285</v>
      </c>
      <c r="S201">
        <v>31355</v>
      </c>
      <c r="T201">
        <v>21968</v>
      </c>
      <c r="U201">
        <v>48179</v>
      </c>
      <c r="V201">
        <v>5140</v>
      </c>
      <c r="W201">
        <v>24345</v>
      </c>
      <c r="X201">
        <v>31392</v>
      </c>
      <c r="Y201">
        <v>45099</v>
      </c>
      <c r="Z201">
        <v>28665</v>
      </c>
    </row>
  </sheetData>
  <dataValidations count="1">
    <dataValidation type="list" allowBlank="1" showInputMessage="1" showErrorMessage="1" sqref="A1:M201" xr:uid="{B885B557-F78B-4144-86AD-160C3AF1BBF1}">
      <formula1>$A$1:$M$1</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74E09-922F-4DD1-AE88-08594F43F80E}">
  <sheetPr>
    <tabColor rgb="FFFFF710"/>
  </sheetPr>
  <dimension ref="A1:J201"/>
  <sheetViews>
    <sheetView workbookViewId="0">
      <selection activeCell="K4" sqref="K4"/>
    </sheetView>
  </sheetViews>
  <sheetFormatPr defaultRowHeight="14.4"/>
  <cols>
    <col min="1" max="1" width="11.6640625" bestFit="1" customWidth="1"/>
    <col min="2" max="2" width="8.33203125" bestFit="1" customWidth="1"/>
    <col min="3" max="3" width="9.88671875" bestFit="1" customWidth="1"/>
    <col min="4" max="5" width="8" bestFit="1" customWidth="1"/>
    <col min="6" max="6" width="15.6640625" bestFit="1" customWidth="1"/>
    <col min="7" max="7" width="12.44140625" bestFit="1" customWidth="1"/>
    <col min="8" max="8" width="9.77734375" bestFit="1" customWidth="1"/>
    <col min="9" max="9" width="12.44140625" customWidth="1"/>
  </cols>
  <sheetData>
    <row r="1" spans="1:10">
      <c r="A1" s="5" t="s">
        <v>503</v>
      </c>
      <c r="B1" s="6" t="s">
        <v>412</v>
      </c>
      <c r="C1" s="5" t="s">
        <v>429</v>
      </c>
      <c r="D1" s="5" t="s">
        <v>8</v>
      </c>
      <c r="E1" s="7" t="s">
        <v>430</v>
      </c>
      <c r="F1" s="5" t="s">
        <v>10</v>
      </c>
      <c r="G1" s="7" t="s">
        <v>431</v>
      </c>
      <c r="H1" s="5" t="s">
        <v>2</v>
      </c>
      <c r="I1" s="45" t="s">
        <v>500</v>
      </c>
      <c r="J1" s="48" t="s">
        <v>9</v>
      </c>
    </row>
    <row r="2" spans="1:10">
      <c r="A2" s="8" t="s">
        <v>212</v>
      </c>
      <c r="B2" s="9" t="s">
        <v>413</v>
      </c>
      <c r="C2" s="8" t="s">
        <v>400</v>
      </c>
      <c r="D2" s="12">
        <v>2219.2800000000002</v>
      </c>
      <c r="E2" s="43">
        <v>45</v>
      </c>
      <c r="F2" s="12" t="s">
        <v>408</v>
      </c>
      <c r="G2" s="12" t="s">
        <v>432</v>
      </c>
      <c r="H2" s="12" t="s">
        <v>395</v>
      </c>
      <c r="I2" s="12">
        <f>E2+10109+450</f>
        <v>10604</v>
      </c>
      <c r="J2" s="12">
        <v>2287707.5299999998</v>
      </c>
    </row>
    <row r="3" spans="1:10">
      <c r="A3" s="10" t="s">
        <v>213</v>
      </c>
      <c r="B3" s="11" t="s">
        <v>414</v>
      </c>
      <c r="C3" s="10" t="s">
        <v>401</v>
      </c>
      <c r="D3" s="12">
        <v>2314.79</v>
      </c>
      <c r="E3" s="12">
        <v>64</v>
      </c>
      <c r="F3" s="12" t="s">
        <v>409</v>
      </c>
      <c r="G3" s="12" t="s">
        <v>432</v>
      </c>
      <c r="H3" s="12" t="s">
        <v>396</v>
      </c>
      <c r="I3" s="12">
        <f t="shared" ref="I3:I66" si="0">E3+10109+450</f>
        <v>10623</v>
      </c>
      <c r="J3" s="12">
        <v>3445603.01</v>
      </c>
    </row>
    <row r="4" spans="1:10">
      <c r="A4" s="10" t="s">
        <v>214</v>
      </c>
      <c r="B4" s="11" t="s">
        <v>413</v>
      </c>
      <c r="C4" s="10" t="s">
        <v>402</v>
      </c>
      <c r="D4" s="12">
        <v>1539.29</v>
      </c>
      <c r="E4" s="12">
        <v>31</v>
      </c>
      <c r="F4" s="12" t="s">
        <v>410</v>
      </c>
      <c r="G4" s="12" t="s">
        <v>432</v>
      </c>
      <c r="H4" s="12" t="s">
        <v>397</v>
      </c>
      <c r="I4" s="12">
        <f t="shared" si="0"/>
        <v>10590</v>
      </c>
      <c r="J4" s="12">
        <v>3536584.82</v>
      </c>
    </row>
    <row r="5" spans="1:10">
      <c r="A5" s="10" t="s">
        <v>215</v>
      </c>
      <c r="B5" s="11" t="s">
        <v>414</v>
      </c>
      <c r="C5" s="10" t="s">
        <v>400</v>
      </c>
      <c r="D5" s="12">
        <v>1652.74</v>
      </c>
      <c r="E5" s="12">
        <v>96</v>
      </c>
      <c r="F5" s="12" t="s">
        <v>408</v>
      </c>
      <c r="G5" s="12" t="s">
        <v>433</v>
      </c>
      <c r="H5" s="12" t="s">
        <v>398</v>
      </c>
      <c r="I5" s="12">
        <f t="shared" si="0"/>
        <v>10655</v>
      </c>
      <c r="J5" s="12">
        <v>2882455.52</v>
      </c>
    </row>
    <row r="6" spans="1:10">
      <c r="A6" s="10" t="s">
        <v>216</v>
      </c>
      <c r="B6" s="11" t="s">
        <v>415</v>
      </c>
      <c r="C6" s="10" t="s">
        <v>400</v>
      </c>
      <c r="D6" s="12">
        <v>1566.29</v>
      </c>
      <c r="E6" s="12">
        <v>38</v>
      </c>
      <c r="F6" s="12" t="s">
        <v>409</v>
      </c>
      <c r="G6" s="12" t="s">
        <v>434</v>
      </c>
      <c r="H6" s="12" t="s">
        <v>397</v>
      </c>
      <c r="I6" s="12">
        <f t="shared" si="0"/>
        <v>10597</v>
      </c>
      <c r="J6" s="12">
        <v>2220128.2400000002</v>
      </c>
    </row>
    <row r="7" spans="1:10">
      <c r="A7" s="10" t="s">
        <v>217</v>
      </c>
      <c r="B7" s="11" t="s">
        <v>414</v>
      </c>
      <c r="C7" s="10" t="s">
        <v>400</v>
      </c>
      <c r="D7" s="12">
        <v>1784.77</v>
      </c>
      <c r="E7" s="12">
        <v>86</v>
      </c>
      <c r="F7" s="12" t="s">
        <v>408</v>
      </c>
      <c r="G7" s="12" t="s">
        <v>435</v>
      </c>
      <c r="H7" s="12" t="s">
        <v>398</v>
      </c>
      <c r="I7" s="12">
        <f t="shared" si="0"/>
        <v>10645</v>
      </c>
      <c r="J7" s="12">
        <v>3299188.04</v>
      </c>
    </row>
    <row r="8" spans="1:10">
      <c r="A8" s="10" t="s">
        <v>218</v>
      </c>
      <c r="B8" s="11" t="s">
        <v>414</v>
      </c>
      <c r="C8" s="10" t="s">
        <v>400</v>
      </c>
      <c r="D8" s="12">
        <v>136.71</v>
      </c>
      <c r="E8" s="12">
        <v>86</v>
      </c>
      <c r="F8" s="12" t="s">
        <v>411</v>
      </c>
      <c r="G8" s="12" t="s">
        <v>435</v>
      </c>
      <c r="H8" s="12" t="s">
        <v>397</v>
      </c>
      <c r="I8" s="12">
        <f t="shared" si="0"/>
        <v>10645</v>
      </c>
      <c r="J8" s="12">
        <v>2297188.6800000002</v>
      </c>
    </row>
    <row r="9" spans="1:10">
      <c r="A9" s="10" t="s">
        <v>219</v>
      </c>
      <c r="B9" s="11" t="s">
        <v>414</v>
      </c>
      <c r="C9" s="10" t="s">
        <v>400</v>
      </c>
      <c r="D9" s="12">
        <v>1216.77</v>
      </c>
      <c r="E9" s="12">
        <v>61</v>
      </c>
      <c r="F9" s="12" t="s">
        <v>409</v>
      </c>
      <c r="G9" s="12" t="s">
        <v>434</v>
      </c>
      <c r="H9" s="12" t="s">
        <v>396</v>
      </c>
      <c r="I9" s="12">
        <f t="shared" si="0"/>
        <v>10620</v>
      </c>
      <c r="J9" s="12">
        <v>2644362.2000000002</v>
      </c>
    </row>
    <row r="10" spans="1:10">
      <c r="A10" s="10" t="s">
        <v>220</v>
      </c>
      <c r="B10" s="11" t="s">
        <v>416</v>
      </c>
      <c r="C10" s="10" t="s">
        <v>403</v>
      </c>
      <c r="D10" s="12">
        <v>1838.26</v>
      </c>
      <c r="E10" s="12">
        <v>52</v>
      </c>
      <c r="F10" s="12" t="s">
        <v>410</v>
      </c>
      <c r="G10" s="12" t="s">
        <v>434</v>
      </c>
      <c r="H10" s="12" t="s">
        <v>398</v>
      </c>
      <c r="I10" s="12">
        <f t="shared" si="0"/>
        <v>10611</v>
      </c>
      <c r="J10" s="12">
        <v>2770073</v>
      </c>
    </row>
    <row r="11" spans="1:10">
      <c r="A11" s="10" t="s">
        <v>221</v>
      </c>
      <c r="B11" s="11" t="s">
        <v>413</v>
      </c>
      <c r="C11" s="10" t="s">
        <v>402</v>
      </c>
      <c r="D11" s="12">
        <v>1813.28</v>
      </c>
      <c r="E11" s="12">
        <v>6</v>
      </c>
      <c r="F11" s="12" t="s">
        <v>410</v>
      </c>
      <c r="G11" s="12" t="s">
        <v>434</v>
      </c>
      <c r="H11" s="12" t="s">
        <v>395</v>
      </c>
      <c r="I11" s="12">
        <f t="shared" si="0"/>
        <v>10565</v>
      </c>
      <c r="J11" s="12">
        <v>2941042.11</v>
      </c>
    </row>
    <row r="12" spans="1:10">
      <c r="A12" s="10" t="s">
        <v>222</v>
      </c>
      <c r="B12" s="11" t="s">
        <v>414</v>
      </c>
      <c r="C12" s="10" t="s">
        <v>403</v>
      </c>
      <c r="D12" s="12">
        <v>2389.2199999999998</v>
      </c>
      <c r="E12" s="12">
        <v>81</v>
      </c>
      <c r="F12" s="12" t="s">
        <v>410</v>
      </c>
      <c r="G12" s="12" t="s">
        <v>434</v>
      </c>
      <c r="H12" s="12" t="s">
        <v>397</v>
      </c>
      <c r="I12" s="12">
        <f t="shared" si="0"/>
        <v>10640</v>
      </c>
      <c r="J12" s="12">
        <v>2639222.4300000002</v>
      </c>
    </row>
    <row r="13" spans="1:10">
      <c r="A13" s="10" t="s">
        <v>223</v>
      </c>
      <c r="B13" s="11" t="s">
        <v>414</v>
      </c>
      <c r="C13" s="10" t="s">
        <v>401</v>
      </c>
      <c r="D13" s="12">
        <v>1982.28</v>
      </c>
      <c r="E13" s="12">
        <v>1</v>
      </c>
      <c r="F13" s="12" t="s">
        <v>410</v>
      </c>
      <c r="G13" s="12" t="s">
        <v>433</v>
      </c>
      <c r="H13" s="12" t="s">
        <v>397</v>
      </c>
      <c r="I13" s="12">
        <f t="shared" si="0"/>
        <v>10560</v>
      </c>
      <c r="J13" s="12">
        <v>1538430.53</v>
      </c>
    </row>
    <row r="14" spans="1:10">
      <c r="A14" s="10" t="s">
        <v>224</v>
      </c>
      <c r="B14" s="11" t="s">
        <v>416</v>
      </c>
      <c r="C14" s="10" t="s">
        <v>400</v>
      </c>
      <c r="D14" s="12">
        <v>2976.79</v>
      </c>
      <c r="E14" s="12">
        <v>16</v>
      </c>
      <c r="F14" s="12" t="s">
        <v>408</v>
      </c>
      <c r="G14" s="12" t="s">
        <v>435</v>
      </c>
      <c r="H14" s="12" t="s">
        <v>398</v>
      </c>
      <c r="I14" s="12">
        <f t="shared" si="0"/>
        <v>10575</v>
      </c>
      <c r="J14" s="12">
        <v>1528462.53</v>
      </c>
    </row>
    <row r="15" spans="1:10">
      <c r="A15" s="10" t="s">
        <v>225</v>
      </c>
      <c r="B15" s="11" t="s">
        <v>414</v>
      </c>
      <c r="C15" s="10" t="s">
        <v>402</v>
      </c>
      <c r="D15" s="12">
        <v>887.37</v>
      </c>
      <c r="E15" s="12">
        <v>77</v>
      </c>
      <c r="F15" s="12" t="s">
        <v>408</v>
      </c>
      <c r="G15" s="12" t="s">
        <v>432</v>
      </c>
      <c r="H15" s="12" t="s">
        <v>395</v>
      </c>
      <c r="I15" s="12">
        <f t="shared" si="0"/>
        <v>10636</v>
      </c>
      <c r="J15" s="12">
        <v>2760392.9</v>
      </c>
    </row>
    <row r="16" spans="1:10">
      <c r="A16" s="10" t="s">
        <v>226</v>
      </c>
      <c r="B16" s="11" t="s">
        <v>415</v>
      </c>
      <c r="C16" s="10" t="s">
        <v>400</v>
      </c>
      <c r="D16" s="12">
        <v>1109.5</v>
      </c>
      <c r="E16" s="12">
        <v>74</v>
      </c>
      <c r="F16" s="12" t="s">
        <v>410</v>
      </c>
      <c r="G16" s="12" t="s">
        <v>432</v>
      </c>
      <c r="H16" s="12" t="s">
        <v>395</v>
      </c>
      <c r="I16" s="12">
        <f t="shared" si="0"/>
        <v>10633</v>
      </c>
      <c r="J16" s="12">
        <v>1269964.02</v>
      </c>
    </row>
    <row r="17" spans="1:10">
      <c r="A17" s="10" t="s">
        <v>227</v>
      </c>
      <c r="B17" s="11" t="s">
        <v>416</v>
      </c>
      <c r="C17" s="10" t="s">
        <v>402</v>
      </c>
      <c r="D17" s="12">
        <v>1182.3499999999999</v>
      </c>
      <c r="E17" s="12">
        <v>57</v>
      </c>
      <c r="F17" s="12" t="s">
        <v>410</v>
      </c>
      <c r="G17" s="12" t="s">
        <v>433</v>
      </c>
      <c r="H17" s="12" t="s">
        <v>396</v>
      </c>
      <c r="I17" s="12">
        <f t="shared" si="0"/>
        <v>10616</v>
      </c>
      <c r="J17" s="12">
        <v>1440641.18</v>
      </c>
    </row>
    <row r="18" spans="1:10">
      <c r="A18" s="10" t="s">
        <v>228</v>
      </c>
      <c r="B18" s="11" t="s">
        <v>414</v>
      </c>
      <c r="C18" s="10" t="s">
        <v>403</v>
      </c>
      <c r="D18" s="12">
        <v>1424.15</v>
      </c>
      <c r="E18" s="12">
        <v>49</v>
      </c>
      <c r="F18" s="12" t="s">
        <v>410</v>
      </c>
      <c r="G18" s="12" t="s">
        <v>435</v>
      </c>
      <c r="H18" s="12" t="s">
        <v>395</v>
      </c>
      <c r="I18" s="12">
        <f t="shared" si="0"/>
        <v>10608</v>
      </c>
      <c r="J18" s="12">
        <v>3370088.03</v>
      </c>
    </row>
    <row r="19" spans="1:10">
      <c r="A19" s="10" t="s">
        <v>229</v>
      </c>
      <c r="B19" s="11" t="s">
        <v>414</v>
      </c>
      <c r="C19" s="10" t="s">
        <v>402</v>
      </c>
      <c r="D19" s="12">
        <v>2516.19</v>
      </c>
      <c r="E19" s="12">
        <v>82</v>
      </c>
      <c r="F19" s="12" t="s">
        <v>408</v>
      </c>
      <c r="G19" s="12" t="s">
        <v>434</v>
      </c>
      <c r="H19" s="12" t="s">
        <v>395</v>
      </c>
      <c r="I19" s="12">
        <f t="shared" si="0"/>
        <v>10641</v>
      </c>
      <c r="J19" s="12">
        <v>1407653.76</v>
      </c>
    </row>
    <row r="20" spans="1:10">
      <c r="A20" s="10" t="s">
        <v>230</v>
      </c>
      <c r="B20" s="11" t="s">
        <v>414</v>
      </c>
      <c r="C20" s="10" t="s">
        <v>401</v>
      </c>
      <c r="D20" s="12">
        <v>745.59</v>
      </c>
      <c r="E20" s="12">
        <v>73</v>
      </c>
      <c r="F20" s="12" t="s">
        <v>410</v>
      </c>
      <c r="G20" s="12" t="s">
        <v>433</v>
      </c>
      <c r="H20" s="12" t="s">
        <v>395</v>
      </c>
      <c r="I20" s="12">
        <f t="shared" si="0"/>
        <v>10632</v>
      </c>
      <c r="J20" s="12">
        <v>1330962.31</v>
      </c>
    </row>
    <row r="21" spans="1:10">
      <c r="A21" s="10" t="s">
        <v>231</v>
      </c>
      <c r="B21" s="11" t="s">
        <v>413</v>
      </c>
      <c r="C21" s="10" t="s">
        <v>401</v>
      </c>
      <c r="D21" s="12">
        <v>2339.1999999999998</v>
      </c>
      <c r="E21" s="12">
        <v>18</v>
      </c>
      <c r="F21" s="12" t="s">
        <v>410</v>
      </c>
      <c r="G21" s="12" t="s">
        <v>433</v>
      </c>
      <c r="H21" s="12" t="s">
        <v>399</v>
      </c>
      <c r="I21" s="12">
        <f t="shared" si="0"/>
        <v>10577</v>
      </c>
      <c r="J21" s="12">
        <v>1535243.55</v>
      </c>
    </row>
    <row r="22" spans="1:10">
      <c r="A22" s="10" t="s">
        <v>232</v>
      </c>
      <c r="B22" s="11" t="s">
        <v>416</v>
      </c>
      <c r="C22" s="10" t="s">
        <v>402</v>
      </c>
      <c r="D22" s="12">
        <v>1245.67</v>
      </c>
      <c r="E22" s="12">
        <v>78</v>
      </c>
      <c r="F22" s="12" t="s">
        <v>411</v>
      </c>
      <c r="G22" s="12" t="s">
        <v>434</v>
      </c>
      <c r="H22" s="12" t="s">
        <v>396</v>
      </c>
      <c r="I22" s="12">
        <f t="shared" si="0"/>
        <v>10637</v>
      </c>
      <c r="J22" s="12">
        <v>3101745.47</v>
      </c>
    </row>
    <row r="23" spans="1:10">
      <c r="A23" s="10" t="s">
        <v>233</v>
      </c>
      <c r="B23" s="11" t="s">
        <v>415</v>
      </c>
      <c r="C23" s="10" t="s">
        <v>402</v>
      </c>
      <c r="D23" s="12">
        <v>1825.47</v>
      </c>
      <c r="E23" s="12">
        <v>67</v>
      </c>
      <c r="F23" s="12" t="s">
        <v>411</v>
      </c>
      <c r="G23" s="12" t="s">
        <v>435</v>
      </c>
      <c r="H23" s="12" t="s">
        <v>397</v>
      </c>
      <c r="I23" s="12">
        <f t="shared" si="0"/>
        <v>10626</v>
      </c>
      <c r="J23" s="12">
        <v>2307723.98</v>
      </c>
    </row>
    <row r="24" spans="1:10">
      <c r="A24" s="10" t="s">
        <v>234</v>
      </c>
      <c r="B24" s="11" t="s">
        <v>413</v>
      </c>
      <c r="C24" s="10" t="s">
        <v>402</v>
      </c>
      <c r="D24" s="12">
        <v>1915.99</v>
      </c>
      <c r="E24" s="12">
        <v>78</v>
      </c>
      <c r="F24" s="12" t="s">
        <v>410</v>
      </c>
      <c r="G24" s="12" t="s">
        <v>435</v>
      </c>
      <c r="H24" s="12" t="s">
        <v>398</v>
      </c>
      <c r="I24" s="12">
        <f t="shared" si="0"/>
        <v>10637</v>
      </c>
      <c r="J24" s="12">
        <v>3302487.3</v>
      </c>
    </row>
    <row r="25" spans="1:10">
      <c r="A25" s="10" t="s">
        <v>235</v>
      </c>
      <c r="B25" s="11" t="s">
        <v>415</v>
      </c>
      <c r="C25" s="10" t="s">
        <v>402</v>
      </c>
      <c r="D25" s="12">
        <v>1149.9000000000001</v>
      </c>
      <c r="E25" s="12">
        <v>14</v>
      </c>
      <c r="F25" s="12" t="s">
        <v>409</v>
      </c>
      <c r="G25" s="12" t="s">
        <v>432</v>
      </c>
      <c r="H25" s="12" t="s">
        <v>397</v>
      </c>
      <c r="I25" s="12">
        <f t="shared" si="0"/>
        <v>10573</v>
      </c>
      <c r="J25" s="12">
        <v>3244653.5</v>
      </c>
    </row>
    <row r="26" spans="1:10">
      <c r="A26" s="10" t="s">
        <v>236</v>
      </c>
      <c r="B26" s="11" t="s">
        <v>413</v>
      </c>
      <c r="C26" s="10" t="s">
        <v>401</v>
      </c>
      <c r="D26" s="12">
        <v>1562.21</v>
      </c>
      <c r="E26" s="12">
        <v>32</v>
      </c>
      <c r="F26" s="12" t="s">
        <v>410</v>
      </c>
      <c r="G26" s="12" t="s">
        <v>434</v>
      </c>
      <c r="H26" s="12" t="s">
        <v>396</v>
      </c>
      <c r="I26" s="12">
        <f t="shared" si="0"/>
        <v>10591</v>
      </c>
      <c r="J26" s="12">
        <v>3368338.67</v>
      </c>
    </row>
    <row r="27" spans="1:10">
      <c r="A27" s="10" t="s">
        <v>237</v>
      </c>
      <c r="B27" s="11" t="s">
        <v>413</v>
      </c>
      <c r="C27" s="10" t="s">
        <v>400</v>
      </c>
      <c r="D27" s="12">
        <v>1268.44</v>
      </c>
      <c r="E27" s="12">
        <v>49</v>
      </c>
      <c r="F27" s="12" t="s">
        <v>411</v>
      </c>
      <c r="G27" s="12" t="s">
        <v>433</v>
      </c>
      <c r="H27" s="12" t="s">
        <v>398</v>
      </c>
      <c r="I27" s="12">
        <f t="shared" si="0"/>
        <v>10608</v>
      </c>
      <c r="J27" s="12">
        <v>3305037.22</v>
      </c>
    </row>
    <row r="28" spans="1:10">
      <c r="A28" s="10" t="s">
        <v>238</v>
      </c>
      <c r="B28" s="11" t="s">
        <v>414</v>
      </c>
      <c r="C28" s="10" t="s">
        <v>402</v>
      </c>
      <c r="D28" s="12">
        <v>253.94</v>
      </c>
      <c r="E28" s="12">
        <v>72</v>
      </c>
      <c r="F28" s="12" t="s">
        <v>409</v>
      </c>
      <c r="G28" s="12" t="s">
        <v>433</v>
      </c>
      <c r="H28" s="12" t="s">
        <v>396</v>
      </c>
      <c r="I28" s="12">
        <f t="shared" si="0"/>
        <v>10631</v>
      </c>
      <c r="J28" s="12">
        <v>1795482.22</v>
      </c>
    </row>
    <row r="29" spans="1:10">
      <c r="A29" s="10" t="s">
        <v>239</v>
      </c>
      <c r="B29" s="11" t="s">
        <v>413</v>
      </c>
      <c r="C29" s="10" t="s">
        <v>402</v>
      </c>
      <c r="D29" s="12">
        <v>1339.64</v>
      </c>
      <c r="E29" s="12">
        <v>42</v>
      </c>
      <c r="F29" s="12" t="s">
        <v>409</v>
      </c>
      <c r="G29" s="12" t="s">
        <v>433</v>
      </c>
      <c r="H29" s="12" t="s">
        <v>395</v>
      </c>
      <c r="I29" s="12">
        <f t="shared" si="0"/>
        <v>10601</v>
      </c>
      <c r="J29" s="12">
        <v>1722306.46</v>
      </c>
    </row>
    <row r="30" spans="1:10">
      <c r="A30" s="10" t="s">
        <v>240</v>
      </c>
      <c r="B30" s="11" t="s">
        <v>415</v>
      </c>
      <c r="C30" s="10" t="s">
        <v>401</v>
      </c>
      <c r="D30" s="12">
        <v>337.31</v>
      </c>
      <c r="E30" s="12">
        <v>47</v>
      </c>
      <c r="F30" s="12" t="s">
        <v>410</v>
      </c>
      <c r="G30" s="12" t="s">
        <v>433</v>
      </c>
      <c r="H30" s="12" t="s">
        <v>398</v>
      </c>
      <c r="I30" s="12">
        <f t="shared" si="0"/>
        <v>10606</v>
      </c>
      <c r="J30" s="12">
        <v>1944990.52</v>
      </c>
    </row>
    <row r="31" spans="1:10">
      <c r="A31" s="10" t="s">
        <v>241</v>
      </c>
      <c r="B31" s="11" t="s">
        <v>415</v>
      </c>
      <c r="C31" s="10" t="s">
        <v>401</v>
      </c>
      <c r="D31" s="12">
        <v>1244.81</v>
      </c>
      <c r="E31" s="12">
        <v>38</v>
      </c>
      <c r="F31" s="12" t="s">
        <v>411</v>
      </c>
      <c r="G31" s="12" t="s">
        <v>432</v>
      </c>
      <c r="H31" s="12" t="s">
        <v>395</v>
      </c>
      <c r="I31" s="12">
        <f t="shared" si="0"/>
        <v>10597</v>
      </c>
      <c r="J31" s="12">
        <v>3309710.56</v>
      </c>
    </row>
    <row r="32" spans="1:10">
      <c r="A32" s="10" t="s">
        <v>242</v>
      </c>
      <c r="B32" s="11" t="s">
        <v>416</v>
      </c>
      <c r="C32" s="10" t="s">
        <v>403</v>
      </c>
      <c r="D32" s="12">
        <v>1799.11</v>
      </c>
      <c r="E32" s="12">
        <v>66</v>
      </c>
      <c r="F32" s="12" t="s">
        <v>411</v>
      </c>
      <c r="G32" s="12" t="s">
        <v>434</v>
      </c>
      <c r="H32" s="12" t="s">
        <v>397</v>
      </c>
      <c r="I32" s="12">
        <f t="shared" si="0"/>
        <v>10625</v>
      </c>
      <c r="J32" s="12">
        <v>3166864.37</v>
      </c>
    </row>
    <row r="33" spans="1:10">
      <c r="A33" s="10" t="s">
        <v>243</v>
      </c>
      <c r="B33" s="11" t="s">
        <v>415</v>
      </c>
      <c r="C33" s="10" t="s">
        <v>402</v>
      </c>
      <c r="D33" s="12">
        <v>1759.27</v>
      </c>
      <c r="E33" s="12">
        <v>91</v>
      </c>
      <c r="F33" s="12" t="s">
        <v>409</v>
      </c>
      <c r="G33" s="12" t="s">
        <v>432</v>
      </c>
      <c r="H33" s="12" t="s">
        <v>397</v>
      </c>
      <c r="I33" s="12">
        <f t="shared" si="0"/>
        <v>10650</v>
      </c>
      <c r="J33" s="12">
        <v>1736248.64</v>
      </c>
    </row>
    <row r="34" spans="1:10">
      <c r="A34" s="10" t="s">
        <v>244</v>
      </c>
      <c r="B34" s="11" t="s">
        <v>415</v>
      </c>
      <c r="C34" s="10" t="s">
        <v>403</v>
      </c>
      <c r="D34" s="12">
        <v>2004.73</v>
      </c>
      <c r="E34" s="12">
        <v>63</v>
      </c>
      <c r="F34" s="12" t="s">
        <v>410</v>
      </c>
      <c r="G34" s="12" t="s">
        <v>432</v>
      </c>
      <c r="H34" s="12" t="s">
        <v>398</v>
      </c>
      <c r="I34" s="12">
        <f t="shared" si="0"/>
        <v>10622</v>
      </c>
      <c r="J34" s="12">
        <v>3043212.82</v>
      </c>
    </row>
    <row r="35" spans="1:10">
      <c r="A35" s="10" t="s">
        <v>245</v>
      </c>
      <c r="B35" s="11" t="s">
        <v>413</v>
      </c>
      <c r="C35" s="10" t="s">
        <v>401</v>
      </c>
      <c r="D35" s="12">
        <v>331.02</v>
      </c>
      <c r="E35" s="12">
        <v>65</v>
      </c>
      <c r="F35" s="12" t="s">
        <v>408</v>
      </c>
      <c r="G35" s="12" t="s">
        <v>433</v>
      </c>
      <c r="H35" s="12" t="s">
        <v>398</v>
      </c>
      <c r="I35" s="12">
        <f t="shared" si="0"/>
        <v>10624</v>
      </c>
      <c r="J35" s="12">
        <v>2183729.61</v>
      </c>
    </row>
    <row r="36" spans="1:10">
      <c r="A36" s="10" t="s">
        <v>246</v>
      </c>
      <c r="B36" s="11" t="s">
        <v>415</v>
      </c>
      <c r="C36" s="10" t="s">
        <v>401</v>
      </c>
      <c r="D36" s="12">
        <v>1973.76</v>
      </c>
      <c r="E36" s="12">
        <v>64</v>
      </c>
      <c r="F36" s="12" t="s">
        <v>408</v>
      </c>
      <c r="G36" s="12" t="s">
        <v>433</v>
      </c>
      <c r="H36" s="12" t="s">
        <v>396</v>
      </c>
      <c r="I36" s="12">
        <f t="shared" si="0"/>
        <v>10623</v>
      </c>
      <c r="J36" s="12">
        <v>2163410.39</v>
      </c>
    </row>
    <row r="37" spans="1:10">
      <c r="A37" s="10" t="s">
        <v>247</v>
      </c>
      <c r="B37" s="11" t="s">
        <v>414</v>
      </c>
      <c r="C37" s="10" t="s">
        <v>400</v>
      </c>
      <c r="D37" s="12">
        <v>970.84</v>
      </c>
      <c r="E37" s="12">
        <v>14</v>
      </c>
      <c r="F37" s="12" t="s">
        <v>411</v>
      </c>
      <c r="G37" s="12" t="s">
        <v>433</v>
      </c>
      <c r="H37" s="12" t="s">
        <v>396</v>
      </c>
      <c r="I37" s="12">
        <f t="shared" si="0"/>
        <v>10573</v>
      </c>
      <c r="J37" s="12">
        <v>2381425.0499999998</v>
      </c>
    </row>
    <row r="38" spans="1:10">
      <c r="A38" s="10" t="s">
        <v>248</v>
      </c>
      <c r="B38" s="11" t="s">
        <v>414</v>
      </c>
      <c r="C38" s="10" t="s">
        <v>402</v>
      </c>
      <c r="D38" s="12">
        <v>1227.19</v>
      </c>
      <c r="E38" s="12">
        <v>11</v>
      </c>
      <c r="F38" s="12" t="s">
        <v>408</v>
      </c>
      <c r="G38" s="12" t="s">
        <v>434</v>
      </c>
      <c r="H38" s="12" t="s">
        <v>395</v>
      </c>
      <c r="I38" s="12">
        <f t="shared" si="0"/>
        <v>10570</v>
      </c>
      <c r="J38" s="12">
        <v>1836290.7</v>
      </c>
    </row>
    <row r="39" spans="1:10">
      <c r="A39" s="10" t="s">
        <v>249</v>
      </c>
      <c r="B39" s="11" t="s">
        <v>413</v>
      </c>
      <c r="C39" s="10" t="s">
        <v>403</v>
      </c>
      <c r="D39" s="12">
        <v>2581.06</v>
      </c>
      <c r="E39" s="12">
        <v>5</v>
      </c>
      <c r="F39" s="12" t="s">
        <v>411</v>
      </c>
      <c r="G39" s="12" t="s">
        <v>434</v>
      </c>
      <c r="H39" s="12" t="s">
        <v>398</v>
      </c>
      <c r="I39" s="12">
        <f t="shared" si="0"/>
        <v>10564</v>
      </c>
      <c r="J39" s="12">
        <v>2155130.2200000002</v>
      </c>
    </row>
    <row r="40" spans="1:10">
      <c r="A40" s="10" t="s">
        <v>250</v>
      </c>
      <c r="B40" s="11" t="s">
        <v>415</v>
      </c>
      <c r="C40" s="10" t="s">
        <v>401</v>
      </c>
      <c r="D40" s="12">
        <v>76.64</v>
      </c>
      <c r="E40" s="12">
        <v>34</v>
      </c>
      <c r="F40" s="12" t="s">
        <v>411</v>
      </c>
      <c r="G40" s="12" t="s">
        <v>433</v>
      </c>
      <c r="H40" s="12" t="s">
        <v>397</v>
      </c>
      <c r="I40" s="12">
        <f t="shared" si="0"/>
        <v>10593</v>
      </c>
      <c r="J40" s="12">
        <v>2254107.5499999998</v>
      </c>
    </row>
    <row r="41" spans="1:10">
      <c r="A41" s="10" t="s">
        <v>251</v>
      </c>
      <c r="B41" s="11" t="s">
        <v>416</v>
      </c>
      <c r="C41" s="10" t="s">
        <v>401</v>
      </c>
      <c r="D41" s="12">
        <v>1785.82</v>
      </c>
      <c r="E41" s="12">
        <v>43</v>
      </c>
      <c r="F41" s="12" t="s">
        <v>411</v>
      </c>
      <c r="G41" s="12" t="s">
        <v>433</v>
      </c>
      <c r="H41" s="12" t="s">
        <v>396</v>
      </c>
      <c r="I41" s="12">
        <f t="shared" si="0"/>
        <v>10602</v>
      </c>
      <c r="J41" s="12">
        <v>2738818.83</v>
      </c>
    </row>
    <row r="42" spans="1:10">
      <c r="A42" s="10" t="s">
        <v>252</v>
      </c>
      <c r="B42" s="11" t="s">
        <v>413</v>
      </c>
      <c r="C42" s="10" t="s">
        <v>403</v>
      </c>
      <c r="D42" s="12">
        <v>1816.21</v>
      </c>
      <c r="E42" s="12">
        <v>56</v>
      </c>
      <c r="F42" s="12" t="s">
        <v>408</v>
      </c>
      <c r="G42" s="12" t="s">
        <v>432</v>
      </c>
      <c r="H42" s="12" t="s">
        <v>396</v>
      </c>
      <c r="I42" s="12">
        <f t="shared" si="0"/>
        <v>10615</v>
      </c>
      <c r="J42" s="12">
        <v>1174947.81</v>
      </c>
    </row>
    <row r="43" spans="1:10">
      <c r="A43" s="10" t="s">
        <v>253</v>
      </c>
      <c r="B43" s="11" t="s">
        <v>414</v>
      </c>
      <c r="C43" s="10" t="s">
        <v>400</v>
      </c>
      <c r="D43" s="12">
        <v>1220.1500000000001</v>
      </c>
      <c r="E43" s="12">
        <v>84</v>
      </c>
      <c r="F43" s="12" t="s">
        <v>411</v>
      </c>
      <c r="G43" s="12" t="s">
        <v>432</v>
      </c>
      <c r="H43" s="12" t="s">
        <v>397</v>
      </c>
      <c r="I43" s="12">
        <f t="shared" si="0"/>
        <v>10643</v>
      </c>
      <c r="J43" s="12">
        <v>2336283.56</v>
      </c>
    </row>
    <row r="44" spans="1:10">
      <c r="A44" s="10" t="s">
        <v>254</v>
      </c>
      <c r="B44" s="11" t="s">
        <v>416</v>
      </c>
      <c r="C44" s="10" t="s">
        <v>401</v>
      </c>
      <c r="D44" s="12">
        <v>749.23</v>
      </c>
      <c r="E44" s="12">
        <v>23</v>
      </c>
      <c r="F44" s="12" t="s">
        <v>409</v>
      </c>
      <c r="G44" s="12" t="s">
        <v>432</v>
      </c>
      <c r="H44" s="12" t="s">
        <v>396</v>
      </c>
      <c r="I44" s="12">
        <f t="shared" si="0"/>
        <v>10582</v>
      </c>
      <c r="J44" s="12">
        <v>1543200.87</v>
      </c>
    </row>
    <row r="45" spans="1:10">
      <c r="A45" s="10" t="s">
        <v>255</v>
      </c>
      <c r="B45" s="11" t="s">
        <v>416</v>
      </c>
      <c r="C45" s="10" t="s">
        <v>402</v>
      </c>
      <c r="D45" s="12">
        <v>742.29</v>
      </c>
      <c r="E45" s="12">
        <v>70</v>
      </c>
      <c r="F45" s="12" t="s">
        <v>410</v>
      </c>
      <c r="G45" s="12" t="s">
        <v>434</v>
      </c>
      <c r="H45" s="12" t="s">
        <v>395</v>
      </c>
      <c r="I45" s="12">
        <f t="shared" si="0"/>
        <v>10629</v>
      </c>
      <c r="J45" s="12">
        <v>1709908.93</v>
      </c>
    </row>
    <row r="46" spans="1:10">
      <c r="A46" s="10" t="s">
        <v>256</v>
      </c>
      <c r="B46" s="11" t="s">
        <v>414</v>
      </c>
      <c r="C46" s="10" t="s">
        <v>401</v>
      </c>
      <c r="D46" s="12">
        <v>2656.94</v>
      </c>
      <c r="E46" s="12">
        <v>16</v>
      </c>
      <c r="F46" s="12" t="s">
        <v>410</v>
      </c>
      <c r="G46" s="12" t="s">
        <v>434</v>
      </c>
      <c r="H46" s="12" t="s">
        <v>398</v>
      </c>
      <c r="I46" s="12">
        <f t="shared" si="0"/>
        <v>10575</v>
      </c>
      <c r="J46" s="12">
        <v>1944774.47</v>
      </c>
    </row>
    <row r="47" spans="1:10">
      <c r="A47" s="10" t="s">
        <v>257</v>
      </c>
      <c r="B47" s="11" t="s">
        <v>416</v>
      </c>
      <c r="C47" s="10" t="s">
        <v>402</v>
      </c>
      <c r="D47" s="12">
        <v>1353.97</v>
      </c>
      <c r="E47" s="12">
        <v>79</v>
      </c>
      <c r="F47" s="12" t="s">
        <v>411</v>
      </c>
      <c r="G47" s="12" t="s">
        <v>433</v>
      </c>
      <c r="H47" s="12" t="s">
        <v>397</v>
      </c>
      <c r="I47" s="12">
        <f t="shared" si="0"/>
        <v>10638</v>
      </c>
      <c r="J47" s="12">
        <v>2484477.64</v>
      </c>
    </row>
    <row r="48" spans="1:10">
      <c r="A48" s="10" t="s">
        <v>258</v>
      </c>
      <c r="B48" s="11" t="s">
        <v>413</v>
      </c>
      <c r="C48" s="10" t="s">
        <v>403</v>
      </c>
      <c r="D48" s="12">
        <v>1026.1199999999999</v>
      </c>
      <c r="E48" s="12">
        <v>33</v>
      </c>
      <c r="F48" s="12" t="s">
        <v>410</v>
      </c>
      <c r="G48" s="12" t="s">
        <v>432</v>
      </c>
      <c r="H48" s="12" t="s">
        <v>398</v>
      </c>
      <c r="I48" s="12">
        <f t="shared" si="0"/>
        <v>10592</v>
      </c>
      <c r="J48" s="12">
        <v>3221199.87</v>
      </c>
    </row>
    <row r="49" spans="1:10">
      <c r="A49" s="10" t="s">
        <v>259</v>
      </c>
      <c r="B49" s="11" t="s">
        <v>414</v>
      </c>
      <c r="C49" s="10" t="s">
        <v>402</v>
      </c>
      <c r="D49" s="12">
        <v>1373.89</v>
      </c>
      <c r="E49" s="12">
        <v>83</v>
      </c>
      <c r="F49" s="12" t="s">
        <v>408</v>
      </c>
      <c r="G49" s="12" t="s">
        <v>432</v>
      </c>
      <c r="H49" s="12" t="s">
        <v>396</v>
      </c>
      <c r="I49" s="12">
        <f t="shared" si="0"/>
        <v>10642</v>
      </c>
      <c r="J49" s="12">
        <v>2102570.92</v>
      </c>
    </row>
    <row r="50" spans="1:10">
      <c r="A50" s="10" t="s">
        <v>260</v>
      </c>
      <c r="B50" s="11" t="s">
        <v>413</v>
      </c>
      <c r="C50" s="10" t="s">
        <v>403</v>
      </c>
      <c r="D50" s="12">
        <v>2024.7</v>
      </c>
      <c r="E50" s="12">
        <v>64</v>
      </c>
      <c r="F50" s="12" t="s">
        <v>408</v>
      </c>
      <c r="G50" s="12" t="s">
        <v>435</v>
      </c>
      <c r="H50" s="12" t="s">
        <v>396</v>
      </c>
      <c r="I50" s="12">
        <f t="shared" si="0"/>
        <v>10623</v>
      </c>
      <c r="J50" s="12">
        <v>3115400.68</v>
      </c>
    </row>
    <row r="51" spans="1:10">
      <c r="A51" s="10" t="s">
        <v>261</v>
      </c>
      <c r="B51" s="11" t="s">
        <v>415</v>
      </c>
      <c r="C51" s="10" t="s">
        <v>402</v>
      </c>
      <c r="D51" s="12">
        <v>479.98</v>
      </c>
      <c r="E51" s="12">
        <v>80</v>
      </c>
      <c r="F51" s="12" t="s">
        <v>410</v>
      </c>
      <c r="G51" s="12" t="s">
        <v>432</v>
      </c>
      <c r="H51" s="12" t="s">
        <v>397</v>
      </c>
      <c r="I51" s="12">
        <f t="shared" si="0"/>
        <v>10639</v>
      </c>
      <c r="J51" s="12">
        <v>1476906.21</v>
      </c>
    </row>
    <row r="52" spans="1:10">
      <c r="A52" s="10" t="s">
        <v>262</v>
      </c>
      <c r="B52" s="11" t="s">
        <v>415</v>
      </c>
      <c r="C52" s="10" t="s">
        <v>403</v>
      </c>
      <c r="D52" s="12">
        <v>1375.83</v>
      </c>
      <c r="E52" s="12">
        <v>51</v>
      </c>
      <c r="F52" s="12" t="s">
        <v>408</v>
      </c>
      <c r="G52" s="12" t="s">
        <v>434</v>
      </c>
      <c r="H52" s="12" t="s">
        <v>395</v>
      </c>
      <c r="I52" s="12">
        <f t="shared" si="0"/>
        <v>10610</v>
      </c>
      <c r="J52" s="12">
        <v>1950079.52</v>
      </c>
    </row>
    <row r="53" spans="1:10">
      <c r="A53" s="10" t="s">
        <v>263</v>
      </c>
      <c r="B53" s="11" t="s">
        <v>416</v>
      </c>
      <c r="C53" s="10" t="s">
        <v>402</v>
      </c>
      <c r="D53" s="12">
        <v>1784.26</v>
      </c>
      <c r="E53" s="12">
        <v>94</v>
      </c>
      <c r="F53" s="12" t="s">
        <v>410</v>
      </c>
      <c r="G53" s="12" t="s">
        <v>432</v>
      </c>
      <c r="H53" s="12" t="s">
        <v>399</v>
      </c>
      <c r="I53" s="12">
        <f t="shared" si="0"/>
        <v>10653</v>
      </c>
      <c r="J53" s="12">
        <v>3253543.78</v>
      </c>
    </row>
    <row r="54" spans="1:10">
      <c r="A54" s="10" t="s">
        <v>264</v>
      </c>
      <c r="B54" s="11" t="s">
        <v>414</v>
      </c>
      <c r="C54" s="10" t="s">
        <v>400</v>
      </c>
      <c r="D54" s="12">
        <v>2848.32</v>
      </c>
      <c r="E54" s="12">
        <v>34</v>
      </c>
      <c r="F54" s="12" t="s">
        <v>410</v>
      </c>
      <c r="G54" s="12" t="s">
        <v>433</v>
      </c>
      <c r="H54" s="12" t="s">
        <v>397</v>
      </c>
      <c r="I54" s="12">
        <f t="shared" si="0"/>
        <v>10593</v>
      </c>
      <c r="J54" s="12">
        <v>2377961.44</v>
      </c>
    </row>
    <row r="55" spans="1:10">
      <c r="A55" s="10" t="s">
        <v>231</v>
      </c>
      <c r="B55" s="11" t="s">
        <v>414</v>
      </c>
      <c r="C55" s="10" t="s">
        <v>402</v>
      </c>
      <c r="D55" s="12">
        <v>794.96</v>
      </c>
      <c r="E55" s="12">
        <v>72</v>
      </c>
      <c r="F55" s="12" t="s">
        <v>410</v>
      </c>
      <c r="G55" s="12" t="s">
        <v>433</v>
      </c>
      <c r="H55" s="12" t="s">
        <v>399</v>
      </c>
      <c r="I55" s="12">
        <f t="shared" si="0"/>
        <v>10631</v>
      </c>
      <c r="J55" s="12">
        <v>3477320.92</v>
      </c>
    </row>
    <row r="56" spans="1:10">
      <c r="A56" s="10" t="s">
        <v>265</v>
      </c>
      <c r="B56" s="11" t="s">
        <v>415</v>
      </c>
      <c r="C56" s="10" t="s">
        <v>402</v>
      </c>
      <c r="D56" s="12">
        <v>1109.79</v>
      </c>
      <c r="E56" s="12">
        <v>60</v>
      </c>
      <c r="F56" s="12" t="s">
        <v>411</v>
      </c>
      <c r="G56" s="12" t="s">
        <v>435</v>
      </c>
      <c r="H56" s="12" t="s">
        <v>399</v>
      </c>
      <c r="I56" s="12">
        <f t="shared" si="0"/>
        <v>10619</v>
      </c>
      <c r="J56" s="12">
        <v>2909908.95</v>
      </c>
    </row>
    <row r="57" spans="1:10">
      <c r="A57" s="10" t="s">
        <v>266</v>
      </c>
      <c r="B57" s="11" t="s">
        <v>415</v>
      </c>
      <c r="C57" s="10" t="s">
        <v>400</v>
      </c>
      <c r="D57" s="12">
        <v>1169.1099999999999</v>
      </c>
      <c r="E57" s="12">
        <v>39</v>
      </c>
      <c r="F57" s="12" t="s">
        <v>410</v>
      </c>
      <c r="G57" s="12" t="s">
        <v>434</v>
      </c>
      <c r="H57" s="12" t="s">
        <v>395</v>
      </c>
      <c r="I57" s="12">
        <f t="shared" si="0"/>
        <v>10598</v>
      </c>
      <c r="J57" s="12">
        <v>1348176.94</v>
      </c>
    </row>
    <row r="58" spans="1:10">
      <c r="A58" s="10" t="s">
        <v>267</v>
      </c>
      <c r="B58" s="11" t="s">
        <v>413</v>
      </c>
      <c r="C58" s="10" t="s">
        <v>401</v>
      </c>
      <c r="D58" s="12">
        <v>1836.34</v>
      </c>
      <c r="E58" s="12">
        <v>82</v>
      </c>
      <c r="F58" s="12" t="s">
        <v>411</v>
      </c>
      <c r="G58" s="12" t="s">
        <v>432</v>
      </c>
      <c r="H58" s="12" t="s">
        <v>399</v>
      </c>
      <c r="I58" s="12">
        <f t="shared" si="0"/>
        <v>10641</v>
      </c>
      <c r="J58" s="12">
        <v>3160417.34</v>
      </c>
    </row>
    <row r="59" spans="1:10">
      <c r="A59" s="10" t="s">
        <v>219</v>
      </c>
      <c r="B59" s="11" t="s">
        <v>415</v>
      </c>
      <c r="C59" s="10" t="s">
        <v>401</v>
      </c>
      <c r="D59" s="12">
        <v>1102.3599999999999</v>
      </c>
      <c r="E59" s="12">
        <v>57</v>
      </c>
      <c r="F59" s="12" t="s">
        <v>410</v>
      </c>
      <c r="G59" s="12" t="s">
        <v>435</v>
      </c>
      <c r="H59" s="12" t="s">
        <v>399</v>
      </c>
      <c r="I59" s="12">
        <f t="shared" si="0"/>
        <v>10616</v>
      </c>
      <c r="J59" s="12">
        <v>1561297.98</v>
      </c>
    </row>
    <row r="60" spans="1:10">
      <c r="A60" s="10" t="s">
        <v>268</v>
      </c>
      <c r="B60" s="11" t="s">
        <v>415</v>
      </c>
      <c r="C60" s="10" t="s">
        <v>402</v>
      </c>
      <c r="D60" s="12">
        <v>1623.86</v>
      </c>
      <c r="E60" s="12">
        <v>20</v>
      </c>
      <c r="F60" s="12" t="s">
        <v>410</v>
      </c>
      <c r="G60" s="12" t="s">
        <v>433</v>
      </c>
      <c r="H60" s="12" t="s">
        <v>395</v>
      </c>
      <c r="I60" s="12">
        <f t="shared" si="0"/>
        <v>10579</v>
      </c>
      <c r="J60" s="12">
        <v>1698588.58</v>
      </c>
    </row>
    <row r="61" spans="1:10">
      <c r="A61" s="10" t="s">
        <v>269</v>
      </c>
      <c r="B61" s="11" t="s">
        <v>414</v>
      </c>
      <c r="C61" s="10" t="s">
        <v>400</v>
      </c>
      <c r="D61" s="12">
        <v>2356.2800000000002</v>
      </c>
      <c r="E61" s="12">
        <v>52</v>
      </c>
      <c r="F61" s="12" t="s">
        <v>410</v>
      </c>
      <c r="G61" s="12" t="s">
        <v>433</v>
      </c>
      <c r="H61" s="12" t="s">
        <v>399</v>
      </c>
      <c r="I61" s="12">
        <f t="shared" si="0"/>
        <v>10611</v>
      </c>
      <c r="J61" s="12">
        <v>1728049.63</v>
      </c>
    </row>
    <row r="62" spans="1:10">
      <c r="A62" s="10" t="s">
        <v>270</v>
      </c>
      <c r="B62" s="11" t="s">
        <v>414</v>
      </c>
      <c r="C62" s="10" t="s">
        <v>402</v>
      </c>
      <c r="D62" s="12">
        <v>2130.89</v>
      </c>
      <c r="E62" s="12">
        <v>94</v>
      </c>
      <c r="F62" s="12" t="s">
        <v>408</v>
      </c>
      <c r="G62" s="12" t="s">
        <v>434</v>
      </c>
      <c r="H62" s="12" t="s">
        <v>399</v>
      </c>
      <c r="I62" s="12">
        <f t="shared" si="0"/>
        <v>10653</v>
      </c>
      <c r="J62" s="12">
        <v>1996589.71</v>
      </c>
    </row>
    <row r="63" spans="1:10">
      <c r="A63" s="10" t="s">
        <v>271</v>
      </c>
      <c r="B63" s="11" t="s">
        <v>414</v>
      </c>
      <c r="C63" s="10" t="s">
        <v>403</v>
      </c>
      <c r="D63" s="12">
        <v>1366.79</v>
      </c>
      <c r="E63" s="12">
        <v>75</v>
      </c>
      <c r="F63" s="12" t="s">
        <v>411</v>
      </c>
      <c r="G63" s="12" t="s">
        <v>432</v>
      </c>
      <c r="H63" s="12" t="s">
        <v>399</v>
      </c>
      <c r="I63" s="12">
        <f t="shared" si="0"/>
        <v>10634</v>
      </c>
      <c r="J63" s="12">
        <v>3448050.09</v>
      </c>
    </row>
    <row r="64" spans="1:10">
      <c r="A64" s="10" t="s">
        <v>272</v>
      </c>
      <c r="B64" s="11" t="s">
        <v>414</v>
      </c>
      <c r="C64" s="10" t="s">
        <v>403</v>
      </c>
      <c r="D64" s="12">
        <v>2599.44</v>
      </c>
      <c r="E64" s="12">
        <v>72</v>
      </c>
      <c r="F64" s="12" t="s">
        <v>411</v>
      </c>
      <c r="G64" s="12" t="s">
        <v>433</v>
      </c>
      <c r="H64" s="12" t="s">
        <v>397</v>
      </c>
      <c r="I64" s="12">
        <f t="shared" si="0"/>
        <v>10631</v>
      </c>
      <c r="J64" s="12">
        <v>3041032.52</v>
      </c>
    </row>
    <row r="65" spans="1:10">
      <c r="A65" s="10" t="s">
        <v>273</v>
      </c>
      <c r="B65" s="11" t="s">
        <v>413</v>
      </c>
      <c r="C65" s="10" t="s">
        <v>402</v>
      </c>
      <c r="D65" s="12">
        <v>1696.51</v>
      </c>
      <c r="E65" s="12">
        <v>98</v>
      </c>
      <c r="F65" s="12" t="s">
        <v>410</v>
      </c>
      <c r="G65" s="12" t="s">
        <v>435</v>
      </c>
      <c r="H65" s="12" t="s">
        <v>397</v>
      </c>
      <c r="I65" s="12">
        <f t="shared" si="0"/>
        <v>10657</v>
      </c>
      <c r="J65" s="12">
        <v>2363387.66</v>
      </c>
    </row>
    <row r="66" spans="1:10">
      <c r="A66" s="10" t="s">
        <v>274</v>
      </c>
      <c r="B66" s="11" t="s">
        <v>414</v>
      </c>
      <c r="C66" s="10" t="s">
        <v>401</v>
      </c>
      <c r="D66" s="12">
        <v>1642.72</v>
      </c>
      <c r="E66" s="12">
        <v>87</v>
      </c>
      <c r="F66" s="12" t="s">
        <v>410</v>
      </c>
      <c r="G66" s="12" t="s">
        <v>434</v>
      </c>
      <c r="H66" s="12" t="s">
        <v>397</v>
      </c>
      <c r="I66" s="12">
        <f t="shared" si="0"/>
        <v>10646</v>
      </c>
      <c r="J66" s="12">
        <v>1745535.84</v>
      </c>
    </row>
    <row r="67" spans="1:10">
      <c r="A67" s="10" t="s">
        <v>275</v>
      </c>
      <c r="B67" s="11" t="s">
        <v>413</v>
      </c>
      <c r="C67" s="10" t="s">
        <v>401</v>
      </c>
      <c r="D67" s="12">
        <v>150.85</v>
      </c>
      <c r="E67" s="12">
        <v>93</v>
      </c>
      <c r="F67" s="12" t="s">
        <v>408</v>
      </c>
      <c r="G67" s="12" t="s">
        <v>435</v>
      </c>
      <c r="H67" s="12" t="s">
        <v>395</v>
      </c>
      <c r="I67" s="12">
        <f t="shared" ref="I67:I130" si="1">E67+10109+450</f>
        <v>10652</v>
      </c>
      <c r="J67" s="12">
        <v>2306373.4700000002</v>
      </c>
    </row>
    <row r="68" spans="1:10">
      <c r="A68" s="10" t="s">
        <v>276</v>
      </c>
      <c r="B68" s="11" t="s">
        <v>415</v>
      </c>
      <c r="C68" s="10" t="s">
        <v>402</v>
      </c>
      <c r="D68" s="12">
        <v>2960.74</v>
      </c>
      <c r="E68" s="12">
        <v>14</v>
      </c>
      <c r="F68" s="12" t="s">
        <v>408</v>
      </c>
      <c r="G68" s="12" t="s">
        <v>432</v>
      </c>
      <c r="H68" s="12" t="s">
        <v>396</v>
      </c>
      <c r="I68" s="12">
        <f t="shared" si="1"/>
        <v>10573</v>
      </c>
      <c r="J68" s="12">
        <v>1293373.8999999999</v>
      </c>
    </row>
    <row r="69" spans="1:10">
      <c r="A69" s="10" t="s">
        <v>277</v>
      </c>
      <c r="B69" s="11" t="s">
        <v>415</v>
      </c>
      <c r="C69" s="10" t="s">
        <v>402</v>
      </c>
      <c r="D69" s="12">
        <v>412.76</v>
      </c>
      <c r="E69" s="12">
        <v>81</v>
      </c>
      <c r="F69" s="12" t="s">
        <v>408</v>
      </c>
      <c r="G69" s="12" t="s">
        <v>432</v>
      </c>
      <c r="H69" s="12" t="s">
        <v>399</v>
      </c>
      <c r="I69" s="12">
        <f t="shared" si="1"/>
        <v>10640</v>
      </c>
      <c r="J69" s="12">
        <v>1641175.22</v>
      </c>
    </row>
    <row r="70" spans="1:10">
      <c r="A70" s="10" t="s">
        <v>278</v>
      </c>
      <c r="B70" s="11" t="s">
        <v>413</v>
      </c>
      <c r="C70" s="10" t="s">
        <v>403</v>
      </c>
      <c r="D70" s="12">
        <v>731.84</v>
      </c>
      <c r="E70" s="12">
        <v>27</v>
      </c>
      <c r="F70" s="12" t="s">
        <v>411</v>
      </c>
      <c r="G70" s="12" t="s">
        <v>432</v>
      </c>
      <c r="H70" s="12" t="s">
        <v>399</v>
      </c>
      <c r="I70" s="12">
        <f t="shared" si="1"/>
        <v>10586</v>
      </c>
      <c r="J70" s="12">
        <v>1960858.98</v>
      </c>
    </row>
    <row r="71" spans="1:10">
      <c r="A71" s="10" t="s">
        <v>279</v>
      </c>
      <c r="B71" s="11" t="s">
        <v>416</v>
      </c>
      <c r="C71" s="10" t="s">
        <v>401</v>
      </c>
      <c r="D71" s="12">
        <v>202.51</v>
      </c>
      <c r="E71" s="12">
        <v>34</v>
      </c>
      <c r="F71" s="12" t="s">
        <v>411</v>
      </c>
      <c r="G71" s="12" t="s">
        <v>433</v>
      </c>
      <c r="H71" s="12" t="s">
        <v>395</v>
      </c>
      <c r="I71" s="12">
        <f t="shared" si="1"/>
        <v>10593</v>
      </c>
      <c r="J71" s="12">
        <v>1993637.58</v>
      </c>
    </row>
    <row r="72" spans="1:10">
      <c r="A72" s="10" t="s">
        <v>280</v>
      </c>
      <c r="B72" s="11" t="s">
        <v>414</v>
      </c>
      <c r="C72" s="10" t="s">
        <v>402</v>
      </c>
      <c r="D72" s="12">
        <v>1938.01</v>
      </c>
      <c r="E72" s="12">
        <v>69</v>
      </c>
      <c r="F72" s="12" t="s">
        <v>411</v>
      </c>
      <c r="G72" s="12" t="s">
        <v>434</v>
      </c>
      <c r="H72" s="12" t="s">
        <v>399</v>
      </c>
      <c r="I72" s="12">
        <f t="shared" si="1"/>
        <v>10628</v>
      </c>
      <c r="J72" s="12">
        <v>1410674.07</v>
      </c>
    </row>
    <row r="73" spans="1:10">
      <c r="A73" s="10" t="s">
        <v>281</v>
      </c>
      <c r="B73" s="11" t="s">
        <v>416</v>
      </c>
      <c r="C73" s="10" t="s">
        <v>403</v>
      </c>
      <c r="D73" s="12">
        <v>712.87</v>
      </c>
      <c r="E73" s="12">
        <v>69</v>
      </c>
      <c r="F73" s="12" t="s">
        <v>410</v>
      </c>
      <c r="G73" s="12" t="s">
        <v>432</v>
      </c>
      <c r="H73" s="12" t="s">
        <v>397</v>
      </c>
      <c r="I73" s="12">
        <f t="shared" si="1"/>
        <v>10628</v>
      </c>
      <c r="J73" s="12">
        <v>3314230.84</v>
      </c>
    </row>
    <row r="74" spans="1:10">
      <c r="A74" s="10" t="s">
        <v>282</v>
      </c>
      <c r="B74" s="11" t="s">
        <v>414</v>
      </c>
      <c r="C74" s="10" t="s">
        <v>401</v>
      </c>
      <c r="D74" s="12">
        <v>581.03</v>
      </c>
      <c r="E74" s="12">
        <v>99</v>
      </c>
      <c r="F74" s="12" t="s">
        <v>411</v>
      </c>
      <c r="G74" s="12" t="s">
        <v>432</v>
      </c>
      <c r="H74" s="12" t="s">
        <v>396</v>
      </c>
      <c r="I74" s="12">
        <f t="shared" si="1"/>
        <v>10658</v>
      </c>
      <c r="J74" s="12">
        <v>2146009.88</v>
      </c>
    </row>
    <row r="75" spans="1:10">
      <c r="A75" s="10" t="s">
        <v>283</v>
      </c>
      <c r="B75" s="11" t="s">
        <v>416</v>
      </c>
      <c r="C75" s="10" t="s">
        <v>400</v>
      </c>
      <c r="D75" s="12">
        <v>311.24</v>
      </c>
      <c r="E75" s="12">
        <v>19</v>
      </c>
      <c r="F75" s="12" t="s">
        <v>409</v>
      </c>
      <c r="G75" s="12" t="s">
        <v>432</v>
      </c>
      <c r="H75" s="12" t="s">
        <v>398</v>
      </c>
      <c r="I75" s="12">
        <f t="shared" si="1"/>
        <v>10578</v>
      </c>
      <c r="J75" s="12">
        <v>3124393.89</v>
      </c>
    </row>
    <row r="76" spans="1:10">
      <c r="A76" s="10" t="s">
        <v>284</v>
      </c>
      <c r="B76" s="11" t="s">
        <v>414</v>
      </c>
      <c r="C76" s="10" t="s">
        <v>403</v>
      </c>
      <c r="D76" s="12">
        <v>354.76</v>
      </c>
      <c r="E76" s="12">
        <v>71</v>
      </c>
      <c r="F76" s="12" t="s">
        <v>409</v>
      </c>
      <c r="G76" s="12" t="s">
        <v>432</v>
      </c>
      <c r="H76" s="12" t="s">
        <v>399</v>
      </c>
      <c r="I76" s="12">
        <f t="shared" si="1"/>
        <v>10630</v>
      </c>
      <c r="J76" s="12">
        <v>1864562.36</v>
      </c>
    </row>
    <row r="77" spans="1:10">
      <c r="A77" s="10" t="s">
        <v>285</v>
      </c>
      <c r="B77" s="11" t="s">
        <v>416</v>
      </c>
      <c r="C77" s="10" t="s">
        <v>401</v>
      </c>
      <c r="D77" s="12">
        <v>1774.78</v>
      </c>
      <c r="E77" s="12">
        <v>39</v>
      </c>
      <c r="F77" s="12" t="s">
        <v>408</v>
      </c>
      <c r="G77" s="12" t="s">
        <v>433</v>
      </c>
      <c r="H77" s="12" t="s">
        <v>397</v>
      </c>
      <c r="I77" s="12">
        <f t="shared" si="1"/>
        <v>10598</v>
      </c>
      <c r="J77" s="12">
        <v>2268408.38</v>
      </c>
    </row>
    <row r="78" spans="1:10">
      <c r="A78" s="10" t="s">
        <v>286</v>
      </c>
      <c r="B78" s="11" t="s">
        <v>413</v>
      </c>
      <c r="C78" s="10" t="s">
        <v>401</v>
      </c>
      <c r="D78" s="12">
        <v>2080.21</v>
      </c>
      <c r="E78" s="12">
        <v>10</v>
      </c>
      <c r="F78" s="12" t="s">
        <v>411</v>
      </c>
      <c r="G78" s="12" t="s">
        <v>435</v>
      </c>
      <c r="H78" s="12" t="s">
        <v>398</v>
      </c>
      <c r="I78" s="12">
        <f t="shared" si="1"/>
        <v>10569</v>
      </c>
      <c r="J78" s="12">
        <v>2399876.04</v>
      </c>
    </row>
    <row r="79" spans="1:10">
      <c r="A79" s="10" t="s">
        <v>287</v>
      </c>
      <c r="B79" s="11" t="s">
        <v>413</v>
      </c>
      <c r="C79" s="10" t="s">
        <v>403</v>
      </c>
      <c r="D79" s="12">
        <v>1222.27</v>
      </c>
      <c r="E79" s="12">
        <v>65</v>
      </c>
      <c r="F79" s="12" t="s">
        <v>409</v>
      </c>
      <c r="G79" s="12" t="s">
        <v>432</v>
      </c>
      <c r="H79" s="12" t="s">
        <v>396</v>
      </c>
      <c r="I79" s="12">
        <f t="shared" si="1"/>
        <v>10624</v>
      </c>
      <c r="J79" s="12">
        <v>3085768.94</v>
      </c>
    </row>
    <row r="80" spans="1:10">
      <c r="A80" s="10" t="s">
        <v>288</v>
      </c>
      <c r="B80" s="11" t="s">
        <v>414</v>
      </c>
      <c r="C80" s="10" t="s">
        <v>400</v>
      </c>
      <c r="D80" s="12">
        <v>1465.7</v>
      </c>
      <c r="E80" s="12">
        <v>21</v>
      </c>
      <c r="F80" s="12" t="s">
        <v>408</v>
      </c>
      <c r="G80" s="12" t="s">
        <v>432</v>
      </c>
      <c r="H80" s="12" t="s">
        <v>398</v>
      </c>
      <c r="I80" s="12">
        <f t="shared" si="1"/>
        <v>10580</v>
      </c>
      <c r="J80" s="12">
        <v>2782062.62</v>
      </c>
    </row>
    <row r="81" spans="1:10">
      <c r="A81" s="10" t="s">
        <v>289</v>
      </c>
      <c r="B81" s="11" t="s">
        <v>414</v>
      </c>
      <c r="C81" s="10" t="s">
        <v>403</v>
      </c>
      <c r="D81" s="12">
        <v>2073.6</v>
      </c>
      <c r="E81" s="12">
        <v>94</v>
      </c>
      <c r="F81" s="12" t="s">
        <v>411</v>
      </c>
      <c r="G81" s="12" t="s">
        <v>435</v>
      </c>
      <c r="H81" s="12" t="s">
        <v>397</v>
      </c>
      <c r="I81" s="12">
        <f t="shared" si="1"/>
        <v>10653</v>
      </c>
      <c r="J81" s="12">
        <v>2852311.58</v>
      </c>
    </row>
    <row r="82" spans="1:10">
      <c r="A82" s="10" t="s">
        <v>290</v>
      </c>
      <c r="B82" s="11" t="s">
        <v>415</v>
      </c>
      <c r="C82" s="10" t="s">
        <v>401</v>
      </c>
      <c r="D82" s="12">
        <v>101.27</v>
      </c>
      <c r="E82" s="12">
        <v>11</v>
      </c>
      <c r="F82" s="12" t="s">
        <v>410</v>
      </c>
      <c r="G82" s="12" t="s">
        <v>432</v>
      </c>
      <c r="H82" s="12" t="s">
        <v>398</v>
      </c>
      <c r="I82" s="12">
        <f t="shared" si="1"/>
        <v>10570</v>
      </c>
      <c r="J82" s="12">
        <v>2411455.83</v>
      </c>
    </row>
    <row r="83" spans="1:10">
      <c r="A83" s="10" t="s">
        <v>229</v>
      </c>
      <c r="B83" s="11" t="s">
        <v>414</v>
      </c>
      <c r="C83" s="10" t="s">
        <v>402</v>
      </c>
      <c r="D83" s="12">
        <v>1003.24</v>
      </c>
      <c r="E83" s="12">
        <v>30</v>
      </c>
      <c r="F83" s="12" t="s">
        <v>409</v>
      </c>
      <c r="G83" s="12" t="s">
        <v>435</v>
      </c>
      <c r="H83" s="12" t="s">
        <v>395</v>
      </c>
      <c r="I83" s="12">
        <f t="shared" si="1"/>
        <v>10589</v>
      </c>
      <c r="J83" s="12">
        <v>1876157.67</v>
      </c>
    </row>
    <row r="84" spans="1:10">
      <c r="A84" s="10" t="s">
        <v>271</v>
      </c>
      <c r="B84" s="11" t="s">
        <v>416</v>
      </c>
      <c r="C84" s="10" t="s">
        <v>402</v>
      </c>
      <c r="D84" s="12">
        <v>2920.64</v>
      </c>
      <c r="E84" s="12">
        <v>19</v>
      </c>
      <c r="F84" s="12" t="s">
        <v>410</v>
      </c>
      <c r="G84" s="12" t="s">
        <v>435</v>
      </c>
      <c r="H84" s="12" t="s">
        <v>398</v>
      </c>
      <c r="I84" s="12">
        <f t="shared" si="1"/>
        <v>10578</v>
      </c>
      <c r="J84" s="12">
        <v>3463775.34</v>
      </c>
    </row>
    <row r="85" spans="1:10">
      <c r="A85" s="10" t="s">
        <v>291</v>
      </c>
      <c r="B85" s="11" t="s">
        <v>413</v>
      </c>
      <c r="C85" s="10" t="s">
        <v>403</v>
      </c>
      <c r="D85" s="12">
        <v>1761.33</v>
      </c>
      <c r="E85" s="12">
        <v>68</v>
      </c>
      <c r="F85" s="12" t="s">
        <v>411</v>
      </c>
      <c r="G85" s="12" t="s">
        <v>433</v>
      </c>
      <c r="H85" s="12" t="s">
        <v>399</v>
      </c>
      <c r="I85" s="12">
        <f t="shared" si="1"/>
        <v>10627</v>
      </c>
      <c r="J85" s="12">
        <v>1361246.84</v>
      </c>
    </row>
    <row r="86" spans="1:10">
      <c r="A86" s="10" t="s">
        <v>292</v>
      </c>
      <c r="B86" s="11" t="s">
        <v>413</v>
      </c>
      <c r="C86" s="10" t="s">
        <v>401</v>
      </c>
      <c r="D86" s="12">
        <v>799.96</v>
      </c>
      <c r="E86" s="12">
        <v>63</v>
      </c>
      <c r="F86" s="12" t="s">
        <v>409</v>
      </c>
      <c r="G86" s="12" t="s">
        <v>432</v>
      </c>
      <c r="H86" s="12" t="s">
        <v>399</v>
      </c>
      <c r="I86" s="12">
        <f t="shared" si="1"/>
        <v>10622</v>
      </c>
      <c r="J86" s="12">
        <v>2645335.4300000002</v>
      </c>
    </row>
    <row r="87" spans="1:10">
      <c r="A87" s="10" t="s">
        <v>293</v>
      </c>
      <c r="B87" s="11" t="s">
        <v>415</v>
      </c>
      <c r="C87" s="10" t="s">
        <v>402</v>
      </c>
      <c r="D87" s="12">
        <v>1589.1</v>
      </c>
      <c r="E87" s="12">
        <v>38</v>
      </c>
      <c r="F87" s="12" t="s">
        <v>411</v>
      </c>
      <c r="G87" s="12" t="s">
        <v>433</v>
      </c>
      <c r="H87" s="12" t="s">
        <v>395</v>
      </c>
      <c r="I87" s="12">
        <f t="shared" si="1"/>
        <v>10597</v>
      </c>
      <c r="J87" s="12">
        <v>2638064.34</v>
      </c>
    </row>
    <row r="88" spans="1:10">
      <c r="A88" s="10" t="s">
        <v>294</v>
      </c>
      <c r="B88" s="11" t="s">
        <v>413</v>
      </c>
      <c r="C88" s="10" t="s">
        <v>401</v>
      </c>
      <c r="D88" s="12">
        <v>1060.83</v>
      </c>
      <c r="E88" s="12">
        <v>12</v>
      </c>
      <c r="F88" s="12" t="s">
        <v>410</v>
      </c>
      <c r="G88" s="12" t="s">
        <v>433</v>
      </c>
      <c r="H88" s="12" t="s">
        <v>397</v>
      </c>
      <c r="I88" s="12">
        <f t="shared" si="1"/>
        <v>10571</v>
      </c>
      <c r="J88" s="12">
        <v>1305842.1000000001</v>
      </c>
    </row>
    <row r="89" spans="1:10">
      <c r="A89" s="10" t="s">
        <v>295</v>
      </c>
      <c r="B89" s="11" t="s">
        <v>415</v>
      </c>
      <c r="C89" s="10" t="s">
        <v>403</v>
      </c>
      <c r="D89" s="12">
        <v>1620.12</v>
      </c>
      <c r="E89" s="12">
        <v>84</v>
      </c>
      <c r="F89" s="12" t="s">
        <v>409</v>
      </c>
      <c r="G89" s="12" t="s">
        <v>435</v>
      </c>
      <c r="H89" s="12" t="s">
        <v>399</v>
      </c>
      <c r="I89" s="12">
        <f t="shared" si="1"/>
        <v>10643</v>
      </c>
      <c r="J89" s="12">
        <v>3475579.66</v>
      </c>
    </row>
    <row r="90" spans="1:10">
      <c r="A90" s="10" t="s">
        <v>296</v>
      </c>
      <c r="B90" s="11" t="s">
        <v>415</v>
      </c>
      <c r="C90" s="10" t="s">
        <v>402</v>
      </c>
      <c r="D90" s="12">
        <v>420.94</v>
      </c>
      <c r="E90" s="12">
        <v>86</v>
      </c>
      <c r="F90" s="12" t="s">
        <v>410</v>
      </c>
      <c r="G90" s="12" t="s">
        <v>433</v>
      </c>
      <c r="H90" s="12" t="s">
        <v>396</v>
      </c>
      <c r="I90" s="12">
        <f t="shared" si="1"/>
        <v>10645</v>
      </c>
      <c r="J90" s="12">
        <v>3522338.58</v>
      </c>
    </row>
    <row r="91" spans="1:10">
      <c r="A91" s="10" t="s">
        <v>297</v>
      </c>
      <c r="B91" s="11" t="s">
        <v>416</v>
      </c>
      <c r="C91" s="10" t="s">
        <v>401</v>
      </c>
      <c r="D91" s="12">
        <v>441.51</v>
      </c>
      <c r="E91" s="12">
        <v>88</v>
      </c>
      <c r="F91" s="12" t="s">
        <v>411</v>
      </c>
      <c r="G91" s="12" t="s">
        <v>432</v>
      </c>
      <c r="H91" s="12" t="s">
        <v>399</v>
      </c>
      <c r="I91" s="12">
        <f t="shared" si="1"/>
        <v>10647</v>
      </c>
      <c r="J91" s="12">
        <v>1698566.8</v>
      </c>
    </row>
    <row r="92" spans="1:10">
      <c r="A92" s="10" t="s">
        <v>298</v>
      </c>
      <c r="B92" s="11" t="s">
        <v>415</v>
      </c>
      <c r="C92" s="10" t="s">
        <v>402</v>
      </c>
      <c r="D92" s="12">
        <v>473.45</v>
      </c>
      <c r="E92" s="12">
        <v>34</v>
      </c>
      <c r="F92" s="12" t="s">
        <v>411</v>
      </c>
      <c r="G92" s="12" t="s">
        <v>434</v>
      </c>
      <c r="H92" s="12" t="s">
        <v>399</v>
      </c>
      <c r="I92" s="12">
        <f t="shared" si="1"/>
        <v>10593</v>
      </c>
      <c r="J92" s="12">
        <v>2487201.1</v>
      </c>
    </row>
    <row r="93" spans="1:10">
      <c r="A93" s="10" t="s">
        <v>299</v>
      </c>
      <c r="B93" s="11" t="s">
        <v>413</v>
      </c>
      <c r="C93" s="10" t="s">
        <v>403</v>
      </c>
      <c r="D93" s="12">
        <v>2822.47</v>
      </c>
      <c r="E93" s="12">
        <v>89</v>
      </c>
      <c r="F93" s="12" t="s">
        <v>410</v>
      </c>
      <c r="G93" s="12" t="s">
        <v>432</v>
      </c>
      <c r="H93" s="12" t="s">
        <v>397</v>
      </c>
      <c r="I93" s="12">
        <f t="shared" si="1"/>
        <v>10648</v>
      </c>
      <c r="J93" s="12">
        <v>2036167.29</v>
      </c>
    </row>
    <row r="94" spans="1:10">
      <c r="A94" s="10" t="s">
        <v>300</v>
      </c>
      <c r="B94" s="11" t="s">
        <v>414</v>
      </c>
      <c r="C94" s="10" t="s">
        <v>401</v>
      </c>
      <c r="D94" s="12">
        <v>2212.0500000000002</v>
      </c>
      <c r="E94" s="12">
        <v>93</v>
      </c>
      <c r="F94" s="12" t="s">
        <v>409</v>
      </c>
      <c r="G94" s="12" t="s">
        <v>432</v>
      </c>
      <c r="H94" s="12" t="s">
        <v>398</v>
      </c>
      <c r="I94" s="12">
        <f t="shared" si="1"/>
        <v>10652</v>
      </c>
      <c r="J94" s="12">
        <v>1657997.43</v>
      </c>
    </row>
    <row r="95" spans="1:10">
      <c r="A95" s="10" t="s">
        <v>301</v>
      </c>
      <c r="B95" s="11" t="s">
        <v>414</v>
      </c>
      <c r="C95" s="10" t="s">
        <v>402</v>
      </c>
      <c r="D95" s="12">
        <v>529.03</v>
      </c>
      <c r="E95" s="12">
        <v>70</v>
      </c>
      <c r="F95" s="12" t="s">
        <v>410</v>
      </c>
      <c r="G95" s="12" t="s">
        <v>433</v>
      </c>
      <c r="H95" s="12" t="s">
        <v>399</v>
      </c>
      <c r="I95" s="12">
        <f t="shared" si="1"/>
        <v>10629</v>
      </c>
      <c r="J95" s="12">
        <v>2137476.5</v>
      </c>
    </row>
    <row r="96" spans="1:10">
      <c r="A96" s="10" t="s">
        <v>302</v>
      </c>
      <c r="B96" s="11" t="s">
        <v>414</v>
      </c>
      <c r="C96" s="10" t="s">
        <v>403</v>
      </c>
      <c r="D96" s="12">
        <v>605.63</v>
      </c>
      <c r="E96" s="12">
        <v>87</v>
      </c>
      <c r="F96" s="12" t="s">
        <v>411</v>
      </c>
      <c r="G96" s="12" t="s">
        <v>433</v>
      </c>
      <c r="H96" s="12" t="s">
        <v>395</v>
      </c>
      <c r="I96" s="12">
        <f t="shared" si="1"/>
        <v>10646</v>
      </c>
      <c r="J96" s="12">
        <v>1527679.35</v>
      </c>
    </row>
    <row r="97" spans="1:10">
      <c r="A97" s="10" t="s">
        <v>303</v>
      </c>
      <c r="B97" s="11" t="s">
        <v>416</v>
      </c>
      <c r="C97" s="10" t="s">
        <v>402</v>
      </c>
      <c r="D97" s="12">
        <v>2205.9499999999998</v>
      </c>
      <c r="E97" s="12">
        <v>24</v>
      </c>
      <c r="F97" s="12" t="s">
        <v>410</v>
      </c>
      <c r="G97" s="12" t="s">
        <v>435</v>
      </c>
      <c r="H97" s="12" t="s">
        <v>398</v>
      </c>
      <c r="I97" s="12">
        <f t="shared" si="1"/>
        <v>10583</v>
      </c>
      <c r="J97" s="12">
        <v>3261571.85</v>
      </c>
    </row>
    <row r="98" spans="1:10">
      <c r="A98" s="10" t="s">
        <v>304</v>
      </c>
      <c r="B98" s="11" t="s">
        <v>413</v>
      </c>
      <c r="C98" s="10" t="s">
        <v>402</v>
      </c>
      <c r="D98" s="12">
        <v>510.68</v>
      </c>
      <c r="E98" s="12">
        <v>23</v>
      </c>
      <c r="F98" s="12" t="s">
        <v>411</v>
      </c>
      <c r="G98" s="12" t="s">
        <v>434</v>
      </c>
      <c r="H98" s="12" t="s">
        <v>396</v>
      </c>
      <c r="I98" s="12">
        <f t="shared" si="1"/>
        <v>10582</v>
      </c>
      <c r="J98" s="12">
        <v>2082432.89</v>
      </c>
    </row>
    <row r="99" spans="1:10">
      <c r="A99" s="10" t="s">
        <v>305</v>
      </c>
      <c r="B99" s="11" t="s">
        <v>416</v>
      </c>
      <c r="C99" s="10" t="s">
        <v>400</v>
      </c>
      <c r="D99" s="12">
        <v>741.96</v>
      </c>
      <c r="E99" s="12">
        <v>58</v>
      </c>
      <c r="F99" s="12" t="s">
        <v>410</v>
      </c>
      <c r="G99" s="12" t="s">
        <v>432</v>
      </c>
      <c r="H99" s="12" t="s">
        <v>397</v>
      </c>
      <c r="I99" s="12">
        <f t="shared" si="1"/>
        <v>10617</v>
      </c>
      <c r="J99" s="12">
        <v>3479113.31</v>
      </c>
    </row>
    <row r="100" spans="1:10">
      <c r="A100" s="10" t="s">
        <v>306</v>
      </c>
      <c r="B100" s="11" t="s">
        <v>416</v>
      </c>
      <c r="C100" s="10" t="s">
        <v>400</v>
      </c>
      <c r="D100" s="12">
        <v>2891.87</v>
      </c>
      <c r="E100" s="12">
        <v>24</v>
      </c>
      <c r="F100" s="12" t="s">
        <v>409</v>
      </c>
      <c r="G100" s="12" t="s">
        <v>432</v>
      </c>
      <c r="H100" s="12" t="s">
        <v>396</v>
      </c>
      <c r="I100" s="12">
        <f t="shared" si="1"/>
        <v>10583</v>
      </c>
      <c r="J100" s="12">
        <v>2521334.5499999998</v>
      </c>
    </row>
    <row r="101" spans="1:10">
      <c r="A101" s="10" t="s">
        <v>215</v>
      </c>
      <c r="B101" s="11" t="s">
        <v>414</v>
      </c>
      <c r="C101" s="10" t="s">
        <v>403</v>
      </c>
      <c r="D101" s="12">
        <v>803.15</v>
      </c>
      <c r="E101" s="12">
        <v>1</v>
      </c>
      <c r="F101" s="12" t="s">
        <v>409</v>
      </c>
      <c r="G101" s="12" t="s">
        <v>433</v>
      </c>
      <c r="H101" s="12" t="s">
        <v>398</v>
      </c>
      <c r="I101" s="12">
        <f t="shared" si="1"/>
        <v>10560</v>
      </c>
      <c r="J101" s="12">
        <v>1643211.33</v>
      </c>
    </row>
    <row r="102" spans="1:10">
      <c r="A102" s="10" t="s">
        <v>307</v>
      </c>
      <c r="B102" s="11" t="s">
        <v>415</v>
      </c>
      <c r="C102" s="10" t="s">
        <v>400</v>
      </c>
      <c r="D102" s="12">
        <v>2001.82</v>
      </c>
      <c r="E102" s="12">
        <v>64</v>
      </c>
      <c r="F102" s="12" t="s">
        <v>410</v>
      </c>
      <c r="G102" s="12" t="s">
        <v>432</v>
      </c>
      <c r="H102" s="12" t="s">
        <v>398</v>
      </c>
      <c r="I102" s="12">
        <f t="shared" si="1"/>
        <v>10623</v>
      </c>
      <c r="J102" s="12">
        <v>1447550.09</v>
      </c>
    </row>
    <row r="103" spans="1:10">
      <c r="A103" s="10" t="s">
        <v>308</v>
      </c>
      <c r="B103" s="11" t="s">
        <v>416</v>
      </c>
      <c r="C103" s="10" t="s">
        <v>403</v>
      </c>
      <c r="D103" s="12">
        <v>2936.96</v>
      </c>
      <c r="E103" s="12">
        <v>19</v>
      </c>
      <c r="F103" s="12" t="s">
        <v>410</v>
      </c>
      <c r="G103" s="12" t="s">
        <v>435</v>
      </c>
      <c r="H103" s="12" t="s">
        <v>398</v>
      </c>
      <c r="I103" s="12">
        <f t="shared" si="1"/>
        <v>10578</v>
      </c>
      <c r="J103" s="12">
        <v>3392847.91</v>
      </c>
    </row>
    <row r="104" spans="1:10">
      <c r="A104" s="10" t="s">
        <v>309</v>
      </c>
      <c r="B104" s="11" t="s">
        <v>414</v>
      </c>
      <c r="C104" s="10" t="s">
        <v>400</v>
      </c>
      <c r="D104" s="12">
        <v>1154.18</v>
      </c>
      <c r="E104" s="12">
        <v>70</v>
      </c>
      <c r="F104" s="12" t="s">
        <v>409</v>
      </c>
      <c r="G104" s="12" t="s">
        <v>432</v>
      </c>
      <c r="H104" s="12" t="s">
        <v>396</v>
      </c>
      <c r="I104" s="12">
        <f t="shared" si="1"/>
        <v>10629</v>
      </c>
      <c r="J104" s="12">
        <v>1997417.76</v>
      </c>
    </row>
    <row r="105" spans="1:10">
      <c r="A105" s="10" t="s">
        <v>310</v>
      </c>
      <c r="B105" s="11" t="s">
        <v>415</v>
      </c>
      <c r="C105" s="10" t="s">
        <v>402</v>
      </c>
      <c r="D105" s="12">
        <v>101.67</v>
      </c>
      <c r="E105" s="12">
        <v>29</v>
      </c>
      <c r="F105" s="12" t="s">
        <v>411</v>
      </c>
      <c r="G105" s="12" t="s">
        <v>434</v>
      </c>
      <c r="H105" s="12" t="s">
        <v>398</v>
      </c>
      <c r="I105" s="12">
        <f t="shared" si="1"/>
        <v>10588</v>
      </c>
      <c r="J105" s="12">
        <v>2057069.43</v>
      </c>
    </row>
    <row r="106" spans="1:10">
      <c r="A106" s="10" t="s">
        <v>311</v>
      </c>
      <c r="B106" s="11" t="s">
        <v>413</v>
      </c>
      <c r="C106" s="10" t="s">
        <v>403</v>
      </c>
      <c r="D106" s="12">
        <v>770.23</v>
      </c>
      <c r="E106" s="12">
        <v>91</v>
      </c>
      <c r="F106" s="12" t="s">
        <v>409</v>
      </c>
      <c r="G106" s="12" t="s">
        <v>435</v>
      </c>
      <c r="H106" s="12" t="s">
        <v>396</v>
      </c>
      <c r="I106" s="12">
        <f t="shared" si="1"/>
        <v>10650</v>
      </c>
      <c r="J106" s="12">
        <v>2754935.85</v>
      </c>
    </row>
    <row r="107" spans="1:10">
      <c r="A107" s="10" t="s">
        <v>312</v>
      </c>
      <c r="B107" s="11" t="s">
        <v>413</v>
      </c>
      <c r="C107" s="10" t="s">
        <v>403</v>
      </c>
      <c r="D107" s="12">
        <v>2501.09</v>
      </c>
      <c r="E107" s="12">
        <v>82</v>
      </c>
      <c r="F107" s="12" t="s">
        <v>411</v>
      </c>
      <c r="G107" s="12" t="s">
        <v>433</v>
      </c>
      <c r="H107" s="12" t="s">
        <v>398</v>
      </c>
      <c r="I107" s="12">
        <f t="shared" si="1"/>
        <v>10641</v>
      </c>
      <c r="J107" s="12">
        <v>2727717.4</v>
      </c>
    </row>
    <row r="108" spans="1:10">
      <c r="A108" s="10" t="s">
        <v>313</v>
      </c>
      <c r="B108" s="11" t="s">
        <v>414</v>
      </c>
      <c r="C108" s="10" t="s">
        <v>402</v>
      </c>
      <c r="D108" s="12">
        <v>2600.6</v>
      </c>
      <c r="E108" s="12">
        <v>85</v>
      </c>
      <c r="F108" s="12" t="s">
        <v>410</v>
      </c>
      <c r="G108" s="12" t="s">
        <v>432</v>
      </c>
      <c r="H108" s="12" t="s">
        <v>395</v>
      </c>
      <c r="I108" s="12">
        <f t="shared" si="1"/>
        <v>10644</v>
      </c>
      <c r="J108" s="12">
        <v>1961553.9</v>
      </c>
    </row>
    <row r="109" spans="1:10">
      <c r="A109" s="10" t="s">
        <v>314</v>
      </c>
      <c r="B109" s="11" t="s">
        <v>414</v>
      </c>
      <c r="C109" s="10" t="s">
        <v>403</v>
      </c>
      <c r="D109" s="12">
        <v>2317.13</v>
      </c>
      <c r="E109" s="12">
        <v>7</v>
      </c>
      <c r="F109" s="12" t="s">
        <v>410</v>
      </c>
      <c r="G109" s="12" t="s">
        <v>434</v>
      </c>
      <c r="H109" s="12" t="s">
        <v>398</v>
      </c>
      <c r="I109" s="12">
        <f t="shared" si="1"/>
        <v>10566</v>
      </c>
      <c r="J109" s="12">
        <v>2576787.61</v>
      </c>
    </row>
    <row r="110" spans="1:10">
      <c r="A110" s="10" t="s">
        <v>315</v>
      </c>
      <c r="B110" s="11" t="s">
        <v>415</v>
      </c>
      <c r="C110" s="10" t="s">
        <v>403</v>
      </c>
      <c r="D110" s="12">
        <v>383.67</v>
      </c>
      <c r="E110" s="12">
        <v>93</v>
      </c>
      <c r="F110" s="12" t="s">
        <v>411</v>
      </c>
      <c r="G110" s="12" t="s">
        <v>434</v>
      </c>
      <c r="H110" s="12" t="s">
        <v>396</v>
      </c>
      <c r="I110" s="12">
        <f t="shared" si="1"/>
        <v>10652</v>
      </c>
      <c r="J110" s="12">
        <v>2460062.9700000002</v>
      </c>
    </row>
    <row r="111" spans="1:10">
      <c r="A111" s="10" t="s">
        <v>316</v>
      </c>
      <c r="B111" s="11" t="s">
        <v>415</v>
      </c>
      <c r="C111" s="10" t="s">
        <v>400</v>
      </c>
      <c r="D111" s="12">
        <v>2396.7600000000002</v>
      </c>
      <c r="E111" s="12">
        <v>9</v>
      </c>
      <c r="F111" s="12" t="s">
        <v>410</v>
      </c>
      <c r="G111" s="12" t="s">
        <v>434</v>
      </c>
      <c r="H111" s="12" t="s">
        <v>399</v>
      </c>
      <c r="I111" s="12">
        <f t="shared" si="1"/>
        <v>10568</v>
      </c>
      <c r="J111" s="12">
        <v>2822506.35</v>
      </c>
    </row>
    <row r="112" spans="1:10">
      <c r="A112" s="10" t="s">
        <v>317</v>
      </c>
      <c r="B112" s="11" t="s">
        <v>416</v>
      </c>
      <c r="C112" s="10" t="s">
        <v>403</v>
      </c>
      <c r="D112" s="12">
        <v>2760.1</v>
      </c>
      <c r="E112" s="12">
        <v>99</v>
      </c>
      <c r="F112" s="12" t="s">
        <v>411</v>
      </c>
      <c r="G112" s="12" t="s">
        <v>434</v>
      </c>
      <c r="H112" s="12" t="s">
        <v>398</v>
      </c>
      <c r="I112" s="12">
        <f t="shared" si="1"/>
        <v>10658</v>
      </c>
      <c r="J112" s="12">
        <v>1517011.99</v>
      </c>
    </row>
    <row r="113" spans="1:10">
      <c r="A113" s="10" t="s">
        <v>318</v>
      </c>
      <c r="B113" s="11" t="s">
        <v>413</v>
      </c>
      <c r="C113" s="10" t="s">
        <v>401</v>
      </c>
      <c r="D113" s="12">
        <v>1821.8</v>
      </c>
      <c r="E113" s="12">
        <v>33</v>
      </c>
      <c r="F113" s="12" t="s">
        <v>408</v>
      </c>
      <c r="G113" s="12" t="s">
        <v>432</v>
      </c>
      <c r="H113" s="12" t="s">
        <v>399</v>
      </c>
      <c r="I113" s="12">
        <f t="shared" si="1"/>
        <v>10592</v>
      </c>
      <c r="J113" s="12">
        <v>2424194.66</v>
      </c>
    </row>
    <row r="114" spans="1:10">
      <c r="A114" s="10" t="s">
        <v>319</v>
      </c>
      <c r="B114" s="11" t="s">
        <v>416</v>
      </c>
      <c r="C114" s="10" t="s">
        <v>402</v>
      </c>
      <c r="D114" s="12">
        <v>2825.58</v>
      </c>
      <c r="E114" s="12">
        <v>19</v>
      </c>
      <c r="F114" s="12" t="s">
        <v>409</v>
      </c>
      <c r="G114" s="12" t="s">
        <v>434</v>
      </c>
      <c r="H114" s="12" t="s">
        <v>395</v>
      </c>
      <c r="I114" s="12">
        <f t="shared" si="1"/>
        <v>10578</v>
      </c>
      <c r="J114" s="12">
        <v>3446595.78</v>
      </c>
    </row>
    <row r="115" spans="1:10">
      <c r="A115" s="10" t="s">
        <v>320</v>
      </c>
      <c r="B115" s="11" t="s">
        <v>416</v>
      </c>
      <c r="C115" s="10" t="s">
        <v>400</v>
      </c>
      <c r="D115" s="12">
        <v>2489.17</v>
      </c>
      <c r="E115" s="12">
        <v>39</v>
      </c>
      <c r="F115" s="12" t="s">
        <v>408</v>
      </c>
      <c r="G115" s="12" t="s">
        <v>432</v>
      </c>
      <c r="H115" s="12" t="s">
        <v>397</v>
      </c>
      <c r="I115" s="12">
        <f t="shared" si="1"/>
        <v>10598</v>
      </c>
      <c r="J115" s="12">
        <v>2833844.14</v>
      </c>
    </row>
    <row r="116" spans="1:10">
      <c r="A116" s="10" t="s">
        <v>321</v>
      </c>
      <c r="B116" s="11" t="s">
        <v>415</v>
      </c>
      <c r="C116" s="10" t="s">
        <v>400</v>
      </c>
      <c r="D116" s="12">
        <v>2017.57</v>
      </c>
      <c r="E116" s="12">
        <v>99</v>
      </c>
      <c r="F116" s="12" t="s">
        <v>411</v>
      </c>
      <c r="G116" s="12" t="s">
        <v>432</v>
      </c>
      <c r="H116" s="12" t="s">
        <v>395</v>
      </c>
      <c r="I116" s="12">
        <f t="shared" si="1"/>
        <v>10658</v>
      </c>
      <c r="J116" s="12">
        <v>1132497.96</v>
      </c>
    </row>
    <row r="117" spans="1:10">
      <c r="A117" s="10" t="s">
        <v>322</v>
      </c>
      <c r="B117" s="11" t="s">
        <v>415</v>
      </c>
      <c r="C117" s="10" t="s">
        <v>401</v>
      </c>
      <c r="D117" s="12">
        <v>1752.7</v>
      </c>
      <c r="E117" s="12">
        <v>16</v>
      </c>
      <c r="F117" s="12" t="s">
        <v>409</v>
      </c>
      <c r="G117" s="12" t="s">
        <v>432</v>
      </c>
      <c r="H117" s="12" t="s">
        <v>398</v>
      </c>
      <c r="I117" s="12">
        <f t="shared" si="1"/>
        <v>10575</v>
      </c>
      <c r="J117" s="12">
        <v>1435641.79</v>
      </c>
    </row>
    <row r="118" spans="1:10">
      <c r="A118" s="10" t="s">
        <v>323</v>
      </c>
      <c r="B118" s="11" t="s">
        <v>414</v>
      </c>
      <c r="C118" s="10" t="s">
        <v>402</v>
      </c>
      <c r="D118" s="12">
        <v>1078.29</v>
      </c>
      <c r="E118" s="12">
        <v>70</v>
      </c>
      <c r="F118" s="12" t="s">
        <v>411</v>
      </c>
      <c r="G118" s="12" t="s">
        <v>435</v>
      </c>
      <c r="H118" s="12" t="s">
        <v>399</v>
      </c>
      <c r="I118" s="12">
        <f t="shared" si="1"/>
        <v>10629</v>
      </c>
      <c r="J118" s="12">
        <v>3061066.35</v>
      </c>
    </row>
    <row r="119" spans="1:10">
      <c r="A119" s="10" t="s">
        <v>324</v>
      </c>
      <c r="B119" s="11" t="s">
        <v>413</v>
      </c>
      <c r="C119" s="10" t="s">
        <v>402</v>
      </c>
      <c r="D119" s="12">
        <v>519.9</v>
      </c>
      <c r="E119" s="12">
        <v>84</v>
      </c>
      <c r="F119" s="12" t="s">
        <v>409</v>
      </c>
      <c r="G119" s="12" t="s">
        <v>433</v>
      </c>
      <c r="H119" s="12" t="s">
        <v>399</v>
      </c>
      <c r="I119" s="12">
        <f t="shared" si="1"/>
        <v>10643</v>
      </c>
      <c r="J119" s="12">
        <v>2489608.4500000002</v>
      </c>
    </row>
    <row r="120" spans="1:10">
      <c r="A120" s="10" t="s">
        <v>325</v>
      </c>
      <c r="B120" s="11" t="s">
        <v>416</v>
      </c>
      <c r="C120" s="10" t="s">
        <v>400</v>
      </c>
      <c r="D120" s="12">
        <v>1834.61</v>
      </c>
      <c r="E120" s="12">
        <v>23</v>
      </c>
      <c r="F120" s="12" t="s">
        <v>409</v>
      </c>
      <c r="G120" s="12" t="s">
        <v>434</v>
      </c>
      <c r="H120" s="12" t="s">
        <v>396</v>
      </c>
      <c r="I120" s="12">
        <f t="shared" si="1"/>
        <v>10582</v>
      </c>
      <c r="J120" s="12">
        <v>1718146.69</v>
      </c>
    </row>
    <row r="121" spans="1:10">
      <c r="A121" s="10" t="s">
        <v>326</v>
      </c>
      <c r="B121" s="11" t="s">
        <v>416</v>
      </c>
      <c r="C121" s="10" t="s">
        <v>403</v>
      </c>
      <c r="D121" s="12">
        <v>988.43</v>
      </c>
      <c r="E121" s="12">
        <v>81</v>
      </c>
      <c r="F121" s="12" t="s">
        <v>409</v>
      </c>
      <c r="G121" s="12" t="s">
        <v>434</v>
      </c>
      <c r="H121" s="12" t="s">
        <v>399</v>
      </c>
      <c r="I121" s="12">
        <f t="shared" si="1"/>
        <v>10640</v>
      </c>
      <c r="J121" s="12">
        <v>1337300.51</v>
      </c>
    </row>
    <row r="122" spans="1:10">
      <c r="A122" s="10" t="s">
        <v>327</v>
      </c>
      <c r="B122" s="11" t="s">
        <v>414</v>
      </c>
      <c r="C122" s="10" t="s">
        <v>400</v>
      </c>
      <c r="D122" s="12">
        <v>2605.9899999999998</v>
      </c>
      <c r="E122" s="12">
        <v>6</v>
      </c>
      <c r="F122" s="12" t="s">
        <v>409</v>
      </c>
      <c r="G122" s="12" t="s">
        <v>435</v>
      </c>
      <c r="H122" s="12" t="s">
        <v>396</v>
      </c>
      <c r="I122" s="12">
        <f t="shared" si="1"/>
        <v>10565</v>
      </c>
      <c r="J122" s="12">
        <v>1896374.09</v>
      </c>
    </row>
    <row r="123" spans="1:10">
      <c r="A123" s="10" t="s">
        <v>328</v>
      </c>
      <c r="B123" s="11" t="s">
        <v>413</v>
      </c>
      <c r="C123" s="10" t="s">
        <v>402</v>
      </c>
      <c r="D123" s="12">
        <v>2980.34</v>
      </c>
      <c r="E123" s="12">
        <v>48</v>
      </c>
      <c r="F123" s="12" t="s">
        <v>411</v>
      </c>
      <c r="G123" s="12" t="s">
        <v>433</v>
      </c>
      <c r="H123" s="12" t="s">
        <v>397</v>
      </c>
      <c r="I123" s="12">
        <f t="shared" si="1"/>
        <v>10607</v>
      </c>
      <c r="J123" s="12">
        <v>1127387.4099999999</v>
      </c>
    </row>
    <row r="124" spans="1:10">
      <c r="A124" s="10" t="s">
        <v>329</v>
      </c>
      <c r="B124" s="11" t="s">
        <v>413</v>
      </c>
      <c r="C124" s="10" t="s">
        <v>401</v>
      </c>
      <c r="D124" s="12">
        <v>2269.66</v>
      </c>
      <c r="E124" s="12">
        <v>95</v>
      </c>
      <c r="F124" s="12" t="s">
        <v>409</v>
      </c>
      <c r="G124" s="12" t="s">
        <v>435</v>
      </c>
      <c r="H124" s="12" t="s">
        <v>398</v>
      </c>
      <c r="I124" s="12">
        <f t="shared" si="1"/>
        <v>10654</v>
      </c>
      <c r="J124" s="12">
        <v>2850182.39</v>
      </c>
    </row>
    <row r="125" spans="1:10">
      <c r="A125" s="10" t="s">
        <v>248</v>
      </c>
      <c r="B125" s="11" t="s">
        <v>415</v>
      </c>
      <c r="C125" s="10" t="s">
        <v>400</v>
      </c>
      <c r="D125" s="12">
        <v>316.92</v>
      </c>
      <c r="E125" s="12">
        <v>71</v>
      </c>
      <c r="F125" s="12" t="s">
        <v>409</v>
      </c>
      <c r="G125" s="12" t="s">
        <v>435</v>
      </c>
      <c r="H125" s="12" t="s">
        <v>396</v>
      </c>
      <c r="I125" s="12">
        <f t="shared" si="1"/>
        <v>10630</v>
      </c>
      <c r="J125" s="12">
        <v>3580063.66</v>
      </c>
    </row>
    <row r="126" spans="1:10">
      <c r="A126" s="10" t="s">
        <v>330</v>
      </c>
      <c r="B126" s="11" t="s">
        <v>415</v>
      </c>
      <c r="C126" s="10" t="s">
        <v>402</v>
      </c>
      <c r="D126" s="12">
        <v>901.62</v>
      </c>
      <c r="E126" s="12">
        <v>16</v>
      </c>
      <c r="F126" s="12" t="s">
        <v>408</v>
      </c>
      <c r="G126" s="12" t="s">
        <v>434</v>
      </c>
      <c r="H126" s="12" t="s">
        <v>397</v>
      </c>
      <c r="I126" s="12">
        <f t="shared" si="1"/>
        <v>10575</v>
      </c>
      <c r="J126" s="12">
        <v>2517394.81</v>
      </c>
    </row>
    <row r="127" spans="1:10">
      <c r="A127" s="10" t="s">
        <v>331</v>
      </c>
      <c r="B127" s="11" t="s">
        <v>416</v>
      </c>
      <c r="C127" s="10" t="s">
        <v>400</v>
      </c>
      <c r="D127" s="12">
        <v>371.87</v>
      </c>
      <c r="E127" s="12">
        <v>71</v>
      </c>
      <c r="F127" s="12" t="s">
        <v>410</v>
      </c>
      <c r="G127" s="12" t="s">
        <v>435</v>
      </c>
      <c r="H127" s="12" t="s">
        <v>399</v>
      </c>
      <c r="I127" s="12">
        <f t="shared" si="1"/>
        <v>10630</v>
      </c>
      <c r="J127" s="12">
        <v>2124147.2599999998</v>
      </c>
    </row>
    <row r="128" spans="1:10">
      <c r="A128" s="10" t="s">
        <v>235</v>
      </c>
      <c r="B128" s="11" t="s">
        <v>416</v>
      </c>
      <c r="C128" s="10" t="s">
        <v>403</v>
      </c>
      <c r="D128" s="12">
        <v>1969.01</v>
      </c>
      <c r="E128" s="12">
        <v>7</v>
      </c>
      <c r="F128" s="12" t="s">
        <v>410</v>
      </c>
      <c r="G128" s="12" t="s">
        <v>432</v>
      </c>
      <c r="H128" s="12" t="s">
        <v>399</v>
      </c>
      <c r="I128" s="12">
        <f t="shared" si="1"/>
        <v>10566</v>
      </c>
      <c r="J128" s="12">
        <v>3018459.02</v>
      </c>
    </row>
    <row r="129" spans="1:10">
      <c r="A129" s="10" t="s">
        <v>332</v>
      </c>
      <c r="B129" s="11" t="s">
        <v>415</v>
      </c>
      <c r="C129" s="10" t="s">
        <v>400</v>
      </c>
      <c r="D129" s="12">
        <v>2307.31</v>
      </c>
      <c r="E129" s="12">
        <v>63</v>
      </c>
      <c r="F129" s="12" t="s">
        <v>408</v>
      </c>
      <c r="G129" s="12" t="s">
        <v>432</v>
      </c>
      <c r="H129" s="12" t="s">
        <v>397</v>
      </c>
      <c r="I129" s="12">
        <f t="shared" si="1"/>
        <v>10622</v>
      </c>
      <c r="J129" s="12">
        <v>1490381.92</v>
      </c>
    </row>
    <row r="130" spans="1:10">
      <c r="A130" s="10" t="s">
        <v>333</v>
      </c>
      <c r="B130" s="11" t="s">
        <v>413</v>
      </c>
      <c r="C130" s="10" t="s">
        <v>400</v>
      </c>
      <c r="D130" s="12">
        <v>2780.74</v>
      </c>
      <c r="E130" s="12">
        <v>37</v>
      </c>
      <c r="F130" s="12" t="s">
        <v>408</v>
      </c>
      <c r="G130" s="12" t="s">
        <v>434</v>
      </c>
      <c r="H130" s="12" t="s">
        <v>399</v>
      </c>
      <c r="I130" s="12">
        <f t="shared" si="1"/>
        <v>10596</v>
      </c>
      <c r="J130" s="12">
        <v>1338299.58</v>
      </c>
    </row>
    <row r="131" spans="1:10">
      <c r="A131" s="10" t="s">
        <v>334</v>
      </c>
      <c r="B131" s="11" t="s">
        <v>415</v>
      </c>
      <c r="C131" s="10" t="s">
        <v>402</v>
      </c>
      <c r="D131" s="12">
        <v>1342.61</v>
      </c>
      <c r="E131" s="12">
        <v>95</v>
      </c>
      <c r="F131" s="12" t="s">
        <v>411</v>
      </c>
      <c r="G131" s="12" t="s">
        <v>433</v>
      </c>
      <c r="H131" s="12" t="s">
        <v>397</v>
      </c>
      <c r="I131" s="12">
        <f t="shared" ref="I131:I194" si="2">E131+10109+450</f>
        <v>10654</v>
      </c>
      <c r="J131" s="12">
        <v>1761028.5</v>
      </c>
    </row>
    <row r="132" spans="1:10">
      <c r="A132" s="10" t="s">
        <v>335</v>
      </c>
      <c r="B132" s="11" t="s">
        <v>413</v>
      </c>
      <c r="C132" s="10" t="s">
        <v>402</v>
      </c>
      <c r="D132" s="12">
        <v>2709.06</v>
      </c>
      <c r="E132" s="12">
        <v>93</v>
      </c>
      <c r="F132" s="12" t="s">
        <v>411</v>
      </c>
      <c r="G132" s="12" t="s">
        <v>434</v>
      </c>
      <c r="H132" s="12" t="s">
        <v>396</v>
      </c>
      <c r="I132" s="12">
        <f t="shared" si="2"/>
        <v>10652</v>
      </c>
      <c r="J132" s="12">
        <v>3291989.86</v>
      </c>
    </row>
    <row r="133" spans="1:10">
      <c r="A133" s="10" t="s">
        <v>336</v>
      </c>
      <c r="B133" s="11" t="s">
        <v>416</v>
      </c>
      <c r="C133" s="10" t="s">
        <v>402</v>
      </c>
      <c r="D133" s="12">
        <v>2639.78</v>
      </c>
      <c r="E133" s="12">
        <v>5</v>
      </c>
      <c r="F133" s="12" t="s">
        <v>411</v>
      </c>
      <c r="G133" s="12" t="s">
        <v>435</v>
      </c>
      <c r="H133" s="12" t="s">
        <v>396</v>
      </c>
      <c r="I133" s="12">
        <f t="shared" si="2"/>
        <v>10564</v>
      </c>
      <c r="J133" s="12">
        <v>1145061.1200000001</v>
      </c>
    </row>
    <row r="134" spans="1:10">
      <c r="A134" s="10" t="s">
        <v>337</v>
      </c>
      <c r="B134" s="11" t="s">
        <v>414</v>
      </c>
      <c r="C134" s="10" t="s">
        <v>400</v>
      </c>
      <c r="D134" s="12">
        <v>985.73</v>
      </c>
      <c r="E134" s="12">
        <v>76</v>
      </c>
      <c r="F134" s="12" t="s">
        <v>408</v>
      </c>
      <c r="G134" s="12" t="s">
        <v>432</v>
      </c>
      <c r="H134" s="12" t="s">
        <v>397</v>
      </c>
      <c r="I134" s="12">
        <f t="shared" si="2"/>
        <v>10635</v>
      </c>
      <c r="J134" s="12">
        <v>1803563.29</v>
      </c>
    </row>
    <row r="135" spans="1:10">
      <c r="A135" s="10" t="s">
        <v>338</v>
      </c>
      <c r="B135" s="11" t="s">
        <v>413</v>
      </c>
      <c r="C135" s="10" t="s">
        <v>403</v>
      </c>
      <c r="D135" s="12">
        <v>2613.2600000000002</v>
      </c>
      <c r="E135" s="12">
        <v>99</v>
      </c>
      <c r="F135" s="12" t="s">
        <v>408</v>
      </c>
      <c r="G135" s="12" t="s">
        <v>432</v>
      </c>
      <c r="H135" s="12" t="s">
        <v>396</v>
      </c>
      <c r="I135" s="12">
        <f t="shared" si="2"/>
        <v>10658</v>
      </c>
      <c r="J135" s="12">
        <v>2206462.36</v>
      </c>
    </row>
    <row r="136" spans="1:10">
      <c r="A136" s="10" t="s">
        <v>339</v>
      </c>
      <c r="B136" s="11" t="s">
        <v>416</v>
      </c>
      <c r="C136" s="10" t="s">
        <v>401</v>
      </c>
      <c r="D136" s="12">
        <v>1158.23</v>
      </c>
      <c r="E136" s="12">
        <v>51</v>
      </c>
      <c r="F136" s="12" t="s">
        <v>409</v>
      </c>
      <c r="G136" s="12" t="s">
        <v>435</v>
      </c>
      <c r="H136" s="12" t="s">
        <v>396</v>
      </c>
      <c r="I136" s="12">
        <f t="shared" si="2"/>
        <v>10610</v>
      </c>
      <c r="J136" s="12">
        <v>2649092.21</v>
      </c>
    </row>
    <row r="137" spans="1:10">
      <c r="A137" s="10" t="s">
        <v>340</v>
      </c>
      <c r="B137" s="11" t="s">
        <v>415</v>
      </c>
      <c r="C137" s="10" t="s">
        <v>401</v>
      </c>
      <c r="D137" s="12">
        <v>925.76</v>
      </c>
      <c r="E137" s="12">
        <v>88</v>
      </c>
      <c r="F137" s="12" t="s">
        <v>411</v>
      </c>
      <c r="G137" s="12" t="s">
        <v>432</v>
      </c>
      <c r="H137" s="12" t="s">
        <v>396</v>
      </c>
      <c r="I137" s="12">
        <f t="shared" si="2"/>
        <v>10647</v>
      </c>
      <c r="J137" s="12">
        <v>3067787.24</v>
      </c>
    </row>
    <row r="138" spans="1:10">
      <c r="A138" s="10" t="s">
        <v>341</v>
      </c>
      <c r="B138" s="11" t="s">
        <v>414</v>
      </c>
      <c r="C138" s="10" t="s">
        <v>402</v>
      </c>
      <c r="D138" s="12">
        <v>1964.77</v>
      </c>
      <c r="E138" s="12">
        <v>40</v>
      </c>
      <c r="F138" s="12" t="s">
        <v>411</v>
      </c>
      <c r="G138" s="12" t="s">
        <v>434</v>
      </c>
      <c r="H138" s="12" t="s">
        <v>395</v>
      </c>
      <c r="I138" s="12">
        <f t="shared" si="2"/>
        <v>10599</v>
      </c>
      <c r="J138" s="12">
        <v>3155832.05</v>
      </c>
    </row>
    <row r="139" spans="1:10">
      <c r="A139" s="10" t="s">
        <v>342</v>
      </c>
      <c r="B139" s="11" t="s">
        <v>414</v>
      </c>
      <c r="C139" s="10" t="s">
        <v>402</v>
      </c>
      <c r="D139" s="12">
        <v>1018.72</v>
      </c>
      <c r="E139" s="12">
        <v>82</v>
      </c>
      <c r="F139" s="12" t="s">
        <v>411</v>
      </c>
      <c r="G139" s="12" t="s">
        <v>432</v>
      </c>
      <c r="H139" s="12" t="s">
        <v>398</v>
      </c>
      <c r="I139" s="12">
        <f t="shared" si="2"/>
        <v>10641</v>
      </c>
      <c r="J139" s="12">
        <v>1822897.13</v>
      </c>
    </row>
    <row r="140" spans="1:10">
      <c r="A140" s="10" t="s">
        <v>343</v>
      </c>
      <c r="B140" s="11" t="s">
        <v>415</v>
      </c>
      <c r="C140" s="10" t="s">
        <v>400</v>
      </c>
      <c r="D140" s="12">
        <v>1909.12</v>
      </c>
      <c r="E140" s="12">
        <v>11</v>
      </c>
      <c r="F140" s="12" t="s">
        <v>410</v>
      </c>
      <c r="G140" s="12" t="s">
        <v>435</v>
      </c>
      <c r="H140" s="12" t="s">
        <v>399</v>
      </c>
      <c r="I140" s="12">
        <f t="shared" si="2"/>
        <v>10570</v>
      </c>
      <c r="J140" s="12">
        <v>2936396.57</v>
      </c>
    </row>
    <row r="141" spans="1:10">
      <c r="A141" s="10" t="s">
        <v>344</v>
      </c>
      <c r="B141" s="11" t="s">
        <v>413</v>
      </c>
      <c r="C141" s="10" t="s">
        <v>401</v>
      </c>
      <c r="D141" s="12">
        <v>1849</v>
      </c>
      <c r="E141" s="12">
        <v>32</v>
      </c>
      <c r="F141" s="12" t="s">
        <v>409</v>
      </c>
      <c r="G141" s="12" t="s">
        <v>435</v>
      </c>
      <c r="H141" s="12" t="s">
        <v>395</v>
      </c>
      <c r="I141" s="12">
        <f t="shared" si="2"/>
        <v>10591</v>
      </c>
      <c r="J141" s="12">
        <v>1702209.54</v>
      </c>
    </row>
    <row r="142" spans="1:10">
      <c r="A142" s="10" t="s">
        <v>345</v>
      </c>
      <c r="B142" s="11" t="s">
        <v>414</v>
      </c>
      <c r="C142" s="10" t="s">
        <v>402</v>
      </c>
      <c r="D142" s="12">
        <v>1712.14</v>
      </c>
      <c r="E142" s="12">
        <v>30</v>
      </c>
      <c r="F142" s="12" t="s">
        <v>411</v>
      </c>
      <c r="G142" s="12" t="s">
        <v>433</v>
      </c>
      <c r="H142" s="12" t="s">
        <v>396</v>
      </c>
      <c r="I142" s="12">
        <f t="shared" si="2"/>
        <v>10589</v>
      </c>
      <c r="J142" s="12">
        <v>2068810.21</v>
      </c>
    </row>
    <row r="143" spans="1:10">
      <c r="A143" s="10" t="s">
        <v>346</v>
      </c>
      <c r="B143" s="11" t="s">
        <v>414</v>
      </c>
      <c r="C143" s="10" t="s">
        <v>403</v>
      </c>
      <c r="D143" s="12">
        <v>1172.24</v>
      </c>
      <c r="E143" s="12">
        <v>46</v>
      </c>
      <c r="F143" s="12" t="s">
        <v>411</v>
      </c>
      <c r="G143" s="12" t="s">
        <v>435</v>
      </c>
      <c r="H143" s="12" t="s">
        <v>397</v>
      </c>
      <c r="I143" s="12">
        <f t="shared" si="2"/>
        <v>10605</v>
      </c>
      <c r="J143" s="12">
        <v>2677626.75</v>
      </c>
    </row>
    <row r="144" spans="1:10">
      <c r="A144" s="10" t="s">
        <v>325</v>
      </c>
      <c r="B144" s="11" t="s">
        <v>415</v>
      </c>
      <c r="C144" s="10" t="s">
        <v>403</v>
      </c>
      <c r="D144" s="12">
        <v>1668.07</v>
      </c>
      <c r="E144" s="12">
        <v>32</v>
      </c>
      <c r="F144" s="12" t="s">
        <v>411</v>
      </c>
      <c r="G144" s="12" t="s">
        <v>432</v>
      </c>
      <c r="H144" s="12" t="s">
        <v>396</v>
      </c>
      <c r="I144" s="12">
        <f t="shared" si="2"/>
        <v>10591</v>
      </c>
      <c r="J144" s="12">
        <v>1619097.54</v>
      </c>
    </row>
    <row r="145" spans="1:10">
      <c r="A145" s="10" t="s">
        <v>347</v>
      </c>
      <c r="B145" s="11" t="s">
        <v>413</v>
      </c>
      <c r="C145" s="10" t="s">
        <v>402</v>
      </c>
      <c r="D145" s="12">
        <v>1809.63</v>
      </c>
      <c r="E145" s="12">
        <v>23</v>
      </c>
      <c r="F145" s="12" t="s">
        <v>410</v>
      </c>
      <c r="G145" s="12" t="s">
        <v>432</v>
      </c>
      <c r="H145" s="12" t="s">
        <v>398</v>
      </c>
      <c r="I145" s="12">
        <f t="shared" si="2"/>
        <v>10582</v>
      </c>
      <c r="J145" s="12">
        <v>2520515.75</v>
      </c>
    </row>
    <row r="146" spans="1:10">
      <c r="A146" s="10" t="s">
        <v>348</v>
      </c>
      <c r="B146" s="11" t="s">
        <v>413</v>
      </c>
      <c r="C146" s="10" t="s">
        <v>402</v>
      </c>
      <c r="D146" s="12">
        <v>1659.78</v>
      </c>
      <c r="E146" s="12">
        <v>78</v>
      </c>
      <c r="F146" s="12" t="s">
        <v>410</v>
      </c>
      <c r="G146" s="12" t="s">
        <v>435</v>
      </c>
      <c r="H146" s="12" t="s">
        <v>396</v>
      </c>
      <c r="I146" s="12">
        <f t="shared" si="2"/>
        <v>10637</v>
      </c>
      <c r="J146" s="12">
        <v>2436487.66</v>
      </c>
    </row>
    <row r="147" spans="1:10">
      <c r="A147" s="10" t="s">
        <v>349</v>
      </c>
      <c r="B147" s="11" t="s">
        <v>414</v>
      </c>
      <c r="C147" s="10" t="s">
        <v>401</v>
      </c>
      <c r="D147" s="12">
        <v>1361.04</v>
      </c>
      <c r="E147" s="12">
        <v>59</v>
      </c>
      <c r="F147" s="12" t="s">
        <v>408</v>
      </c>
      <c r="G147" s="12" t="s">
        <v>435</v>
      </c>
      <c r="H147" s="12" t="s">
        <v>397</v>
      </c>
      <c r="I147" s="12">
        <f t="shared" si="2"/>
        <v>10618</v>
      </c>
      <c r="J147" s="12">
        <v>3079950.06</v>
      </c>
    </row>
    <row r="148" spans="1:10">
      <c r="A148" s="10" t="s">
        <v>350</v>
      </c>
      <c r="B148" s="11" t="s">
        <v>414</v>
      </c>
      <c r="C148" s="10" t="s">
        <v>401</v>
      </c>
      <c r="D148" s="12">
        <v>93.27</v>
      </c>
      <c r="E148" s="12">
        <v>88</v>
      </c>
      <c r="F148" s="12" t="s">
        <v>409</v>
      </c>
      <c r="G148" s="12" t="s">
        <v>433</v>
      </c>
      <c r="H148" s="12" t="s">
        <v>398</v>
      </c>
      <c r="I148" s="12">
        <f t="shared" si="2"/>
        <v>10647</v>
      </c>
      <c r="J148" s="12">
        <v>3200794.86</v>
      </c>
    </row>
    <row r="149" spans="1:10">
      <c r="A149" s="10" t="s">
        <v>351</v>
      </c>
      <c r="B149" s="11" t="s">
        <v>413</v>
      </c>
      <c r="C149" s="10" t="s">
        <v>400</v>
      </c>
      <c r="D149" s="12">
        <v>1781.83</v>
      </c>
      <c r="E149" s="12">
        <v>58</v>
      </c>
      <c r="F149" s="12" t="s">
        <v>408</v>
      </c>
      <c r="G149" s="12" t="s">
        <v>433</v>
      </c>
      <c r="H149" s="12" t="s">
        <v>396</v>
      </c>
      <c r="I149" s="12">
        <f t="shared" si="2"/>
        <v>10617</v>
      </c>
      <c r="J149" s="12">
        <v>1347985.32</v>
      </c>
    </row>
    <row r="150" spans="1:10">
      <c r="A150" s="10" t="s">
        <v>352</v>
      </c>
      <c r="B150" s="11" t="s">
        <v>416</v>
      </c>
      <c r="C150" s="10" t="s">
        <v>401</v>
      </c>
      <c r="D150" s="12">
        <v>546.91</v>
      </c>
      <c r="E150" s="12">
        <v>15</v>
      </c>
      <c r="F150" s="12" t="s">
        <v>409</v>
      </c>
      <c r="G150" s="12" t="s">
        <v>435</v>
      </c>
      <c r="H150" s="12" t="s">
        <v>398</v>
      </c>
      <c r="I150" s="12">
        <f t="shared" si="2"/>
        <v>10574</v>
      </c>
      <c r="J150" s="12">
        <v>1522672.1</v>
      </c>
    </row>
    <row r="151" spans="1:10">
      <c r="A151" s="10" t="s">
        <v>353</v>
      </c>
      <c r="B151" s="11" t="s">
        <v>414</v>
      </c>
      <c r="C151" s="10" t="s">
        <v>403</v>
      </c>
      <c r="D151" s="12">
        <v>1945.6</v>
      </c>
      <c r="E151" s="12">
        <v>47</v>
      </c>
      <c r="F151" s="12" t="s">
        <v>410</v>
      </c>
      <c r="G151" s="12" t="s">
        <v>433</v>
      </c>
      <c r="H151" s="12" t="s">
        <v>399</v>
      </c>
      <c r="I151" s="12">
        <f t="shared" si="2"/>
        <v>10606</v>
      </c>
      <c r="J151" s="12">
        <v>1655417.82</v>
      </c>
    </row>
    <row r="152" spans="1:10">
      <c r="A152" s="10" t="s">
        <v>354</v>
      </c>
      <c r="B152" s="11" t="s">
        <v>413</v>
      </c>
      <c r="C152" s="10" t="s">
        <v>403</v>
      </c>
      <c r="D152" s="12">
        <v>2290.0700000000002</v>
      </c>
      <c r="E152" s="12">
        <v>74</v>
      </c>
      <c r="F152" s="12" t="s">
        <v>411</v>
      </c>
      <c r="G152" s="12" t="s">
        <v>432</v>
      </c>
      <c r="H152" s="12" t="s">
        <v>399</v>
      </c>
      <c r="I152" s="12">
        <f t="shared" si="2"/>
        <v>10633</v>
      </c>
      <c r="J152" s="12">
        <v>3525663.95</v>
      </c>
    </row>
    <row r="153" spans="1:10">
      <c r="A153" s="10" t="s">
        <v>355</v>
      </c>
      <c r="B153" s="11" t="s">
        <v>414</v>
      </c>
      <c r="C153" s="10" t="s">
        <v>402</v>
      </c>
      <c r="D153" s="12">
        <v>1526.31</v>
      </c>
      <c r="E153" s="12">
        <v>42</v>
      </c>
      <c r="F153" s="12" t="s">
        <v>408</v>
      </c>
      <c r="G153" s="12" t="s">
        <v>435</v>
      </c>
      <c r="H153" s="12" t="s">
        <v>396</v>
      </c>
      <c r="I153" s="12">
        <f t="shared" si="2"/>
        <v>10601</v>
      </c>
      <c r="J153" s="12">
        <v>3277798.16</v>
      </c>
    </row>
    <row r="154" spans="1:10">
      <c r="A154" s="10" t="s">
        <v>356</v>
      </c>
      <c r="B154" s="11" t="s">
        <v>415</v>
      </c>
      <c r="C154" s="10" t="s">
        <v>401</v>
      </c>
      <c r="D154" s="12">
        <v>1649.97</v>
      </c>
      <c r="E154" s="12">
        <v>75</v>
      </c>
      <c r="F154" s="12" t="s">
        <v>411</v>
      </c>
      <c r="G154" s="12" t="s">
        <v>432</v>
      </c>
      <c r="H154" s="12" t="s">
        <v>398</v>
      </c>
      <c r="I154" s="12">
        <f t="shared" si="2"/>
        <v>10634</v>
      </c>
      <c r="J154" s="12">
        <v>1989926.2</v>
      </c>
    </row>
    <row r="155" spans="1:10">
      <c r="A155" s="10" t="s">
        <v>357</v>
      </c>
      <c r="B155" s="11" t="s">
        <v>415</v>
      </c>
      <c r="C155" s="10" t="s">
        <v>400</v>
      </c>
      <c r="D155" s="12">
        <v>2856.86</v>
      </c>
      <c r="E155" s="12">
        <v>52</v>
      </c>
      <c r="F155" s="12" t="s">
        <v>408</v>
      </c>
      <c r="G155" s="12" t="s">
        <v>435</v>
      </c>
      <c r="H155" s="12" t="s">
        <v>397</v>
      </c>
      <c r="I155" s="12">
        <f t="shared" si="2"/>
        <v>10611</v>
      </c>
      <c r="J155" s="12">
        <v>2398017.1800000002</v>
      </c>
    </row>
    <row r="156" spans="1:10">
      <c r="A156" s="10" t="s">
        <v>358</v>
      </c>
      <c r="B156" s="11" t="s">
        <v>416</v>
      </c>
      <c r="C156" s="10" t="s">
        <v>403</v>
      </c>
      <c r="D156" s="12">
        <v>2549.14</v>
      </c>
      <c r="E156" s="12">
        <v>16</v>
      </c>
      <c r="F156" s="12" t="s">
        <v>410</v>
      </c>
      <c r="G156" s="12" t="s">
        <v>433</v>
      </c>
      <c r="H156" s="12" t="s">
        <v>396</v>
      </c>
      <c r="I156" s="12">
        <f t="shared" si="2"/>
        <v>10575</v>
      </c>
      <c r="J156" s="12">
        <v>1434385.54</v>
      </c>
    </row>
    <row r="157" spans="1:10">
      <c r="A157" s="10" t="s">
        <v>359</v>
      </c>
      <c r="B157" s="11" t="s">
        <v>414</v>
      </c>
      <c r="C157" s="10" t="s">
        <v>403</v>
      </c>
      <c r="D157" s="12">
        <v>2747</v>
      </c>
      <c r="E157" s="12">
        <v>28</v>
      </c>
      <c r="F157" s="12" t="s">
        <v>410</v>
      </c>
      <c r="G157" s="12" t="s">
        <v>435</v>
      </c>
      <c r="H157" s="12" t="s">
        <v>399</v>
      </c>
      <c r="I157" s="12">
        <f t="shared" si="2"/>
        <v>10587</v>
      </c>
      <c r="J157" s="12">
        <v>1970737</v>
      </c>
    </row>
    <row r="158" spans="1:10">
      <c r="A158" s="10" t="s">
        <v>360</v>
      </c>
      <c r="B158" s="11" t="s">
        <v>416</v>
      </c>
      <c r="C158" s="10" t="s">
        <v>400</v>
      </c>
      <c r="D158" s="12">
        <v>2450.61</v>
      </c>
      <c r="E158" s="12">
        <v>71</v>
      </c>
      <c r="F158" s="12" t="s">
        <v>410</v>
      </c>
      <c r="G158" s="12" t="s">
        <v>433</v>
      </c>
      <c r="H158" s="12" t="s">
        <v>399</v>
      </c>
      <c r="I158" s="12">
        <f t="shared" si="2"/>
        <v>10630</v>
      </c>
      <c r="J158" s="12">
        <v>1123464.5900000001</v>
      </c>
    </row>
    <row r="159" spans="1:10">
      <c r="A159" s="10" t="s">
        <v>229</v>
      </c>
      <c r="B159" s="11" t="s">
        <v>413</v>
      </c>
      <c r="C159" s="10" t="s">
        <v>400</v>
      </c>
      <c r="D159" s="12">
        <v>371.31</v>
      </c>
      <c r="E159" s="12">
        <v>34</v>
      </c>
      <c r="F159" s="12" t="s">
        <v>408</v>
      </c>
      <c r="G159" s="12" t="s">
        <v>433</v>
      </c>
      <c r="H159" s="12" t="s">
        <v>396</v>
      </c>
      <c r="I159" s="12">
        <f t="shared" si="2"/>
        <v>10593</v>
      </c>
      <c r="J159" s="12">
        <v>1523001.66</v>
      </c>
    </row>
    <row r="160" spans="1:10">
      <c r="A160" s="10" t="s">
        <v>361</v>
      </c>
      <c r="B160" s="11" t="s">
        <v>413</v>
      </c>
      <c r="C160" s="10" t="s">
        <v>403</v>
      </c>
      <c r="D160" s="12">
        <v>489.53</v>
      </c>
      <c r="E160" s="12">
        <v>72</v>
      </c>
      <c r="F160" s="12" t="s">
        <v>409</v>
      </c>
      <c r="G160" s="12" t="s">
        <v>434</v>
      </c>
      <c r="H160" s="12" t="s">
        <v>398</v>
      </c>
      <c r="I160" s="12">
        <f t="shared" si="2"/>
        <v>10631</v>
      </c>
      <c r="J160" s="12">
        <v>2359469.61</v>
      </c>
    </row>
    <row r="161" spans="1:10">
      <c r="A161" s="10" t="s">
        <v>362</v>
      </c>
      <c r="B161" s="11" t="s">
        <v>414</v>
      </c>
      <c r="C161" s="10" t="s">
        <v>403</v>
      </c>
      <c r="D161" s="12">
        <v>1603.54</v>
      </c>
      <c r="E161" s="12">
        <v>4</v>
      </c>
      <c r="F161" s="12" t="s">
        <v>408</v>
      </c>
      <c r="G161" s="12" t="s">
        <v>434</v>
      </c>
      <c r="H161" s="12" t="s">
        <v>399</v>
      </c>
      <c r="I161" s="12">
        <f t="shared" si="2"/>
        <v>10563</v>
      </c>
      <c r="J161" s="12">
        <v>2336808.7000000002</v>
      </c>
    </row>
    <row r="162" spans="1:10">
      <c r="A162" s="10" t="s">
        <v>363</v>
      </c>
      <c r="B162" s="11" t="s">
        <v>414</v>
      </c>
      <c r="C162" s="10" t="s">
        <v>400</v>
      </c>
      <c r="D162" s="12">
        <v>775.91</v>
      </c>
      <c r="E162" s="12">
        <v>1</v>
      </c>
      <c r="F162" s="12" t="s">
        <v>409</v>
      </c>
      <c r="G162" s="12" t="s">
        <v>432</v>
      </c>
      <c r="H162" s="12" t="s">
        <v>398</v>
      </c>
      <c r="I162" s="12">
        <f t="shared" si="2"/>
        <v>10560</v>
      </c>
      <c r="J162" s="12">
        <v>1184220.75</v>
      </c>
    </row>
    <row r="163" spans="1:10">
      <c r="A163" s="10" t="s">
        <v>364</v>
      </c>
      <c r="B163" s="11" t="s">
        <v>416</v>
      </c>
      <c r="C163" s="10" t="s">
        <v>403</v>
      </c>
      <c r="D163" s="12">
        <v>1456.25</v>
      </c>
      <c r="E163" s="12">
        <v>61</v>
      </c>
      <c r="F163" s="12" t="s">
        <v>408</v>
      </c>
      <c r="G163" s="12" t="s">
        <v>434</v>
      </c>
      <c r="H163" s="12" t="s">
        <v>399</v>
      </c>
      <c r="I163" s="12">
        <f t="shared" si="2"/>
        <v>10620</v>
      </c>
      <c r="J163" s="12">
        <v>2971540.56</v>
      </c>
    </row>
    <row r="164" spans="1:10">
      <c r="A164" s="10" t="s">
        <v>308</v>
      </c>
      <c r="B164" s="11" t="s">
        <v>415</v>
      </c>
      <c r="C164" s="10" t="s">
        <v>402</v>
      </c>
      <c r="D164" s="12">
        <v>1213.3800000000001</v>
      </c>
      <c r="E164" s="12">
        <v>5</v>
      </c>
      <c r="F164" s="12" t="s">
        <v>408</v>
      </c>
      <c r="G164" s="12" t="s">
        <v>432</v>
      </c>
      <c r="H164" s="12" t="s">
        <v>399</v>
      </c>
      <c r="I164" s="12">
        <f t="shared" si="2"/>
        <v>10564</v>
      </c>
      <c r="J164" s="12">
        <v>2954130.75</v>
      </c>
    </row>
    <row r="165" spans="1:10">
      <c r="A165" s="10" t="s">
        <v>365</v>
      </c>
      <c r="B165" s="11" t="s">
        <v>414</v>
      </c>
      <c r="C165" s="10" t="s">
        <v>402</v>
      </c>
      <c r="D165" s="12">
        <v>1670.77</v>
      </c>
      <c r="E165" s="12">
        <v>1</v>
      </c>
      <c r="F165" s="12" t="s">
        <v>410</v>
      </c>
      <c r="G165" s="12" t="s">
        <v>432</v>
      </c>
      <c r="H165" s="12" t="s">
        <v>395</v>
      </c>
      <c r="I165" s="12">
        <f t="shared" si="2"/>
        <v>10560</v>
      </c>
      <c r="J165" s="12">
        <v>1604085.39</v>
      </c>
    </row>
    <row r="166" spans="1:10">
      <c r="A166" s="10" t="s">
        <v>366</v>
      </c>
      <c r="B166" s="11" t="s">
        <v>415</v>
      </c>
      <c r="C166" s="10" t="s">
        <v>400</v>
      </c>
      <c r="D166" s="12">
        <v>2253.2800000000002</v>
      </c>
      <c r="E166" s="12">
        <v>42</v>
      </c>
      <c r="F166" s="12" t="s">
        <v>411</v>
      </c>
      <c r="G166" s="12" t="s">
        <v>433</v>
      </c>
      <c r="H166" s="12" t="s">
        <v>399</v>
      </c>
      <c r="I166" s="12">
        <f t="shared" si="2"/>
        <v>10601</v>
      </c>
      <c r="J166" s="12">
        <v>2363362.5</v>
      </c>
    </row>
    <row r="167" spans="1:10">
      <c r="A167" s="10" t="s">
        <v>367</v>
      </c>
      <c r="B167" s="11" t="s">
        <v>415</v>
      </c>
      <c r="C167" s="10" t="s">
        <v>401</v>
      </c>
      <c r="D167" s="12">
        <v>2160.6999999999998</v>
      </c>
      <c r="E167" s="12">
        <v>29</v>
      </c>
      <c r="F167" s="12" t="s">
        <v>411</v>
      </c>
      <c r="G167" s="12" t="s">
        <v>434</v>
      </c>
      <c r="H167" s="12" t="s">
        <v>397</v>
      </c>
      <c r="I167" s="12">
        <f t="shared" si="2"/>
        <v>10588</v>
      </c>
      <c r="J167" s="12">
        <v>3136262.44</v>
      </c>
    </row>
    <row r="168" spans="1:10">
      <c r="A168" s="10" t="s">
        <v>368</v>
      </c>
      <c r="B168" s="11" t="s">
        <v>416</v>
      </c>
      <c r="C168" s="10" t="s">
        <v>400</v>
      </c>
      <c r="D168" s="12">
        <v>1587.64</v>
      </c>
      <c r="E168" s="12">
        <v>71</v>
      </c>
      <c r="F168" s="12" t="s">
        <v>409</v>
      </c>
      <c r="G168" s="12" t="s">
        <v>435</v>
      </c>
      <c r="H168" s="12" t="s">
        <v>396</v>
      </c>
      <c r="I168" s="12">
        <f t="shared" si="2"/>
        <v>10630</v>
      </c>
      <c r="J168" s="12">
        <v>2712210.4</v>
      </c>
    </row>
    <row r="169" spans="1:10">
      <c r="A169" s="10" t="s">
        <v>354</v>
      </c>
      <c r="B169" s="11" t="s">
        <v>415</v>
      </c>
      <c r="C169" s="10" t="s">
        <v>400</v>
      </c>
      <c r="D169" s="12">
        <v>2476.06</v>
      </c>
      <c r="E169" s="12">
        <v>5</v>
      </c>
      <c r="F169" s="12" t="s">
        <v>411</v>
      </c>
      <c r="G169" s="12" t="s">
        <v>434</v>
      </c>
      <c r="H169" s="12" t="s">
        <v>396</v>
      </c>
      <c r="I169" s="12">
        <f t="shared" si="2"/>
        <v>10564</v>
      </c>
      <c r="J169" s="12">
        <v>2522199.58</v>
      </c>
    </row>
    <row r="170" spans="1:10">
      <c r="A170" s="10" t="s">
        <v>369</v>
      </c>
      <c r="B170" s="11" t="s">
        <v>416</v>
      </c>
      <c r="C170" s="10" t="s">
        <v>401</v>
      </c>
      <c r="D170" s="12">
        <v>1321.04</v>
      </c>
      <c r="E170" s="12">
        <v>64</v>
      </c>
      <c r="F170" s="12" t="s">
        <v>408</v>
      </c>
      <c r="G170" s="12" t="s">
        <v>435</v>
      </c>
      <c r="H170" s="12" t="s">
        <v>398</v>
      </c>
      <c r="I170" s="12">
        <f t="shared" si="2"/>
        <v>10623</v>
      </c>
      <c r="J170" s="12">
        <v>3150497.43</v>
      </c>
    </row>
    <row r="171" spans="1:10">
      <c r="A171" s="10" t="s">
        <v>370</v>
      </c>
      <c r="B171" s="11" t="s">
        <v>416</v>
      </c>
      <c r="C171" s="10" t="s">
        <v>401</v>
      </c>
      <c r="D171" s="12">
        <v>2695.31</v>
      </c>
      <c r="E171" s="12">
        <v>57</v>
      </c>
      <c r="F171" s="12" t="s">
        <v>408</v>
      </c>
      <c r="G171" s="12" t="s">
        <v>434</v>
      </c>
      <c r="H171" s="12" t="s">
        <v>399</v>
      </c>
      <c r="I171" s="12">
        <f t="shared" si="2"/>
        <v>10616</v>
      </c>
      <c r="J171" s="12">
        <v>1450182.9</v>
      </c>
    </row>
    <row r="172" spans="1:10">
      <c r="A172" s="10" t="s">
        <v>371</v>
      </c>
      <c r="B172" s="11" t="s">
        <v>413</v>
      </c>
      <c r="C172" s="10" t="s">
        <v>401</v>
      </c>
      <c r="D172" s="12">
        <v>260.27999999999997</v>
      </c>
      <c r="E172" s="12">
        <v>6</v>
      </c>
      <c r="F172" s="12" t="s">
        <v>410</v>
      </c>
      <c r="G172" s="12" t="s">
        <v>432</v>
      </c>
      <c r="H172" s="12" t="s">
        <v>397</v>
      </c>
      <c r="I172" s="12">
        <f t="shared" si="2"/>
        <v>10565</v>
      </c>
      <c r="J172" s="12">
        <v>3022562.76</v>
      </c>
    </row>
    <row r="173" spans="1:10">
      <c r="A173" s="10" t="s">
        <v>372</v>
      </c>
      <c r="B173" s="11" t="s">
        <v>416</v>
      </c>
      <c r="C173" s="10" t="s">
        <v>402</v>
      </c>
      <c r="D173" s="12">
        <v>2866.25</v>
      </c>
      <c r="E173" s="12">
        <v>98</v>
      </c>
      <c r="F173" s="12" t="s">
        <v>410</v>
      </c>
      <c r="G173" s="12" t="s">
        <v>432</v>
      </c>
      <c r="H173" s="12" t="s">
        <v>398</v>
      </c>
      <c r="I173" s="12">
        <f t="shared" si="2"/>
        <v>10657</v>
      </c>
      <c r="J173" s="12">
        <v>2707271.72</v>
      </c>
    </row>
    <row r="174" spans="1:10">
      <c r="A174" s="10" t="s">
        <v>373</v>
      </c>
      <c r="B174" s="11" t="s">
        <v>416</v>
      </c>
      <c r="C174" s="10" t="s">
        <v>403</v>
      </c>
      <c r="D174" s="12">
        <v>1981.34</v>
      </c>
      <c r="E174" s="12">
        <v>66</v>
      </c>
      <c r="F174" s="12" t="s">
        <v>411</v>
      </c>
      <c r="G174" s="12" t="s">
        <v>433</v>
      </c>
      <c r="H174" s="12" t="s">
        <v>395</v>
      </c>
      <c r="I174" s="12">
        <f t="shared" si="2"/>
        <v>10625</v>
      </c>
      <c r="J174" s="12">
        <v>3184816.45</v>
      </c>
    </row>
    <row r="175" spans="1:10">
      <c r="A175" s="10" t="s">
        <v>374</v>
      </c>
      <c r="B175" s="11" t="s">
        <v>413</v>
      </c>
      <c r="C175" s="10" t="s">
        <v>402</v>
      </c>
      <c r="D175" s="12">
        <v>1171.22</v>
      </c>
      <c r="E175" s="12">
        <v>32</v>
      </c>
      <c r="F175" s="12" t="s">
        <v>409</v>
      </c>
      <c r="G175" s="12" t="s">
        <v>433</v>
      </c>
      <c r="H175" s="12" t="s">
        <v>398</v>
      </c>
      <c r="I175" s="12">
        <f t="shared" si="2"/>
        <v>10591</v>
      </c>
      <c r="J175" s="12">
        <v>3224042.88</v>
      </c>
    </row>
    <row r="176" spans="1:10">
      <c r="A176" s="10" t="s">
        <v>327</v>
      </c>
      <c r="B176" s="11" t="s">
        <v>413</v>
      </c>
      <c r="C176" s="10" t="s">
        <v>403</v>
      </c>
      <c r="D176" s="12">
        <v>631.6</v>
      </c>
      <c r="E176" s="12">
        <v>8</v>
      </c>
      <c r="F176" s="12" t="s">
        <v>411</v>
      </c>
      <c r="G176" s="12" t="s">
        <v>434</v>
      </c>
      <c r="H176" s="12" t="s">
        <v>398</v>
      </c>
      <c r="I176" s="12">
        <f t="shared" si="2"/>
        <v>10567</v>
      </c>
      <c r="J176" s="12">
        <v>2743555.7</v>
      </c>
    </row>
    <row r="177" spans="1:10">
      <c r="A177" s="10" t="s">
        <v>375</v>
      </c>
      <c r="B177" s="11" t="s">
        <v>416</v>
      </c>
      <c r="C177" s="10" t="s">
        <v>402</v>
      </c>
      <c r="D177" s="12">
        <v>1463.59</v>
      </c>
      <c r="E177" s="12">
        <v>95</v>
      </c>
      <c r="F177" s="12" t="s">
        <v>411</v>
      </c>
      <c r="G177" s="12" t="s">
        <v>432</v>
      </c>
      <c r="H177" s="12" t="s">
        <v>399</v>
      </c>
      <c r="I177" s="12">
        <f t="shared" si="2"/>
        <v>10654</v>
      </c>
      <c r="J177" s="12">
        <v>1601346.32</v>
      </c>
    </row>
    <row r="178" spans="1:10">
      <c r="A178" s="10" t="s">
        <v>376</v>
      </c>
      <c r="B178" s="11" t="s">
        <v>416</v>
      </c>
      <c r="C178" s="10" t="s">
        <v>403</v>
      </c>
      <c r="D178" s="12">
        <v>623.95000000000005</v>
      </c>
      <c r="E178" s="12">
        <v>56</v>
      </c>
      <c r="F178" s="12" t="s">
        <v>411</v>
      </c>
      <c r="G178" s="12" t="s">
        <v>434</v>
      </c>
      <c r="H178" s="12" t="s">
        <v>395</v>
      </c>
      <c r="I178" s="12">
        <f t="shared" si="2"/>
        <v>10615</v>
      </c>
      <c r="J178" s="12">
        <v>2862671.45</v>
      </c>
    </row>
    <row r="179" spans="1:10">
      <c r="A179" s="10" t="s">
        <v>377</v>
      </c>
      <c r="B179" s="11" t="s">
        <v>415</v>
      </c>
      <c r="C179" s="10" t="s">
        <v>402</v>
      </c>
      <c r="D179" s="12">
        <v>540.67999999999995</v>
      </c>
      <c r="E179" s="12">
        <v>40</v>
      </c>
      <c r="F179" s="12" t="s">
        <v>411</v>
      </c>
      <c r="G179" s="12" t="s">
        <v>435</v>
      </c>
      <c r="H179" s="12" t="s">
        <v>398</v>
      </c>
      <c r="I179" s="12">
        <f t="shared" si="2"/>
        <v>10599</v>
      </c>
      <c r="J179" s="12">
        <v>1406234.41</v>
      </c>
    </row>
    <row r="180" spans="1:10">
      <c r="A180" s="10" t="s">
        <v>378</v>
      </c>
      <c r="B180" s="11" t="s">
        <v>416</v>
      </c>
      <c r="C180" s="10" t="s">
        <v>401</v>
      </c>
      <c r="D180" s="12">
        <v>1871.19</v>
      </c>
      <c r="E180" s="12">
        <v>51</v>
      </c>
      <c r="F180" s="12" t="s">
        <v>408</v>
      </c>
      <c r="G180" s="12" t="s">
        <v>435</v>
      </c>
      <c r="H180" s="12" t="s">
        <v>397</v>
      </c>
      <c r="I180" s="12">
        <f t="shared" si="2"/>
        <v>10610</v>
      </c>
      <c r="J180" s="12">
        <v>3269508.66</v>
      </c>
    </row>
    <row r="181" spans="1:10">
      <c r="A181" s="10" t="s">
        <v>379</v>
      </c>
      <c r="B181" s="11" t="s">
        <v>415</v>
      </c>
      <c r="C181" s="10" t="s">
        <v>400</v>
      </c>
      <c r="D181" s="12">
        <v>1593.1</v>
      </c>
      <c r="E181" s="12">
        <v>56</v>
      </c>
      <c r="F181" s="12" t="s">
        <v>409</v>
      </c>
      <c r="G181" s="12" t="s">
        <v>432</v>
      </c>
      <c r="H181" s="12" t="s">
        <v>397</v>
      </c>
      <c r="I181" s="12">
        <f t="shared" si="2"/>
        <v>10615</v>
      </c>
      <c r="J181" s="12">
        <v>3281278.27</v>
      </c>
    </row>
    <row r="182" spans="1:10">
      <c r="A182" s="10" t="s">
        <v>380</v>
      </c>
      <c r="B182" s="11" t="s">
        <v>416</v>
      </c>
      <c r="C182" s="10" t="s">
        <v>402</v>
      </c>
      <c r="D182" s="12">
        <v>2026.78</v>
      </c>
      <c r="E182" s="12">
        <v>7</v>
      </c>
      <c r="F182" s="12" t="s">
        <v>408</v>
      </c>
      <c r="G182" s="12" t="s">
        <v>434</v>
      </c>
      <c r="H182" s="12" t="s">
        <v>396</v>
      </c>
      <c r="I182" s="12">
        <f t="shared" si="2"/>
        <v>10566</v>
      </c>
      <c r="J182" s="12">
        <v>1930799.81</v>
      </c>
    </row>
    <row r="183" spans="1:10">
      <c r="A183" s="10" t="s">
        <v>381</v>
      </c>
      <c r="B183" s="11" t="s">
        <v>413</v>
      </c>
      <c r="C183" s="10" t="s">
        <v>403</v>
      </c>
      <c r="D183" s="12">
        <v>2792.34</v>
      </c>
      <c r="E183" s="12">
        <v>54</v>
      </c>
      <c r="F183" s="12" t="s">
        <v>409</v>
      </c>
      <c r="G183" s="12" t="s">
        <v>434</v>
      </c>
      <c r="H183" s="12" t="s">
        <v>395</v>
      </c>
      <c r="I183" s="12">
        <f t="shared" si="2"/>
        <v>10613</v>
      </c>
      <c r="J183" s="12">
        <v>3356656.76</v>
      </c>
    </row>
    <row r="184" spans="1:10">
      <c r="A184" s="10" t="s">
        <v>382</v>
      </c>
      <c r="B184" s="11" t="s">
        <v>414</v>
      </c>
      <c r="C184" s="10" t="s">
        <v>401</v>
      </c>
      <c r="D184" s="12">
        <v>1620.17</v>
      </c>
      <c r="E184" s="12">
        <v>84</v>
      </c>
      <c r="F184" s="12" t="s">
        <v>410</v>
      </c>
      <c r="G184" s="12" t="s">
        <v>433</v>
      </c>
      <c r="H184" s="12" t="s">
        <v>395</v>
      </c>
      <c r="I184" s="12">
        <f t="shared" si="2"/>
        <v>10643</v>
      </c>
      <c r="J184" s="12">
        <v>1989218.51</v>
      </c>
    </row>
    <row r="185" spans="1:10">
      <c r="A185" s="10" t="s">
        <v>383</v>
      </c>
      <c r="B185" s="11" t="s">
        <v>414</v>
      </c>
      <c r="C185" s="10" t="s">
        <v>402</v>
      </c>
      <c r="D185" s="12">
        <v>1763.75</v>
      </c>
      <c r="E185" s="12">
        <v>88</v>
      </c>
      <c r="F185" s="12" t="s">
        <v>411</v>
      </c>
      <c r="G185" s="12" t="s">
        <v>435</v>
      </c>
      <c r="H185" s="12" t="s">
        <v>396</v>
      </c>
      <c r="I185" s="12">
        <f t="shared" si="2"/>
        <v>10647</v>
      </c>
      <c r="J185" s="12">
        <v>1546827.1</v>
      </c>
    </row>
    <row r="186" spans="1:10">
      <c r="A186" s="10" t="s">
        <v>384</v>
      </c>
      <c r="B186" s="11" t="s">
        <v>414</v>
      </c>
      <c r="C186" s="10" t="s">
        <v>402</v>
      </c>
      <c r="D186" s="12">
        <v>314.39999999999998</v>
      </c>
      <c r="E186" s="12">
        <v>37</v>
      </c>
      <c r="F186" s="12" t="s">
        <v>408</v>
      </c>
      <c r="G186" s="12" t="s">
        <v>432</v>
      </c>
      <c r="H186" s="12" t="s">
        <v>398</v>
      </c>
      <c r="I186" s="12">
        <f t="shared" si="2"/>
        <v>10596</v>
      </c>
      <c r="J186" s="12">
        <v>3189286.03</v>
      </c>
    </row>
    <row r="187" spans="1:10">
      <c r="A187" s="10" t="s">
        <v>385</v>
      </c>
      <c r="B187" s="11" t="s">
        <v>416</v>
      </c>
      <c r="C187" s="10" t="s">
        <v>401</v>
      </c>
      <c r="D187" s="12">
        <v>2167.0300000000002</v>
      </c>
      <c r="E187" s="12">
        <v>70</v>
      </c>
      <c r="F187" s="12" t="s">
        <v>409</v>
      </c>
      <c r="G187" s="12" t="s">
        <v>435</v>
      </c>
      <c r="H187" s="12" t="s">
        <v>395</v>
      </c>
      <c r="I187" s="12">
        <f t="shared" si="2"/>
        <v>10629</v>
      </c>
      <c r="J187" s="12">
        <v>2228318.96</v>
      </c>
    </row>
    <row r="188" spans="1:10">
      <c r="A188" s="10" t="s">
        <v>386</v>
      </c>
      <c r="B188" s="11" t="s">
        <v>414</v>
      </c>
      <c r="C188" s="10" t="s">
        <v>402</v>
      </c>
      <c r="D188" s="12">
        <v>1229.72</v>
      </c>
      <c r="E188" s="12">
        <v>22</v>
      </c>
      <c r="F188" s="12" t="s">
        <v>410</v>
      </c>
      <c r="G188" s="12" t="s">
        <v>435</v>
      </c>
      <c r="H188" s="12" t="s">
        <v>397</v>
      </c>
      <c r="I188" s="12">
        <f t="shared" si="2"/>
        <v>10581</v>
      </c>
      <c r="J188" s="12">
        <v>1266949.67</v>
      </c>
    </row>
    <row r="189" spans="1:10">
      <c r="A189" s="10" t="s">
        <v>265</v>
      </c>
      <c r="B189" s="11" t="s">
        <v>413</v>
      </c>
      <c r="C189" s="10" t="s">
        <v>400</v>
      </c>
      <c r="D189" s="12">
        <v>2931.34</v>
      </c>
      <c r="E189" s="12">
        <v>60</v>
      </c>
      <c r="F189" s="12" t="s">
        <v>410</v>
      </c>
      <c r="G189" s="12" t="s">
        <v>435</v>
      </c>
      <c r="H189" s="12" t="s">
        <v>397</v>
      </c>
      <c r="I189" s="12">
        <f t="shared" si="2"/>
        <v>10619</v>
      </c>
      <c r="J189" s="12">
        <v>1213745.6100000001</v>
      </c>
    </row>
    <row r="190" spans="1:10">
      <c r="A190" s="10" t="s">
        <v>355</v>
      </c>
      <c r="B190" s="11" t="s">
        <v>414</v>
      </c>
      <c r="C190" s="10" t="s">
        <v>402</v>
      </c>
      <c r="D190" s="12">
        <v>2478.36</v>
      </c>
      <c r="E190" s="12">
        <v>60</v>
      </c>
      <c r="F190" s="12" t="s">
        <v>411</v>
      </c>
      <c r="G190" s="12" t="s">
        <v>434</v>
      </c>
      <c r="H190" s="12" t="s">
        <v>399</v>
      </c>
      <c r="I190" s="12">
        <f t="shared" si="2"/>
        <v>10619</v>
      </c>
      <c r="J190" s="12">
        <v>1117579.3</v>
      </c>
    </row>
    <row r="191" spans="1:10">
      <c r="A191" s="10" t="s">
        <v>346</v>
      </c>
      <c r="B191" s="11" t="s">
        <v>414</v>
      </c>
      <c r="C191" s="10" t="s">
        <v>400</v>
      </c>
      <c r="D191" s="12">
        <v>1591.32</v>
      </c>
      <c r="E191" s="12">
        <v>54</v>
      </c>
      <c r="F191" s="12" t="s">
        <v>409</v>
      </c>
      <c r="G191" s="12" t="s">
        <v>432</v>
      </c>
      <c r="H191" s="12" t="s">
        <v>395</v>
      </c>
      <c r="I191" s="12">
        <f t="shared" si="2"/>
        <v>10613</v>
      </c>
      <c r="J191" s="12">
        <v>3147814.54</v>
      </c>
    </row>
    <row r="192" spans="1:10">
      <c r="A192" s="10" t="s">
        <v>315</v>
      </c>
      <c r="B192" s="11" t="s">
        <v>416</v>
      </c>
      <c r="C192" s="10" t="s">
        <v>400</v>
      </c>
      <c r="D192" s="12">
        <v>413.51</v>
      </c>
      <c r="E192" s="12">
        <v>43</v>
      </c>
      <c r="F192" s="12" t="s">
        <v>408</v>
      </c>
      <c r="G192" s="12" t="s">
        <v>432</v>
      </c>
      <c r="H192" s="12" t="s">
        <v>398</v>
      </c>
      <c r="I192" s="12">
        <f t="shared" si="2"/>
        <v>10602</v>
      </c>
      <c r="J192" s="12">
        <v>1350528.57</v>
      </c>
    </row>
    <row r="193" spans="1:10">
      <c r="A193" s="10" t="s">
        <v>387</v>
      </c>
      <c r="B193" s="11" t="s">
        <v>415</v>
      </c>
      <c r="C193" s="10" t="s">
        <v>401</v>
      </c>
      <c r="D193" s="12">
        <v>2585.2800000000002</v>
      </c>
      <c r="E193" s="12">
        <v>11</v>
      </c>
      <c r="F193" s="12" t="s">
        <v>411</v>
      </c>
      <c r="G193" s="12" t="s">
        <v>432</v>
      </c>
      <c r="H193" s="12" t="s">
        <v>396</v>
      </c>
      <c r="I193" s="12">
        <f t="shared" si="2"/>
        <v>10570</v>
      </c>
      <c r="J193" s="12">
        <v>3494454.41</v>
      </c>
    </row>
    <row r="194" spans="1:10">
      <c r="A194" s="10" t="s">
        <v>388</v>
      </c>
      <c r="B194" s="11" t="s">
        <v>413</v>
      </c>
      <c r="C194" s="10" t="s">
        <v>402</v>
      </c>
      <c r="D194" s="12">
        <v>2409.35</v>
      </c>
      <c r="E194" s="12">
        <v>75</v>
      </c>
      <c r="F194" s="12" t="s">
        <v>408</v>
      </c>
      <c r="G194" s="12" t="s">
        <v>435</v>
      </c>
      <c r="H194" s="12" t="s">
        <v>396</v>
      </c>
      <c r="I194" s="12">
        <f t="shared" si="2"/>
        <v>10634</v>
      </c>
      <c r="J194" s="12">
        <v>3495386.92</v>
      </c>
    </row>
    <row r="195" spans="1:10">
      <c r="A195" s="10" t="s">
        <v>389</v>
      </c>
      <c r="B195" s="11" t="s">
        <v>416</v>
      </c>
      <c r="C195" s="10" t="s">
        <v>401</v>
      </c>
      <c r="D195" s="12">
        <v>594.53</v>
      </c>
      <c r="E195" s="12">
        <v>21</v>
      </c>
      <c r="F195" s="12" t="s">
        <v>410</v>
      </c>
      <c r="G195" s="12" t="s">
        <v>435</v>
      </c>
      <c r="H195" s="12" t="s">
        <v>398</v>
      </c>
      <c r="I195" s="12">
        <f t="shared" ref="I195:I201" si="3">E195+10109+450</f>
        <v>10580</v>
      </c>
      <c r="J195" s="12">
        <v>2587437.12</v>
      </c>
    </row>
    <row r="196" spans="1:10">
      <c r="A196" s="10" t="s">
        <v>390</v>
      </c>
      <c r="B196" s="11" t="s">
        <v>413</v>
      </c>
      <c r="C196" s="10" t="s">
        <v>402</v>
      </c>
      <c r="D196" s="12">
        <v>921.07</v>
      </c>
      <c r="E196" s="12">
        <v>24</v>
      </c>
      <c r="F196" s="12" t="s">
        <v>408</v>
      </c>
      <c r="G196" s="12" t="s">
        <v>435</v>
      </c>
      <c r="H196" s="12" t="s">
        <v>399</v>
      </c>
      <c r="I196" s="12">
        <f t="shared" si="3"/>
        <v>10583</v>
      </c>
      <c r="J196" s="12">
        <v>2975579.25</v>
      </c>
    </row>
    <row r="197" spans="1:10">
      <c r="A197" s="10" t="s">
        <v>391</v>
      </c>
      <c r="B197" s="11" t="s">
        <v>415</v>
      </c>
      <c r="C197" s="10" t="s">
        <v>402</v>
      </c>
      <c r="D197" s="12">
        <v>2390.5500000000002</v>
      </c>
      <c r="E197" s="12">
        <v>15</v>
      </c>
      <c r="F197" s="12" t="s">
        <v>408</v>
      </c>
      <c r="G197" s="12" t="s">
        <v>434</v>
      </c>
      <c r="H197" s="12" t="s">
        <v>396</v>
      </c>
      <c r="I197" s="12">
        <f t="shared" si="3"/>
        <v>10574</v>
      </c>
      <c r="J197" s="12">
        <v>2098176.89</v>
      </c>
    </row>
    <row r="198" spans="1:10">
      <c r="A198" s="10" t="s">
        <v>392</v>
      </c>
      <c r="B198" s="11" t="s">
        <v>414</v>
      </c>
      <c r="C198" s="10" t="s">
        <v>403</v>
      </c>
      <c r="D198" s="12">
        <v>596.41999999999996</v>
      </c>
      <c r="E198" s="12">
        <v>54</v>
      </c>
      <c r="F198" s="12" t="s">
        <v>411</v>
      </c>
      <c r="G198" s="12" t="s">
        <v>435</v>
      </c>
      <c r="H198" s="12" t="s">
        <v>395</v>
      </c>
      <c r="I198" s="12">
        <f t="shared" si="3"/>
        <v>10613</v>
      </c>
      <c r="J198" s="12">
        <v>2627970.29</v>
      </c>
    </row>
    <row r="199" spans="1:10">
      <c r="A199" s="10" t="s">
        <v>330</v>
      </c>
      <c r="B199" s="11" t="s">
        <v>413</v>
      </c>
      <c r="C199" s="10" t="s">
        <v>402</v>
      </c>
      <c r="D199" s="12">
        <v>2757.37</v>
      </c>
      <c r="E199" s="12">
        <v>33</v>
      </c>
      <c r="F199" s="12" t="s">
        <v>408</v>
      </c>
      <c r="G199" s="12" t="s">
        <v>432</v>
      </c>
      <c r="H199" s="12" t="s">
        <v>399</v>
      </c>
      <c r="I199" s="12">
        <f t="shared" si="3"/>
        <v>10592</v>
      </c>
      <c r="J199" s="12">
        <v>2667866.8199999998</v>
      </c>
    </row>
    <row r="200" spans="1:10">
      <c r="A200" s="10" t="s">
        <v>393</v>
      </c>
      <c r="B200" s="11" t="s">
        <v>415</v>
      </c>
      <c r="C200" s="10" t="s">
        <v>401</v>
      </c>
      <c r="D200" s="12">
        <v>1302.3599999999999</v>
      </c>
      <c r="E200" s="12">
        <v>67</v>
      </c>
      <c r="F200" s="12" t="s">
        <v>411</v>
      </c>
      <c r="G200" s="12" t="s">
        <v>433</v>
      </c>
      <c r="H200" s="12" t="s">
        <v>395</v>
      </c>
      <c r="I200" s="12">
        <f t="shared" si="3"/>
        <v>10626</v>
      </c>
      <c r="J200" s="12">
        <v>1439639.71</v>
      </c>
    </row>
    <row r="201" spans="1:10">
      <c r="A201" s="10" t="s">
        <v>394</v>
      </c>
      <c r="B201" s="11" t="s">
        <v>413</v>
      </c>
      <c r="C201" s="10" t="s">
        <v>400</v>
      </c>
      <c r="D201" s="12">
        <v>306.76</v>
      </c>
      <c r="E201" s="12">
        <v>41</v>
      </c>
      <c r="F201" s="12" t="s">
        <v>410</v>
      </c>
      <c r="G201" s="12" t="s">
        <v>433</v>
      </c>
      <c r="H201" s="12" t="s">
        <v>397</v>
      </c>
      <c r="I201" s="12">
        <f t="shared" si="3"/>
        <v>10600</v>
      </c>
      <c r="J201" s="12">
        <v>2026845.04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B4B15-2E5E-491C-8452-8083ABBADD18}">
  <sheetPr>
    <tabColor rgb="FFFF0000"/>
  </sheetPr>
  <dimension ref="B8:N172"/>
  <sheetViews>
    <sheetView topLeftCell="A133" zoomScale="45" zoomScaleNormal="83" workbookViewId="0">
      <selection activeCell="F143" sqref="F143"/>
    </sheetView>
  </sheetViews>
  <sheetFormatPr defaultRowHeight="14.4"/>
  <cols>
    <col min="1" max="1" width="16.88671875" bestFit="1" customWidth="1"/>
    <col min="2" max="2" width="19.88671875" bestFit="1" customWidth="1"/>
    <col min="3" max="3" width="17.44140625" bestFit="1" customWidth="1"/>
    <col min="4" max="4" width="14.21875" bestFit="1" customWidth="1"/>
    <col min="5" max="5" width="14.44140625" bestFit="1" customWidth="1"/>
    <col min="6" max="6" width="14.21875" bestFit="1" customWidth="1"/>
    <col min="7" max="7" width="14.6640625" bestFit="1" customWidth="1"/>
    <col min="8" max="8" width="13.6640625" bestFit="1" customWidth="1"/>
    <col min="9" max="9" width="13.21875" bestFit="1" customWidth="1"/>
    <col min="10" max="11" width="14.44140625" bestFit="1" customWidth="1"/>
    <col min="12" max="12" width="14.21875" bestFit="1" customWidth="1"/>
    <col min="13" max="14" width="14.44140625" bestFit="1" customWidth="1"/>
    <col min="15" max="15" width="16.44140625" bestFit="1" customWidth="1"/>
    <col min="17" max="17" width="17.6640625" bestFit="1" customWidth="1"/>
    <col min="18" max="18" width="16.77734375" bestFit="1" customWidth="1"/>
    <col min="19" max="19" width="20.21875" bestFit="1" customWidth="1"/>
  </cols>
  <sheetData>
    <row r="8" spans="2:3">
      <c r="B8" s="14" t="s">
        <v>439</v>
      </c>
      <c r="C8" t="s">
        <v>533</v>
      </c>
    </row>
    <row r="9" spans="2:3">
      <c r="B9" s="16" t="s">
        <v>432</v>
      </c>
      <c r="C9">
        <v>3464</v>
      </c>
    </row>
    <row r="10" spans="2:3">
      <c r="B10" s="17" t="s">
        <v>413</v>
      </c>
      <c r="C10">
        <v>759</v>
      </c>
    </row>
    <row r="11" spans="2:3">
      <c r="B11" s="17" t="s">
        <v>416</v>
      </c>
      <c r="C11">
        <v>657</v>
      </c>
    </row>
    <row r="12" spans="2:3">
      <c r="B12" s="17" t="s">
        <v>415</v>
      </c>
      <c r="C12">
        <v>975</v>
      </c>
    </row>
    <row r="13" spans="2:3">
      <c r="B13" s="17" t="s">
        <v>414</v>
      </c>
      <c r="C13">
        <v>1073</v>
      </c>
    </row>
    <row r="14" spans="2:3">
      <c r="B14" s="16" t="s">
        <v>434</v>
      </c>
      <c r="C14">
        <v>1969</v>
      </c>
    </row>
    <row r="15" spans="2:3">
      <c r="B15" s="17" t="s">
        <v>413</v>
      </c>
      <c r="C15">
        <v>330</v>
      </c>
    </row>
    <row r="16" spans="2:3">
      <c r="B16" s="17" t="s">
        <v>416</v>
      </c>
      <c r="C16">
        <v>669</v>
      </c>
    </row>
    <row r="17" spans="2:3">
      <c r="B17" s="17" t="s">
        <v>415</v>
      </c>
      <c r="C17">
        <v>358</v>
      </c>
    </row>
    <row r="18" spans="2:3">
      <c r="B18" s="17" t="s">
        <v>414</v>
      </c>
      <c r="C18">
        <v>612</v>
      </c>
    </row>
    <row r="19" spans="2:3">
      <c r="B19" s="16" t="s">
        <v>433</v>
      </c>
      <c r="C19">
        <v>2424</v>
      </c>
    </row>
    <row r="20" spans="2:3">
      <c r="B20" s="17" t="s">
        <v>413</v>
      </c>
      <c r="C20">
        <v>633</v>
      </c>
    </row>
    <row r="21" spans="2:3">
      <c r="B21" s="17" t="s">
        <v>416</v>
      </c>
      <c r="C21">
        <v>405</v>
      </c>
    </row>
    <row r="22" spans="2:3">
      <c r="B22" s="17" t="s">
        <v>415</v>
      </c>
      <c r="C22">
        <v>493</v>
      </c>
    </row>
    <row r="23" spans="2:3">
      <c r="B23" s="17" t="s">
        <v>414</v>
      </c>
      <c r="C23">
        <v>893</v>
      </c>
    </row>
    <row r="24" spans="2:3">
      <c r="B24" s="16" t="s">
        <v>435</v>
      </c>
      <c r="C24">
        <v>2497</v>
      </c>
    </row>
    <row r="25" spans="2:3">
      <c r="B25" s="17" t="s">
        <v>413</v>
      </c>
      <c r="C25">
        <v>798</v>
      </c>
    </row>
    <row r="26" spans="2:3">
      <c r="B26" s="17" t="s">
        <v>416</v>
      </c>
      <c r="C26">
        <v>497</v>
      </c>
    </row>
    <row r="27" spans="2:3">
      <c r="B27" s="17" t="s">
        <v>415</v>
      </c>
      <c r="C27">
        <v>442</v>
      </c>
    </row>
    <row r="28" spans="2:3">
      <c r="B28" s="17" t="s">
        <v>414</v>
      </c>
      <c r="C28">
        <v>760</v>
      </c>
    </row>
    <row r="37" spans="2:3">
      <c r="B37" s="14" t="s">
        <v>439</v>
      </c>
      <c r="C37" t="s">
        <v>502</v>
      </c>
    </row>
    <row r="38" spans="2:3">
      <c r="B38" s="16" t="s">
        <v>413</v>
      </c>
      <c r="C38">
        <v>519911</v>
      </c>
    </row>
    <row r="39" spans="2:3">
      <c r="B39" s="17" t="s">
        <v>398</v>
      </c>
      <c r="C39">
        <v>127260</v>
      </c>
    </row>
    <row r="40" spans="2:3">
      <c r="B40" s="17" t="s">
        <v>396</v>
      </c>
      <c r="C40">
        <v>127476</v>
      </c>
    </row>
    <row r="41" spans="2:3">
      <c r="B41" s="17" t="s">
        <v>395</v>
      </c>
      <c r="C41">
        <v>63626</v>
      </c>
    </row>
    <row r="42" spans="2:3">
      <c r="B42" s="17" t="s">
        <v>397</v>
      </c>
      <c r="C42">
        <v>84857</v>
      </c>
    </row>
    <row r="43" spans="2:3">
      <c r="B43" s="17" t="s">
        <v>399</v>
      </c>
      <c r="C43">
        <v>116692</v>
      </c>
    </row>
    <row r="44" spans="2:3">
      <c r="B44" s="16" t="s">
        <v>416</v>
      </c>
      <c r="C44">
        <v>477383</v>
      </c>
    </row>
    <row r="45" spans="2:3">
      <c r="B45" s="17" t="s">
        <v>398</v>
      </c>
      <c r="C45">
        <v>127197</v>
      </c>
    </row>
    <row r="46" spans="2:3">
      <c r="B46" s="17" t="s">
        <v>396</v>
      </c>
      <c r="C46">
        <v>116547</v>
      </c>
    </row>
    <row r="47" spans="2:3">
      <c r="B47" s="17" t="s">
        <v>395</v>
      </c>
      <c r="C47">
        <v>63669</v>
      </c>
    </row>
    <row r="48" spans="2:3">
      <c r="B48" s="17" t="s">
        <v>397</v>
      </c>
      <c r="C48">
        <v>74314</v>
      </c>
    </row>
    <row r="49" spans="2:3">
      <c r="B49" s="17" t="s">
        <v>399</v>
      </c>
      <c r="C49">
        <v>95656</v>
      </c>
    </row>
    <row r="50" spans="2:3">
      <c r="B50" s="16" t="s">
        <v>415</v>
      </c>
      <c r="C50">
        <v>498541</v>
      </c>
    </row>
    <row r="51" spans="2:3">
      <c r="B51" s="17" t="s">
        <v>398</v>
      </c>
      <c r="C51">
        <v>84817</v>
      </c>
    </row>
    <row r="52" spans="2:3">
      <c r="B52" s="17" t="s">
        <v>396</v>
      </c>
      <c r="C52">
        <v>106069</v>
      </c>
    </row>
    <row r="53" spans="2:3">
      <c r="B53" s="17" t="s">
        <v>395</v>
      </c>
      <c r="C53">
        <v>84898</v>
      </c>
    </row>
    <row r="54" spans="2:3">
      <c r="B54" s="17" t="s">
        <v>397</v>
      </c>
      <c r="C54">
        <v>127343</v>
      </c>
    </row>
    <row r="55" spans="2:3">
      <c r="B55" s="17" t="s">
        <v>399</v>
      </c>
      <c r="C55">
        <v>95414</v>
      </c>
    </row>
    <row r="56" spans="2:3">
      <c r="B56" s="16" t="s">
        <v>414</v>
      </c>
      <c r="C56">
        <v>626319</v>
      </c>
    </row>
    <row r="57" spans="2:3">
      <c r="B57" s="17" t="s">
        <v>398</v>
      </c>
      <c r="C57">
        <v>116677</v>
      </c>
    </row>
    <row r="58" spans="2:3">
      <c r="B58" s="17" t="s">
        <v>396</v>
      </c>
      <c r="C58">
        <v>116778</v>
      </c>
    </row>
    <row r="59" spans="2:3">
      <c r="B59" s="17" t="s">
        <v>395</v>
      </c>
      <c r="C59">
        <v>137994</v>
      </c>
    </row>
    <row r="60" spans="2:3">
      <c r="B60" s="17" t="s">
        <v>397</v>
      </c>
      <c r="C60">
        <v>127450</v>
      </c>
    </row>
    <row r="61" spans="2:3">
      <c r="B61" s="17" t="s">
        <v>399</v>
      </c>
      <c r="C61">
        <v>127420</v>
      </c>
    </row>
    <row r="66" spans="2:8">
      <c r="C66" s="14" t="s">
        <v>534</v>
      </c>
    </row>
    <row r="67" spans="2:8">
      <c r="B67" s="14" t="s">
        <v>535</v>
      </c>
      <c r="C67" t="s">
        <v>398</v>
      </c>
      <c r="D67" t="s">
        <v>396</v>
      </c>
      <c r="E67" t="s">
        <v>395</v>
      </c>
      <c r="F67" t="s">
        <v>397</v>
      </c>
      <c r="G67" t="s">
        <v>399</v>
      </c>
      <c r="H67" t="s">
        <v>501</v>
      </c>
    </row>
    <row r="68" spans="2:8">
      <c r="B68" s="16" t="s">
        <v>505</v>
      </c>
      <c r="C68">
        <v>1065672</v>
      </c>
      <c r="D68">
        <v>1113323</v>
      </c>
      <c r="E68">
        <v>771872</v>
      </c>
      <c r="F68">
        <v>876206</v>
      </c>
      <c r="G68">
        <v>933301</v>
      </c>
      <c r="H68">
        <v>4760374</v>
      </c>
    </row>
    <row r="69" spans="2:8">
      <c r="B69" s="16" t="s">
        <v>506</v>
      </c>
      <c r="C69">
        <v>628569</v>
      </c>
      <c r="D69">
        <v>716660</v>
      </c>
      <c r="E69">
        <v>529134</v>
      </c>
      <c r="F69">
        <v>664133</v>
      </c>
      <c r="G69">
        <v>903178</v>
      </c>
      <c r="H69">
        <v>3441674</v>
      </c>
    </row>
    <row r="70" spans="2:8">
      <c r="B70" s="16" t="s">
        <v>507</v>
      </c>
      <c r="C70">
        <v>763561</v>
      </c>
      <c r="D70">
        <v>991789</v>
      </c>
      <c r="E70">
        <v>686485</v>
      </c>
      <c r="F70">
        <v>984390</v>
      </c>
      <c r="G70">
        <v>952259</v>
      </c>
      <c r="H70">
        <v>4378484</v>
      </c>
    </row>
    <row r="71" spans="2:8">
      <c r="B71" s="16" t="s">
        <v>508</v>
      </c>
      <c r="C71">
        <v>809974</v>
      </c>
      <c r="D71">
        <v>755974</v>
      </c>
      <c r="E71">
        <v>667015</v>
      </c>
      <c r="F71">
        <v>749500</v>
      </c>
      <c r="G71">
        <v>921812</v>
      </c>
      <c r="H71">
        <v>3904275</v>
      </c>
    </row>
    <row r="72" spans="2:8">
      <c r="B72" s="16" t="s">
        <v>509</v>
      </c>
      <c r="C72">
        <v>1071168</v>
      </c>
      <c r="D72">
        <v>836424</v>
      </c>
      <c r="E72">
        <v>717217</v>
      </c>
      <c r="F72">
        <v>802077</v>
      </c>
      <c r="G72">
        <v>918195</v>
      </c>
      <c r="H72">
        <v>4345081</v>
      </c>
    </row>
    <row r="73" spans="2:8">
      <c r="B73" s="16" t="s">
        <v>510</v>
      </c>
      <c r="C73">
        <v>887911</v>
      </c>
      <c r="D73">
        <v>1032897</v>
      </c>
      <c r="E73">
        <v>819809</v>
      </c>
      <c r="F73">
        <v>989555</v>
      </c>
      <c r="G73">
        <v>1106355</v>
      </c>
      <c r="H73">
        <v>4836527</v>
      </c>
    </row>
    <row r="74" spans="2:8">
      <c r="B74" s="16" t="s">
        <v>511</v>
      </c>
      <c r="C74">
        <v>744655</v>
      </c>
      <c r="D74">
        <v>523384</v>
      </c>
      <c r="E74">
        <v>403728</v>
      </c>
      <c r="F74">
        <v>713329</v>
      </c>
      <c r="G74">
        <v>564759</v>
      </c>
      <c r="H74">
        <v>2949855</v>
      </c>
    </row>
    <row r="75" spans="2:8">
      <c r="B75" s="16" t="s">
        <v>512</v>
      </c>
      <c r="C75">
        <v>805864</v>
      </c>
      <c r="D75">
        <v>681695</v>
      </c>
      <c r="E75">
        <v>425026</v>
      </c>
      <c r="F75">
        <v>588769</v>
      </c>
      <c r="G75">
        <v>937788</v>
      </c>
      <c r="H75">
        <v>3439142</v>
      </c>
    </row>
    <row r="76" spans="2:8">
      <c r="B76" s="16" t="s">
        <v>513</v>
      </c>
      <c r="C76">
        <v>1088658</v>
      </c>
      <c r="D76">
        <v>1139676</v>
      </c>
      <c r="E76">
        <v>631995</v>
      </c>
      <c r="F76">
        <v>1049271</v>
      </c>
      <c r="G76">
        <v>951306</v>
      </c>
      <c r="H76">
        <v>4860906</v>
      </c>
    </row>
    <row r="77" spans="2:8">
      <c r="B77" s="16" t="s">
        <v>514</v>
      </c>
      <c r="C77">
        <v>924284</v>
      </c>
      <c r="D77">
        <v>647852</v>
      </c>
      <c r="E77">
        <v>474882</v>
      </c>
      <c r="F77">
        <v>710198</v>
      </c>
      <c r="G77">
        <v>558229</v>
      </c>
      <c r="H77">
        <v>3315445</v>
      </c>
    </row>
    <row r="78" spans="2:8">
      <c r="B78" s="16" t="s">
        <v>515</v>
      </c>
      <c r="C78">
        <v>975296</v>
      </c>
      <c r="D78">
        <v>956116</v>
      </c>
      <c r="E78">
        <v>792814</v>
      </c>
      <c r="F78">
        <v>964940</v>
      </c>
      <c r="G78">
        <v>1026441</v>
      </c>
      <c r="H78">
        <v>4715607</v>
      </c>
    </row>
    <row r="79" spans="2:8">
      <c r="B79" s="16" t="s">
        <v>516</v>
      </c>
      <c r="C79">
        <v>1106012</v>
      </c>
      <c r="D79">
        <v>1038629</v>
      </c>
      <c r="E79">
        <v>854111</v>
      </c>
      <c r="F79">
        <v>816121</v>
      </c>
      <c r="G79">
        <v>1173886</v>
      </c>
      <c r="H79">
        <v>4988759</v>
      </c>
    </row>
    <row r="119" spans="2:14">
      <c r="B119" s="14" t="s">
        <v>439</v>
      </c>
      <c r="C119" t="s">
        <v>505</v>
      </c>
      <c r="D119" t="s">
        <v>506</v>
      </c>
      <c r="E119" t="s">
        <v>507</v>
      </c>
      <c r="F119" t="s">
        <v>508</v>
      </c>
      <c r="G119" t="s">
        <v>509</v>
      </c>
      <c r="H119" t="s">
        <v>510</v>
      </c>
      <c r="I119" t="s">
        <v>511</v>
      </c>
      <c r="J119" t="s">
        <v>512</v>
      </c>
      <c r="K119" t="s">
        <v>513</v>
      </c>
      <c r="L119" t="s">
        <v>514</v>
      </c>
      <c r="M119" t="s">
        <v>515</v>
      </c>
      <c r="N119" t="s">
        <v>516</v>
      </c>
    </row>
    <row r="120" spans="2:14">
      <c r="B120" s="16" t="s">
        <v>411</v>
      </c>
      <c r="C120">
        <v>1320750</v>
      </c>
      <c r="D120">
        <v>828483</v>
      </c>
      <c r="E120">
        <v>1324537</v>
      </c>
      <c r="F120">
        <v>1034890</v>
      </c>
      <c r="G120">
        <v>1148161</v>
      </c>
      <c r="H120">
        <v>1330402</v>
      </c>
      <c r="I120">
        <v>959777</v>
      </c>
      <c r="J120">
        <v>968115</v>
      </c>
      <c r="K120">
        <v>1167948</v>
      </c>
      <c r="L120">
        <v>927817</v>
      </c>
      <c r="M120">
        <v>1322020</v>
      </c>
      <c r="N120">
        <v>1440421</v>
      </c>
    </row>
    <row r="121" spans="2:14">
      <c r="B121" s="16" t="s">
        <v>408</v>
      </c>
      <c r="C121">
        <v>1197429</v>
      </c>
      <c r="D121">
        <v>868223</v>
      </c>
      <c r="E121">
        <v>895065</v>
      </c>
      <c r="F121">
        <v>919303</v>
      </c>
      <c r="G121">
        <v>870486</v>
      </c>
      <c r="H121">
        <v>1132774</v>
      </c>
      <c r="I121">
        <v>596295</v>
      </c>
      <c r="J121">
        <v>709818</v>
      </c>
      <c r="K121">
        <v>1335145</v>
      </c>
      <c r="L121">
        <v>603487</v>
      </c>
      <c r="M121">
        <v>1062494</v>
      </c>
      <c r="N121">
        <v>1025122</v>
      </c>
    </row>
    <row r="122" spans="2:14">
      <c r="B122" s="16" t="s">
        <v>409</v>
      </c>
      <c r="C122">
        <v>935607</v>
      </c>
      <c r="D122">
        <v>738073</v>
      </c>
      <c r="E122">
        <v>817166</v>
      </c>
      <c r="F122">
        <v>750122</v>
      </c>
      <c r="G122">
        <v>923412</v>
      </c>
      <c r="H122">
        <v>896181</v>
      </c>
      <c r="I122">
        <v>477679</v>
      </c>
      <c r="J122">
        <v>821734</v>
      </c>
      <c r="K122">
        <v>928597</v>
      </c>
      <c r="L122">
        <v>866723</v>
      </c>
      <c r="M122">
        <v>875000</v>
      </c>
      <c r="N122">
        <v>1054866</v>
      </c>
    </row>
    <row r="123" spans="2:14">
      <c r="B123" s="16" t="s">
        <v>410</v>
      </c>
      <c r="C123">
        <v>1306588</v>
      </c>
      <c r="D123">
        <v>1006895</v>
      </c>
      <c r="E123">
        <v>1341716</v>
      </c>
      <c r="F123">
        <v>1199960</v>
      </c>
      <c r="G123">
        <v>1403022</v>
      </c>
      <c r="H123">
        <v>1477170</v>
      </c>
      <c r="I123">
        <v>916104</v>
      </c>
      <c r="J123">
        <v>939475</v>
      </c>
      <c r="K123">
        <v>1429216</v>
      </c>
      <c r="L123">
        <v>917418</v>
      </c>
      <c r="M123">
        <v>1456093</v>
      </c>
      <c r="N123">
        <v>1468350</v>
      </c>
    </row>
    <row r="138" spans="2:3">
      <c r="B138" s="14" t="s">
        <v>439</v>
      </c>
      <c r="C138" t="s">
        <v>438</v>
      </c>
    </row>
    <row r="139" spans="2:3">
      <c r="B139" s="16" t="s">
        <v>401</v>
      </c>
      <c r="C139">
        <v>106292608.92</v>
      </c>
    </row>
    <row r="140" spans="2:3">
      <c r="B140" s="16" t="s">
        <v>402</v>
      </c>
      <c r="C140">
        <v>152347357.62999994</v>
      </c>
    </row>
    <row r="141" spans="2:3">
      <c r="B141" s="16" t="s">
        <v>400</v>
      </c>
      <c r="C141">
        <v>97129158.340000004</v>
      </c>
    </row>
    <row r="142" spans="2:3">
      <c r="B142" s="16" t="s">
        <v>403</v>
      </c>
      <c r="C142">
        <v>113534922.27000001</v>
      </c>
    </row>
    <row r="158" spans="2:6">
      <c r="B158" s="14" t="s">
        <v>439</v>
      </c>
      <c r="C158" t="s">
        <v>438</v>
      </c>
      <c r="E158" t="s">
        <v>530</v>
      </c>
      <c r="F158" s="59">
        <v>105289244.31999998</v>
      </c>
    </row>
    <row r="159" spans="2:6">
      <c r="B159" s="16" t="s">
        <v>530</v>
      </c>
      <c r="C159">
        <v>105289244.31999998</v>
      </c>
      <c r="E159" t="s">
        <v>531</v>
      </c>
      <c r="F159" s="59">
        <v>94018758.120000005</v>
      </c>
    </row>
    <row r="160" spans="2:6">
      <c r="B160" s="16" t="s">
        <v>531</v>
      </c>
      <c r="C160">
        <v>94018758.120000005</v>
      </c>
      <c r="E160" t="s">
        <v>528</v>
      </c>
      <c r="F160" s="59">
        <v>103942221.04999998</v>
      </c>
    </row>
    <row r="161" spans="2:7">
      <c r="B161" s="16" t="s">
        <v>528</v>
      </c>
      <c r="C161">
        <v>103942221.04999998</v>
      </c>
      <c r="E161" t="s">
        <v>529</v>
      </c>
      <c r="F161" s="59">
        <v>92929157.620000035</v>
      </c>
    </row>
    <row r="162" spans="2:7">
      <c r="B162" s="16" t="s">
        <v>529</v>
      </c>
      <c r="C162">
        <v>92929157.620000035</v>
      </c>
      <c r="E162" t="s">
        <v>395</v>
      </c>
      <c r="F162" s="59">
        <v>73124666.049999997</v>
      </c>
    </row>
    <row r="163" spans="2:7">
      <c r="B163" s="16" t="s">
        <v>395</v>
      </c>
      <c r="C163">
        <v>73124666.049999997</v>
      </c>
    </row>
    <row r="172" spans="2:7">
      <c r="G172" t="s">
        <v>536</v>
      </c>
    </row>
  </sheetData>
  <phoneticPr fontId="5" type="noConversion"/>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D5D78-C761-4B98-8F55-4C482F25E8E9}">
  <sheetPr>
    <tabColor theme="3" tint="0.39997558519241921"/>
  </sheetPr>
  <dimension ref="A1:AV209"/>
  <sheetViews>
    <sheetView topLeftCell="Z2" zoomScale="46" zoomScaleNormal="93" workbookViewId="0">
      <selection activeCell="AT174" sqref="AT174"/>
    </sheetView>
  </sheetViews>
  <sheetFormatPr defaultRowHeight="14.4"/>
  <cols>
    <col min="2" max="2" width="10.21875" bestFit="1" customWidth="1"/>
    <col min="3" max="14" width="10.6640625" bestFit="1" customWidth="1"/>
    <col min="15" max="15" width="1.5546875" style="25" customWidth="1"/>
    <col min="16" max="22" width="14.77734375" bestFit="1" customWidth="1"/>
    <col min="23" max="23" width="14" bestFit="1" customWidth="1"/>
    <col min="24" max="25" width="14.77734375" bestFit="1" customWidth="1"/>
    <col min="26" max="26" width="14.109375" bestFit="1" customWidth="1"/>
    <col min="27" max="27" width="14.88671875" bestFit="1" customWidth="1"/>
    <col min="28" max="28" width="1.5546875" style="25" customWidth="1"/>
    <col min="29" max="32" width="13" customWidth="1"/>
    <col min="33" max="33" width="15.6640625" bestFit="1" customWidth="1"/>
    <col min="34" max="34" width="16.44140625" bestFit="1" customWidth="1"/>
    <col min="35" max="35" width="13.6640625" bestFit="1" customWidth="1"/>
    <col min="36" max="36" width="15.6640625" bestFit="1" customWidth="1"/>
    <col min="37" max="37" width="9.109375" customWidth="1"/>
    <col min="38" max="38" width="15.6640625" bestFit="1" customWidth="1"/>
    <col min="39" max="39" width="13.6640625" bestFit="1" customWidth="1"/>
    <col min="40" max="40" width="16" customWidth="1"/>
    <col min="41" max="41" width="1.77734375" style="25" customWidth="1"/>
    <col min="42" max="43" width="14.6640625" customWidth="1"/>
    <col min="44" max="44" width="17.88671875" bestFit="1" customWidth="1"/>
    <col min="45" max="45" width="16.77734375" customWidth="1"/>
    <col min="46" max="46" width="25.33203125" customWidth="1"/>
    <col min="48" max="48" width="17.88671875" customWidth="1"/>
  </cols>
  <sheetData>
    <row r="1" spans="1:48" ht="14.4" customHeight="1">
      <c r="E1" s="64" t="s">
        <v>491</v>
      </c>
      <c r="F1" s="65"/>
      <c r="G1" s="65"/>
      <c r="H1" s="65"/>
      <c r="I1" s="65"/>
      <c r="J1" s="65"/>
      <c r="K1" s="65"/>
      <c r="S1" s="64" t="s">
        <v>493</v>
      </c>
      <c r="T1" s="65"/>
      <c r="U1" s="65"/>
      <c r="V1" s="65"/>
      <c r="W1" s="65"/>
      <c r="X1" s="65"/>
      <c r="Y1" s="65"/>
      <c r="AE1" s="60" t="s">
        <v>492</v>
      </c>
      <c r="AF1" s="61"/>
      <c r="AG1" s="61"/>
      <c r="AH1" s="61"/>
      <c r="AI1" s="61"/>
      <c r="AJ1" s="61"/>
      <c r="AK1" s="61"/>
      <c r="AL1" s="61"/>
      <c r="AM1" s="61"/>
    </row>
    <row r="2" spans="1:48" ht="14.4" customHeight="1">
      <c r="E2" s="65"/>
      <c r="F2" s="65"/>
      <c r="G2" s="65"/>
      <c r="H2" s="65"/>
      <c r="I2" s="65"/>
      <c r="J2" s="65"/>
      <c r="K2" s="65"/>
      <c r="S2" s="66"/>
      <c r="T2" s="66"/>
      <c r="U2" s="66"/>
      <c r="V2" s="66"/>
      <c r="W2" s="66"/>
      <c r="X2" s="66"/>
      <c r="Y2" s="66"/>
      <c r="AE2" s="62"/>
      <c r="AF2" s="62"/>
      <c r="AG2" s="62"/>
      <c r="AH2" s="62"/>
      <c r="AI2" s="62"/>
      <c r="AJ2" s="62"/>
      <c r="AK2" s="62"/>
      <c r="AL2" s="62"/>
      <c r="AM2" s="62"/>
    </row>
    <row r="3" spans="1:48" ht="14.4" customHeight="1">
      <c r="B3" s="32"/>
      <c r="C3" s="32"/>
      <c r="D3" s="32"/>
      <c r="E3" s="32"/>
      <c r="F3" s="32"/>
      <c r="G3" s="32"/>
      <c r="H3" s="32"/>
      <c r="I3" s="32"/>
      <c r="J3" s="32"/>
      <c r="K3" s="32"/>
      <c r="L3" s="32"/>
      <c r="M3" s="32"/>
      <c r="S3" s="31"/>
      <c r="T3" s="31"/>
      <c r="U3" s="31"/>
      <c r="V3" s="31"/>
      <c r="W3" s="31"/>
      <c r="X3" s="31"/>
      <c r="Y3" s="31"/>
      <c r="AF3" s="33"/>
      <c r="AG3" s="33"/>
      <c r="AH3" s="33"/>
      <c r="AI3" s="33"/>
      <c r="AJ3" s="33"/>
      <c r="AK3" s="33"/>
      <c r="AL3" s="33"/>
      <c r="AM3" s="33"/>
      <c r="AN3" s="33"/>
    </row>
    <row r="4" spans="1:48">
      <c r="A4" s="5" t="s">
        <v>2</v>
      </c>
      <c r="B4" s="29" t="s">
        <v>8</v>
      </c>
      <c r="C4" s="30" t="s">
        <v>417</v>
      </c>
      <c r="D4" s="30" t="s">
        <v>418</v>
      </c>
      <c r="E4" s="30" t="s">
        <v>419</v>
      </c>
      <c r="F4" s="30" t="s">
        <v>420</v>
      </c>
      <c r="G4" s="30" t="s">
        <v>421</v>
      </c>
      <c r="H4" s="30" t="s">
        <v>422</v>
      </c>
      <c r="I4" s="30" t="s">
        <v>423</v>
      </c>
      <c r="J4" s="30" t="s">
        <v>424</v>
      </c>
      <c r="K4" s="30" t="s">
        <v>425</v>
      </c>
      <c r="L4" s="30" t="s">
        <v>426</v>
      </c>
      <c r="M4" s="30" t="s">
        <v>427</v>
      </c>
      <c r="N4" s="23" t="s">
        <v>428</v>
      </c>
      <c r="O4" s="24"/>
      <c r="P4" s="23" t="s">
        <v>464</v>
      </c>
      <c r="Q4" s="23" t="s">
        <v>465</v>
      </c>
      <c r="R4" s="23" t="s">
        <v>466</v>
      </c>
      <c r="S4" s="23" t="s">
        <v>467</v>
      </c>
      <c r="T4" s="23" t="s">
        <v>468</v>
      </c>
      <c r="U4" s="23" t="s">
        <v>469</v>
      </c>
      <c r="V4" s="23" t="s">
        <v>470</v>
      </c>
      <c r="W4" s="23" t="s">
        <v>471</v>
      </c>
      <c r="X4" s="23" t="s">
        <v>472</v>
      </c>
      <c r="Y4" s="23" t="s">
        <v>473</v>
      </c>
      <c r="Z4" s="23" t="s">
        <v>474</v>
      </c>
      <c r="AA4" s="23" t="s">
        <v>475</v>
      </c>
      <c r="AB4" s="24"/>
      <c r="AC4" s="23" t="s">
        <v>477</v>
      </c>
      <c r="AD4" s="23" t="s">
        <v>478</v>
      </c>
      <c r="AE4" s="23" t="s">
        <v>479</v>
      </c>
      <c r="AF4" s="23" t="s">
        <v>480</v>
      </c>
      <c r="AG4" s="23" t="s">
        <v>468</v>
      </c>
      <c r="AH4" s="23" t="s">
        <v>481</v>
      </c>
      <c r="AI4" s="23" t="s">
        <v>482</v>
      </c>
      <c r="AJ4" s="23" t="s">
        <v>483</v>
      </c>
      <c r="AK4" s="23" t="s">
        <v>484</v>
      </c>
      <c r="AL4" s="23" t="s">
        <v>485</v>
      </c>
      <c r="AM4" s="23" t="s">
        <v>486</v>
      </c>
      <c r="AN4" s="23" t="s">
        <v>487</v>
      </c>
      <c r="AO4" s="24"/>
      <c r="AP4" s="20" t="s">
        <v>496</v>
      </c>
      <c r="AQ4" s="13" t="s">
        <v>495</v>
      </c>
      <c r="AR4" s="20" t="s">
        <v>494</v>
      </c>
      <c r="AS4" s="20" t="s">
        <v>497</v>
      </c>
      <c r="AT4" s="20" t="s">
        <v>498</v>
      </c>
      <c r="AU4" s="20" t="s">
        <v>517</v>
      </c>
      <c r="AV4" s="20" t="s">
        <v>518</v>
      </c>
    </row>
    <row r="5" spans="1:48">
      <c r="A5" s="12" t="s">
        <v>395</v>
      </c>
      <c r="B5" s="12">
        <v>2219.2800000000002</v>
      </c>
      <c r="C5" s="19">
        <v>24115</v>
      </c>
      <c r="D5" s="19">
        <v>32462</v>
      </c>
      <c r="E5" s="19">
        <v>48259</v>
      </c>
      <c r="F5" s="19">
        <v>15394</v>
      </c>
      <c r="G5" s="19">
        <v>25312</v>
      </c>
      <c r="H5" s="19">
        <v>38904</v>
      </c>
      <c r="I5" s="19">
        <v>49437</v>
      </c>
      <c r="J5" s="19">
        <v>24642</v>
      </c>
      <c r="K5" s="19">
        <v>35004</v>
      </c>
      <c r="L5" s="19">
        <v>42603</v>
      </c>
      <c r="M5" s="19">
        <v>3347</v>
      </c>
      <c r="N5" s="19">
        <v>40737</v>
      </c>
      <c r="O5" s="24"/>
      <c r="P5" s="22">
        <f t="shared" ref="P5:P36" si="0">(C5-B5)/B5</f>
        <v>9.8661367650769609</v>
      </c>
      <c r="Q5" s="22">
        <f t="shared" ref="Q5:Q36" si="1">(D5-B5)/B5</f>
        <v>13.627266500847121</v>
      </c>
      <c r="R5" s="22">
        <f>(E5-B5)/B5</f>
        <v>20.745340831260588</v>
      </c>
      <c r="S5" s="22">
        <f>(F5-B5)/B5</f>
        <v>5.9364839046898084</v>
      </c>
      <c r="T5" s="22">
        <f>(G5-B5)/B5</f>
        <v>10.405500883169315</v>
      </c>
      <c r="U5" s="22">
        <f>(H5-B5)/B5</f>
        <v>16.530009732886342</v>
      </c>
      <c r="V5" s="22">
        <f>(I5-B5)/B5</f>
        <v>21.276143614145127</v>
      </c>
      <c r="W5" s="22">
        <f>(J5-B5)/B5</f>
        <v>10.10360116794636</v>
      </c>
      <c r="X5" s="22">
        <f>(K5-B5)/B5</f>
        <v>14.772683032334811</v>
      </c>
      <c r="Y5" s="22">
        <f>(L5-B5)/B5</f>
        <v>18.196766518870984</v>
      </c>
      <c r="Z5" s="22">
        <f>(M5-B5)/B5</f>
        <v>0.50814678634512078</v>
      </c>
      <c r="AA5" s="22">
        <f>(N5-B5)/B5</f>
        <v>17.35595328214556</v>
      </c>
      <c r="AB5" s="24"/>
      <c r="AC5" s="19">
        <f t="shared" ref="AC5:AC36" si="2">P5 /(C5 - P5)</f>
        <v>4.0929607863015286E-4</v>
      </c>
      <c r="AD5" s="19">
        <f t="shared" ref="AD5:AD36" si="3">Q5 / (D5 - Q5)</f>
        <v>4.1996763944894408E-4</v>
      </c>
      <c r="AE5" s="19">
        <f t="shared" ref="AE5:AE36" si="4">R5 / (E5 - R5)</f>
        <v>4.3005993848323199E-4</v>
      </c>
      <c r="AF5" s="19">
        <f t="shared" ref="AF5:AF36" si="5">S5 / (F5 - S5)</f>
        <v>3.8578498837624886E-4</v>
      </c>
      <c r="AG5" s="19">
        <f t="shared" ref="AG5:AG36" si="6">T5 / (G5 - T5)</f>
        <v>4.1125870085114704E-4</v>
      </c>
      <c r="AH5" s="19">
        <f t="shared" ref="AH5:AH36" si="7">U5 / (H5 - U5)</f>
        <v>4.2507290232621274E-4</v>
      </c>
      <c r="AI5" s="19">
        <f t="shared" ref="AI5:AI36" si="8">V5 / (I5 - V5)</f>
        <v>4.3055412232711169E-4</v>
      </c>
      <c r="AJ5" s="19">
        <f t="shared" ref="AJ5:AJ36" si="9">W5 / (J5 - W5)</f>
        <v>4.1018364986406133E-4</v>
      </c>
      <c r="AK5" s="19">
        <f t="shared" ref="AK5:AK36" si="10">X5 / (K5 - X5)</f>
        <v>4.2220660943749825E-4</v>
      </c>
      <c r="AL5" s="19">
        <f t="shared" ref="AL5:AL36" si="11">Y5 / (L5 - Y5)</f>
        <v>4.2730657739811458E-4</v>
      </c>
      <c r="AM5" s="19">
        <f t="shared" ref="AM5:AM36" si="12">Z5 / (M5 - Z5)</f>
        <v>1.5184462076521854E-4</v>
      </c>
      <c r="AN5" s="19">
        <f t="shared" ref="AN5:AN36" si="13">AA5 / (N5 - AA5)</f>
        <v>4.2623047643130146E-4</v>
      </c>
      <c r="AO5" s="24"/>
      <c r="AP5" s="36">
        <v>118820</v>
      </c>
      <c r="AQ5" s="36" t="s">
        <v>452</v>
      </c>
      <c r="AR5" s="34">
        <v>5290374</v>
      </c>
      <c r="AS5" s="34">
        <v>1116480.92710377</v>
      </c>
      <c r="AT5" s="35">
        <v>0.245629331068281</v>
      </c>
      <c r="AU5" s="35" t="s">
        <v>401</v>
      </c>
      <c r="AV5" s="35" t="s">
        <v>519</v>
      </c>
    </row>
    <row r="6" spans="1:48">
      <c r="A6" s="12" t="s">
        <v>396</v>
      </c>
      <c r="B6" s="12">
        <v>2314.79</v>
      </c>
      <c r="C6" s="19">
        <v>41887</v>
      </c>
      <c r="D6" s="19">
        <v>48561</v>
      </c>
      <c r="E6" s="19">
        <v>38835</v>
      </c>
      <c r="F6" s="19">
        <v>17855</v>
      </c>
      <c r="G6" s="19">
        <v>5013</v>
      </c>
      <c r="H6" s="19">
        <v>8356</v>
      </c>
      <c r="I6" s="19">
        <v>20358</v>
      </c>
      <c r="J6" s="19">
        <v>38147</v>
      </c>
      <c r="K6" s="19">
        <v>15592</v>
      </c>
      <c r="L6" s="19">
        <v>13627</v>
      </c>
      <c r="M6" s="19">
        <v>47894</v>
      </c>
      <c r="N6" s="19">
        <v>35454</v>
      </c>
      <c r="O6" s="24"/>
      <c r="P6" s="22">
        <f t="shared" si="0"/>
        <v>17.095377982451971</v>
      </c>
      <c r="Q6" s="22">
        <f t="shared" si="1"/>
        <v>19.978576890344264</v>
      </c>
      <c r="R6" s="22">
        <f t="shared" ref="R6:R69" si="14">(E6-B6)/B6</f>
        <v>15.776899848366375</v>
      </c>
      <c r="S6" s="22">
        <f t="shared" ref="S6:S69" si="15">(F6-B6)/B6</f>
        <v>6.7134426881056166</v>
      </c>
      <c r="T6" s="22">
        <f t="shared" ref="T6:T69" si="16">(G6-B6)/B6</f>
        <v>1.1656392156523918</v>
      </c>
      <c r="U6" s="22">
        <f t="shared" ref="U6:U69" si="17">(H6-B6)/B6</f>
        <v>2.609830697385076</v>
      </c>
      <c r="V6" s="22">
        <f t="shared" ref="V6:V69" si="18">(I6-B6)/B6</f>
        <v>7.7947502797229982</v>
      </c>
      <c r="W6" s="22">
        <f t="shared" ref="W6:W69" si="19">(J6-B6)/B6</f>
        <v>15.479680662176698</v>
      </c>
      <c r="X6" s="22">
        <f t="shared" ref="X6:X69" si="20">(K6-B6)/B6</f>
        <v>5.7358162079497488</v>
      </c>
      <c r="Y6" s="22">
        <f t="shared" ref="Y6:Y69" si="21">(L6-B6)/B6</f>
        <v>4.8869271078585959</v>
      </c>
      <c r="Z6" s="22">
        <f t="shared" ref="Z6:Z69" si="22">(M6-B6)/B6</f>
        <v>19.690429801407472</v>
      </c>
      <c r="AA6" s="22">
        <f t="shared" ref="AA6:AA69" si="23">(N6-B6)/B6</f>
        <v>14.316292190652284</v>
      </c>
      <c r="AB6" s="24"/>
      <c r="AC6" s="19">
        <f t="shared" si="2"/>
        <v>4.0829751433114707E-4</v>
      </c>
      <c r="AD6" s="19">
        <f t="shared" si="3"/>
        <v>4.1158130390788942E-4</v>
      </c>
      <c r="AE6" s="19">
        <f t="shared" si="4"/>
        <v>4.0641977320521772E-4</v>
      </c>
      <c r="AF6" s="19">
        <f t="shared" si="5"/>
        <v>3.7613933788816975E-4</v>
      </c>
      <c r="AG6" s="19">
        <f t="shared" si="6"/>
        <v>2.3257736224745673E-4</v>
      </c>
      <c r="AH6" s="19">
        <f t="shared" si="7"/>
        <v>3.1242772628720138E-4</v>
      </c>
      <c r="AI6" s="19">
        <f t="shared" si="8"/>
        <v>3.8303054854103451E-4</v>
      </c>
      <c r="AJ6" s="19">
        <f t="shared" si="9"/>
        <v>4.0595498245388375E-4</v>
      </c>
      <c r="AK6" s="19">
        <f t="shared" si="10"/>
        <v>3.6800455454324635E-4</v>
      </c>
      <c r="AL6" s="19">
        <f t="shared" si="11"/>
        <v>3.5874956269328937E-4</v>
      </c>
      <c r="AM6" s="19">
        <f t="shared" si="12"/>
        <v>4.1129428242793123E-4</v>
      </c>
      <c r="AN6" s="19">
        <f t="shared" si="13"/>
        <v>4.0396218850840377E-4</v>
      </c>
      <c r="AO6" s="24"/>
      <c r="AP6" s="36">
        <v>186790</v>
      </c>
      <c r="AQ6" s="36" t="s">
        <v>453</v>
      </c>
      <c r="AR6" s="34">
        <v>5241674</v>
      </c>
      <c r="AS6" s="34">
        <v>2116363.0849381699</v>
      </c>
      <c r="AT6" s="35">
        <v>0.28440412415079103</v>
      </c>
      <c r="AU6" s="35" t="s">
        <v>402</v>
      </c>
      <c r="AV6" s="35" t="s">
        <v>520</v>
      </c>
    </row>
    <row r="7" spans="1:48">
      <c r="A7" s="12" t="s">
        <v>397</v>
      </c>
      <c r="B7" s="12">
        <v>1539.29</v>
      </c>
      <c r="C7" s="19">
        <v>32734</v>
      </c>
      <c r="D7" s="19">
        <v>41747</v>
      </c>
      <c r="E7" s="19">
        <v>7183</v>
      </c>
      <c r="F7" s="19">
        <v>13853</v>
      </c>
      <c r="G7" s="19">
        <v>19403</v>
      </c>
      <c r="H7" s="19">
        <v>24483</v>
      </c>
      <c r="I7" s="19">
        <v>42632</v>
      </c>
      <c r="J7" s="19">
        <v>43382</v>
      </c>
      <c r="K7" s="19">
        <v>33773</v>
      </c>
      <c r="L7" s="19">
        <v>32651</v>
      </c>
      <c r="M7" s="19">
        <v>4020</v>
      </c>
      <c r="N7" s="19">
        <v>4742</v>
      </c>
      <c r="O7" s="24"/>
      <c r="P7" s="22">
        <f t="shared" si="0"/>
        <v>20.265648448310586</v>
      </c>
      <c r="Q7" s="22">
        <f t="shared" si="1"/>
        <v>26.120945370917759</v>
      </c>
      <c r="R7" s="22">
        <f t="shared" si="14"/>
        <v>3.6664371236089366</v>
      </c>
      <c r="S7" s="22">
        <f t="shared" si="15"/>
        <v>7.9996037134003339</v>
      </c>
      <c r="T7" s="22">
        <f t="shared" si="16"/>
        <v>11.605162120198273</v>
      </c>
      <c r="U7" s="22">
        <f t="shared" si="17"/>
        <v>14.905384950204315</v>
      </c>
      <c r="V7" s="22">
        <f t="shared" si="18"/>
        <v>26.695885765515271</v>
      </c>
      <c r="W7" s="22">
        <f t="shared" si="19"/>
        <v>27.183123388055531</v>
      </c>
      <c r="X7" s="22">
        <f t="shared" si="20"/>
        <v>20.940634968069695</v>
      </c>
      <c r="Y7" s="22">
        <f t="shared" si="21"/>
        <v>20.211727484749463</v>
      </c>
      <c r="Z7" s="22">
        <f t="shared" si="22"/>
        <v>1.6115936568158047</v>
      </c>
      <c r="AA7" s="22">
        <f t="shared" si="23"/>
        <v>2.0806410747812305</v>
      </c>
      <c r="AB7" s="24"/>
      <c r="AC7" s="19">
        <f t="shared" si="2"/>
        <v>6.1948441075328773E-4</v>
      </c>
      <c r="AD7" s="19">
        <f t="shared" si="3"/>
        <v>6.2608808737503203E-4</v>
      </c>
      <c r="AE7" s="19">
        <f t="shared" si="4"/>
        <v>5.1069324074419845E-4</v>
      </c>
      <c r="AF7" s="19">
        <f t="shared" si="5"/>
        <v>5.7779729031614375E-4</v>
      </c>
      <c r="AG7" s="19">
        <f t="shared" si="6"/>
        <v>5.9846969324395163E-4</v>
      </c>
      <c r="AH7" s="19">
        <f t="shared" si="7"/>
        <v>6.091763655775769E-4</v>
      </c>
      <c r="AI7" s="19">
        <f t="shared" si="8"/>
        <v>6.2658596906003873E-4</v>
      </c>
      <c r="AJ7" s="19">
        <f t="shared" si="9"/>
        <v>6.2699200103690574E-4</v>
      </c>
      <c r="AK7" s="19">
        <f t="shared" si="10"/>
        <v>6.204254010575952E-4</v>
      </c>
      <c r="AL7" s="19">
        <f t="shared" si="11"/>
        <v>6.1940665717149406E-4</v>
      </c>
      <c r="AM7" s="19">
        <f t="shared" si="12"/>
        <v>4.0105472489215842E-4</v>
      </c>
      <c r="AN7" s="19">
        <f t="shared" si="13"/>
        <v>4.3896128124277156E-4</v>
      </c>
      <c r="AO7" s="24"/>
      <c r="AP7" s="36">
        <v>110860</v>
      </c>
      <c r="AQ7" s="36" t="s">
        <v>454</v>
      </c>
      <c r="AR7" s="34">
        <v>5358484</v>
      </c>
      <c r="AS7" s="34">
        <v>1126104.5227034099</v>
      </c>
      <c r="AT7" s="35">
        <v>0.25631554673573198</v>
      </c>
      <c r="AU7" s="35" t="s">
        <v>400</v>
      </c>
      <c r="AV7" s="35" t="s">
        <v>521</v>
      </c>
    </row>
    <row r="8" spans="1:48">
      <c r="A8" s="12" t="s">
        <v>398</v>
      </c>
      <c r="B8" s="12">
        <v>1652.74</v>
      </c>
      <c r="C8" s="19">
        <v>26113</v>
      </c>
      <c r="D8" s="19">
        <v>28206</v>
      </c>
      <c r="E8" s="19">
        <v>45224</v>
      </c>
      <c r="F8" s="19">
        <v>44670</v>
      </c>
      <c r="G8" s="19">
        <v>14921</v>
      </c>
      <c r="H8" s="19">
        <v>5100</v>
      </c>
      <c r="I8" s="19">
        <v>28377</v>
      </c>
      <c r="J8" s="19">
        <v>39765</v>
      </c>
      <c r="K8" s="19">
        <v>40169</v>
      </c>
      <c r="L8" s="19">
        <v>8920</v>
      </c>
      <c r="M8" s="19">
        <v>12590</v>
      </c>
      <c r="N8" s="19">
        <v>22561</v>
      </c>
      <c r="O8" s="24"/>
      <c r="P8" s="22">
        <f t="shared" si="0"/>
        <v>14.799823323692776</v>
      </c>
      <c r="Q8" s="22">
        <f t="shared" si="1"/>
        <v>16.06620521074095</v>
      </c>
      <c r="R8" s="22">
        <f t="shared" si="14"/>
        <v>26.363045609109722</v>
      </c>
      <c r="S8" s="22">
        <f t="shared" si="15"/>
        <v>26.027844670063047</v>
      </c>
      <c r="T8" s="22">
        <f t="shared" si="16"/>
        <v>8.0280382879339758</v>
      </c>
      <c r="U8" s="22">
        <f t="shared" si="17"/>
        <v>2.0857848179386957</v>
      </c>
      <c r="V8" s="22">
        <f t="shared" si="18"/>
        <v>16.169669760518897</v>
      </c>
      <c r="W8" s="22">
        <f t="shared" si="19"/>
        <v>23.060045742222009</v>
      </c>
      <c r="X8" s="22">
        <f t="shared" si="20"/>
        <v>23.304488304270485</v>
      </c>
      <c r="Y8" s="22">
        <f t="shared" si="21"/>
        <v>4.3970981521594448</v>
      </c>
      <c r="Z8" s="22">
        <f t="shared" si="22"/>
        <v>6.6176531093819957</v>
      </c>
      <c r="AA8" s="22">
        <f t="shared" si="23"/>
        <v>12.650664956375472</v>
      </c>
      <c r="AB8" s="24"/>
      <c r="AC8" s="19">
        <f t="shared" si="2"/>
        <v>5.6708214449666247E-4</v>
      </c>
      <c r="AD8" s="19">
        <f t="shared" si="3"/>
        <v>5.6992702883575737E-4</v>
      </c>
      <c r="AE8" s="19">
        <f t="shared" si="4"/>
        <v>5.8328371537903127E-4</v>
      </c>
      <c r="AF8" s="19">
        <f t="shared" si="5"/>
        <v>5.8300915920976451E-4</v>
      </c>
      <c r="AG8" s="19">
        <f t="shared" si="6"/>
        <v>5.3832584870040388E-4</v>
      </c>
      <c r="AH8" s="19">
        <f t="shared" si="7"/>
        <v>4.0914474624289187E-4</v>
      </c>
      <c r="AI8" s="19">
        <f t="shared" si="8"/>
        <v>5.7014091520720149E-4</v>
      </c>
      <c r="AJ8" s="19">
        <f t="shared" si="9"/>
        <v>5.8024459220570727E-4</v>
      </c>
      <c r="AK8" s="19">
        <f t="shared" si="10"/>
        <v>5.8049780947203012E-4</v>
      </c>
      <c r="AL8" s="19">
        <f t="shared" si="11"/>
        <v>4.9319134113163631E-4</v>
      </c>
      <c r="AM8" s="19">
        <f t="shared" si="12"/>
        <v>5.259041589098048E-4</v>
      </c>
      <c r="AN8" s="19">
        <f t="shared" si="13"/>
        <v>5.610461665464079E-4</v>
      </c>
      <c r="AO8" s="24"/>
      <c r="AP8" s="36">
        <v>202805</v>
      </c>
      <c r="AQ8" s="36" t="s">
        <v>455</v>
      </c>
      <c r="AR8" s="34">
        <v>5284275</v>
      </c>
      <c r="AS8" s="34">
        <v>3106673.6190178702</v>
      </c>
      <c r="AT8" s="35">
        <v>0.35399826627460002</v>
      </c>
      <c r="AU8" s="35" t="s">
        <v>403</v>
      </c>
      <c r="AV8" s="35" t="s">
        <v>522</v>
      </c>
    </row>
    <row r="9" spans="1:48">
      <c r="A9" s="12" t="s">
        <v>397</v>
      </c>
      <c r="B9" s="12">
        <v>1566.29</v>
      </c>
      <c r="C9" s="19">
        <v>34638</v>
      </c>
      <c r="D9" s="19">
        <v>29892</v>
      </c>
      <c r="E9" s="19">
        <v>8486</v>
      </c>
      <c r="F9" s="19">
        <v>7773</v>
      </c>
      <c r="G9" s="19">
        <v>29574</v>
      </c>
      <c r="H9" s="19">
        <v>12507</v>
      </c>
      <c r="I9" s="19">
        <v>20160</v>
      </c>
      <c r="J9" s="19">
        <v>23217</v>
      </c>
      <c r="K9" s="19">
        <v>32313</v>
      </c>
      <c r="L9" s="19">
        <v>11015</v>
      </c>
      <c r="M9" s="19">
        <v>8434</v>
      </c>
      <c r="N9" s="19">
        <v>13179</v>
      </c>
      <c r="O9" s="24"/>
      <c r="P9" s="22">
        <f t="shared" si="0"/>
        <v>21.114678635501726</v>
      </c>
      <c r="Q9" s="22">
        <f t="shared" si="1"/>
        <v>18.084588422322813</v>
      </c>
      <c r="R9" s="22">
        <f t="shared" si="14"/>
        <v>4.4178983457724943</v>
      </c>
      <c r="S9" s="22">
        <f t="shared" si="15"/>
        <v>3.9626825172860709</v>
      </c>
      <c r="T9" s="22">
        <f t="shared" si="16"/>
        <v>17.881560885915125</v>
      </c>
      <c r="U9" s="22">
        <f t="shared" si="17"/>
        <v>6.9851113139967689</v>
      </c>
      <c r="V9" s="22">
        <f t="shared" si="18"/>
        <v>11.871179666600693</v>
      </c>
      <c r="W9" s="22">
        <f t="shared" si="19"/>
        <v>13.822925511878388</v>
      </c>
      <c r="X9" s="22">
        <f t="shared" si="20"/>
        <v>19.630279194785128</v>
      </c>
      <c r="Y9" s="22">
        <f t="shared" si="21"/>
        <v>6.0325418664487414</v>
      </c>
      <c r="Z9" s="22">
        <f t="shared" si="22"/>
        <v>4.3846988744102307</v>
      </c>
      <c r="AA9" s="22">
        <f t="shared" si="23"/>
        <v>7.4141506362167924</v>
      </c>
      <c r="AB9" s="24"/>
      <c r="AC9" s="19">
        <f t="shared" si="2"/>
        <v>6.0995316128197074E-4</v>
      </c>
      <c r="AD9" s="19">
        <f t="shared" si="3"/>
        <v>6.0536384913623034E-4</v>
      </c>
      <c r="AE9" s="19">
        <f t="shared" si="4"/>
        <v>5.2088139840217285E-4</v>
      </c>
      <c r="AF9" s="19">
        <f t="shared" si="5"/>
        <v>5.1006094517898912E-4</v>
      </c>
      <c r="AG9" s="19">
        <f t="shared" si="6"/>
        <v>6.0500369568999152E-4</v>
      </c>
      <c r="AH9" s="19">
        <f t="shared" si="7"/>
        <v>5.5880823952610841E-4</v>
      </c>
      <c r="AI9" s="19">
        <f t="shared" si="8"/>
        <v>5.8919514424686189E-4</v>
      </c>
      <c r="AJ9" s="19">
        <f t="shared" si="9"/>
        <v>5.9573417327736067E-4</v>
      </c>
      <c r="AK9" s="19">
        <f t="shared" si="10"/>
        <v>6.078733611419372E-4</v>
      </c>
      <c r="AL9" s="19">
        <f t="shared" si="11"/>
        <v>5.4796618205932019E-4</v>
      </c>
      <c r="AM9" s="19">
        <f t="shared" si="12"/>
        <v>5.2015408981056946E-4</v>
      </c>
      <c r="AN9" s="19">
        <f t="shared" si="13"/>
        <v>5.6288974775007162E-4</v>
      </c>
      <c r="AO9" s="24"/>
      <c r="AP9" s="36">
        <v>189770</v>
      </c>
      <c r="AQ9" s="36" t="s">
        <v>456</v>
      </c>
      <c r="AR9" s="34">
        <v>5125081</v>
      </c>
      <c r="AS9" s="34">
        <v>2145580.2703588302</v>
      </c>
      <c r="AT9" s="35">
        <v>0.29574376500961003</v>
      </c>
      <c r="AU9" s="19" t="s">
        <v>523</v>
      </c>
      <c r="AV9" s="49" t="s">
        <v>524</v>
      </c>
    </row>
    <row r="10" spans="1:48">
      <c r="A10" s="12" t="s">
        <v>398</v>
      </c>
      <c r="B10" s="12">
        <v>1784.77</v>
      </c>
      <c r="C10" s="19">
        <v>35478</v>
      </c>
      <c r="D10" s="19">
        <v>31702</v>
      </c>
      <c r="E10" s="19">
        <v>47216</v>
      </c>
      <c r="F10" s="19">
        <v>28755</v>
      </c>
      <c r="G10" s="19">
        <v>26882</v>
      </c>
      <c r="H10" s="19">
        <v>39080</v>
      </c>
      <c r="I10" s="19">
        <v>33482</v>
      </c>
      <c r="J10" s="19">
        <v>31172</v>
      </c>
      <c r="K10" s="19">
        <v>43662</v>
      </c>
      <c r="L10" s="19">
        <v>32731</v>
      </c>
      <c r="M10" s="19">
        <v>41881</v>
      </c>
      <c r="N10" s="19">
        <v>2620</v>
      </c>
      <c r="O10" s="24"/>
      <c r="P10" s="22">
        <f t="shared" si="0"/>
        <v>18.878191587711584</v>
      </c>
      <c r="Q10" s="22">
        <f t="shared" si="1"/>
        <v>16.762512816777512</v>
      </c>
      <c r="R10" s="22">
        <f t="shared" si="14"/>
        <v>25.454949377230683</v>
      </c>
      <c r="S10" s="22">
        <f t="shared" si="15"/>
        <v>15.111319665839297</v>
      </c>
      <c r="T10" s="22">
        <f t="shared" si="16"/>
        <v>14.061884724642391</v>
      </c>
      <c r="U10" s="22">
        <f t="shared" si="17"/>
        <v>20.896378805112146</v>
      </c>
      <c r="V10" s="22">
        <f t="shared" si="18"/>
        <v>17.759840203499611</v>
      </c>
      <c r="W10" s="22">
        <f t="shared" si="19"/>
        <v>16.465555785899582</v>
      </c>
      <c r="X10" s="22">
        <f t="shared" si="20"/>
        <v>23.463656381494538</v>
      </c>
      <c r="Y10" s="22">
        <f t="shared" si="21"/>
        <v>17.339057693708433</v>
      </c>
      <c r="Z10" s="22">
        <f t="shared" si="22"/>
        <v>22.465768698487761</v>
      </c>
      <c r="AA10" s="22">
        <f t="shared" si="23"/>
        <v>0.46797626584938118</v>
      </c>
      <c r="AB10" s="24"/>
      <c r="AC10" s="19">
        <f t="shared" si="2"/>
        <v>5.3239309449657434E-4</v>
      </c>
      <c r="AD10" s="19">
        <f t="shared" si="3"/>
        <v>5.2903226064055864E-4</v>
      </c>
      <c r="AE10" s="19">
        <f t="shared" si="4"/>
        <v>5.3940782735025341E-4</v>
      </c>
      <c r="AF10" s="19">
        <f t="shared" si="5"/>
        <v>5.2579604026718166E-4</v>
      </c>
      <c r="AG10" s="19">
        <f t="shared" si="6"/>
        <v>5.2337044488902265E-4</v>
      </c>
      <c r="AH10" s="19">
        <f t="shared" si="7"/>
        <v>5.3499381367710171E-4</v>
      </c>
      <c r="AI10" s="19">
        <f t="shared" si="8"/>
        <v>5.307109953399166E-4</v>
      </c>
      <c r="AJ10" s="19">
        <f t="shared" si="9"/>
        <v>5.2849537264020214E-4</v>
      </c>
      <c r="AK10" s="19">
        <f t="shared" si="10"/>
        <v>5.3768202023864967E-4</v>
      </c>
      <c r="AL10" s="19">
        <f t="shared" si="11"/>
        <v>5.3002498632872489E-4</v>
      </c>
      <c r="AM10" s="19">
        <f t="shared" si="12"/>
        <v>5.3670700876305461E-4</v>
      </c>
      <c r="AN10" s="19">
        <f t="shared" si="13"/>
        <v>1.7864880505727874E-4</v>
      </c>
      <c r="AO10" s="24"/>
      <c r="AP10" s="36">
        <v>119175</v>
      </c>
      <c r="AQ10" s="36" t="s">
        <v>457</v>
      </c>
      <c r="AR10" s="34">
        <v>5116527</v>
      </c>
      <c r="AS10" s="34">
        <v>1125544.09476381</v>
      </c>
      <c r="AT10" s="35">
        <v>0.22543590633633931</v>
      </c>
    </row>
    <row r="11" spans="1:48">
      <c r="A11" s="12" t="s">
        <v>397</v>
      </c>
      <c r="B11" s="12">
        <v>136.71</v>
      </c>
      <c r="C11" s="19">
        <v>34937</v>
      </c>
      <c r="D11" s="19">
        <v>13186</v>
      </c>
      <c r="E11" s="19">
        <v>36136</v>
      </c>
      <c r="F11" s="19">
        <v>6455</v>
      </c>
      <c r="G11" s="19">
        <v>23615</v>
      </c>
      <c r="H11" s="19">
        <v>23895</v>
      </c>
      <c r="I11" s="19">
        <v>13675</v>
      </c>
      <c r="J11" s="19">
        <v>22742</v>
      </c>
      <c r="K11" s="19">
        <v>10972</v>
      </c>
      <c r="L11" s="19">
        <v>46234</v>
      </c>
      <c r="M11" s="19">
        <v>4448</v>
      </c>
      <c r="N11" s="19">
        <v>7408</v>
      </c>
      <c r="O11" s="24"/>
      <c r="P11" s="22">
        <f t="shared" si="0"/>
        <v>254.55555555555554</v>
      </c>
      <c r="Q11" s="22">
        <f t="shared" si="1"/>
        <v>95.452344378611656</v>
      </c>
      <c r="R11" s="22">
        <f t="shared" si="14"/>
        <v>263.32594543193619</v>
      </c>
      <c r="S11" s="22">
        <f t="shared" si="15"/>
        <v>46.216736156828318</v>
      </c>
      <c r="T11" s="22">
        <f t="shared" si="16"/>
        <v>171.73791236924876</v>
      </c>
      <c r="U11" s="22">
        <f t="shared" si="17"/>
        <v>173.78604344963793</v>
      </c>
      <c r="V11" s="22">
        <f t="shared" si="18"/>
        <v>99.029259015434135</v>
      </c>
      <c r="W11" s="22">
        <f t="shared" si="19"/>
        <v>165.35213225074975</v>
      </c>
      <c r="X11" s="22">
        <f t="shared" si="20"/>
        <v>79.257479335820349</v>
      </c>
      <c r="Y11" s="22">
        <f t="shared" si="21"/>
        <v>337.19032989539903</v>
      </c>
      <c r="Z11" s="22">
        <f t="shared" si="22"/>
        <v>31.536025162753273</v>
      </c>
      <c r="AA11" s="22">
        <f t="shared" si="23"/>
        <v>53.187696584009942</v>
      </c>
      <c r="AB11" s="24"/>
      <c r="AC11" s="19">
        <f t="shared" si="2"/>
        <v>7.3396082552171765E-3</v>
      </c>
      <c r="AD11" s="19">
        <f t="shared" si="3"/>
        <v>7.2916998501298133E-3</v>
      </c>
      <c r="AE11" s="19">
        <f t="shared" si="4"/>
        <v>7.3405719638122147E-3</v>
      </c>
      <c r="AF11" s="19">
        <f t="shared" si="5"/>
        <v>7.2114681140134874E-3</v>
      </c>
      <c r="AG11" s="19">
        <f t="shared" si="6"/>
        <v>7.3256832486577007E-3</v>
      </c>
      <c r="AH11" s="19">
        <f t="shared" si="7"/>
        <v>7.3261867528347452E-3</v>
      </c>
      <c r="AI11" s="19">
        <f t="shared" si="8"/>
        <v>7.294451417494162E-3</v>
      </c>
      <c r="AJ11" s="19">
        <f t="shared" si="9"/>
        <v>7.3240338078247365E-3</v>
      </c>
      <c r="AK11" s="19">
        <f t="shared" si="10"/>
        <v>7.276173028552194E-3</v>
      </c>
      <c r="AL11" s="19">
        <f t="shared" si="11"/>
        <v>7.346705191908616E-3</v>
      </c>
      <c r="AM11" s="19">
        <f t="shared" si="12"/>
        <v>7.1405598103889039E-3</v>
      </c>
      <c r="AN11" s="19">
        <f t="shared" si="13"/>
        <v>7.231686464562335E-3</v>
      </c>
      <c r="AO11" s="24"/>
      <c r="AP11" s="36">
        <v>182765</v>
      </c>
      <c r="AQ11" s="36" t="s">
        <v>458</v>
      </c>
      <c r="AR11" s="34">
        <v>5129855</v>
      </c>
      <c r="AS11" s="34">
        <v>2216142.4436867898</v>
      </c>
      <c r="AT11" s="35">
        <v>0.28249136433682898</v>
      </c>
    </row>
    <row r="12" spans="1:48">
      <c r="A12" s="12" t="s">
        <v>396</v>
      </c>
      <c r="B12" s="12">
        <v>1216.77</v>
      </c>
      <c r="C12" s="19">
        <v>39818</v>
      </c>
      <c r="D12" s="19">
        <v>5611</v>
      </c>
      <c r="E12" s="19">
        <v>41878</v>
      </c>
      <c r="F12" s="19">
        <v>11386</v>
      </c>
      <c r="G12" s="19">
        <v>47009</v>
      </c>
      <c r="H12" s="19">
        <v>43333</v>
      </c>
      <c r="I12" s="19">
        <v>2591</v>
      </c>
      <c r="J12" s="19">
        <v>21063</v>
      </c>
      <c r="K12" s="19">
        <v>5410</v>
      </c>
      <c r="L12" s="19">
        <v>41478</v>
      </c>
      <c r="M12" s="19">
        <v>40225</v>
      </c>
      <c r="N12" s="19">
        <v>40153</v>
      </c>
      <c r="O12" s="24"/>
      <c r="P12" s="22">
        <f t="shared" si="0"/>
        <v>31.724343959828072</v>
      </c>
      <c r="Q12" s="22">
        <f t="shared" si="1"/>
        <v>3.6113891696869578</v>
      </c>
      <c r="R12" s="22">
        <f t="shared" si="14"/>
        <v>33.417350855132852</v>
      </c>
      <c r="S12" s="22">
        <f t="shared" si="15"/>
        <v>8.3575614125923554</v>
      </c>
      <c r="T12" s="22">
        <f t="shared" si="16"/>
        <v>37.634252981253653</v>
      </c>
      <c r="U12" s="22">
        <f t="shared" si="17"/>
        <v>34.613139705942785</v>
      </c>
      <c r="V12" s="22">
        <f t="shared" si="18"/>
        <v>1.12940818724985</v>
      </c>
      <c r="W12" s="22">
        <f t="shared" si="19"/>
        <v>16.310584580487685</v>
      </c>
      <c r="X12" s="22">
        <f t="shared" si="20"/>
        <v>3.4461977201936271</v>
      </c>
      <c r="Y12" s="22">
        <f t="shared" si="21"/>
        <v>33.088611652161049</v>
      </c>
      <c r="Z12" s="22">
        <f t="shared" si="22"/>
        <v>32.058836098851884</v>
      </c>
      <c r="AA12" s="22">
        <f t="shared" si="23"/>
        <v>31.999663042316957</v>
      </c>
      <c r="AB12" s="24"/>
      <c r="AC12" s="19">
        <f t="shared" si="2"/>
        <v>7.9736902830742414E-4</v>
      </c>
      <c r="AD12" s="19">
        <f t="shared" si="3"/>
        <v>6.4404117858209262E-4</v>
      </c>
      <c r="AE12" s="19">
        <f t="shared" si="4"/>
        <v>7.9860638437544E-4</v>
      </c>
      <c r="AF12" s="19">
        <f t="shared" si="5"/>
        <v>7.3456003365403614E-4</v>
      </c>
      <c r="AG12" s="19">
        <f t="shared" si="6"/>
        <v>8.0121691977079218E-4</v>
      </c>
      <c r="AH12" s="19">
        <f t="shared" si="7"/>
        <v>7.9940945184921175E-4</v>
      </c>
      <c r="AI12" s="19">
        <f t="shared" si="8"/>
        <v>4.3608672603959479E-4</v>
      </c>
      <c r="AJ12" s="19">
        <f t="shared" si="9"/>
        <v>7.7497150542536178E-4</v>
      </c>
      <c r="AK12" s="19">
        <f t="shared" si="10"/>
        <v>6.3741115805422178E-4</v>
      </c>
      <c r="AL12" s="19">
        <f t="shared" si="11"/>
        <v>7.9837573645926167E-4</v>
      </c>
      <c r="AM12" s="19">
        <f t="shared" si="12"/>
        <v>7.9762354210706975E-4</v>
      </c>
      <c r="AN12" s="19">
        <f t="shared" si="13"/>
        <v>7.975788931872741E-4</v>
      </c>
      <c r="AO12" s="24"/>
      <c r="AP12" s="36">
        <v>120800</v>
      </c>
      <c r="AQ12" s="36" t="s">
        <v>459</v>
      </c>
      <c r="AR12" s="34">
        <v>5219142</v>
      </c>
      <c r="AS12" s="34">
        <v>1556085.95411052</v>
      </c>
      <c r="AT12" s="35">
        <v>0.244595080381622</v>
      </c>
    </row>
    <row r="13" spans="1:48">
      <c r="A13" s="12" t="s">
        <v>398</v>
      </c>
      <c r="B13" s="12">
        <v>1838.26</v>
      </c>
      <c r="C13" s="19">
        <v>28053</v>
      </c>
      <c r="D13" s="19">
        <v>20017</v>
      </c>
      <c r="E13" s="19">
        <v>33534</v>
      </c>
      <c r="F13" s="19">
        <v>33158</v>
      </c>
      <c r="G13" s="19">
        <v>41964</v>
      </c>
      <c r="H13" s="19">
        <v>4278</v>
      </c>
      <c r="I13" s="19">
        <v>46341</v>
      </c>
      <c r="J13" s="19">
        <v>29976</v>
      </c>
      <c r="K13" s="19">
        <v>45231</v>
      </c>
      <c r="L13" s="19">
        <v>40930</v>
      </c>
      <c r="M13" s="19">
        <v>42711</v>
      </c>
      <c r="N13" s="19">
        <v>49667</v>
      </c>
      <c r="O13" s="24"/>
      <c r="P13" s="22">
        <f t="shared" si="0"/>
        <v>14.260626897174502</v>
      </c>
      <c r="Q13" s="22">
        <f t="shared" si="1"/>
        <v>9.8891016504738189</v>
      </c>
      <c r="R13" s="22">
        <f t="shared" si="14"/>
        <v>17.242250824148925</v>
      </c>
      <c r="S13" s="22">
        <f t="shared" si="15"/>
        <v>17.037709573183339</v>
      </c>
      <c r="T13" s="22">
        <f t="shared" si="16"/>
        <v>21.828109190212484</v>
      </c>
      <c r="U13" s="22">
        <f t="shared" si="17"/>
        <v>1.3272007224222906</v>
      </c>
      <c r="V13" s="22">
        <f t="shared" si="18"/>
        <v>24.20916518881986</v>
      </c>
      <c r="W13" s="22">
        <f t="shared" si="19"/>
        <v>15.306724837618184</v>
      </c>
      <c r="X13" s="22">
        <f t="shared" si="20"/>
        <v>23.605333304320389</v>
      </c>
      <c r="Y13" s="22">
        <f t="shared" si="21"/>
        <v>21.265620750057117</v>
      </c>
      <c r="Z13" s="22">
        <f t="shared" si="22"/>
        <v>22.234471728699965</v>
      </c>
      <c r="AA13" s="22">
        <f t="shared" si="23"/>
        <v>26.018484871563324</v>
      </c>
      <c r="AB13" s="24"/>
      <c r="AC13" s="19">
        <f t="shared" si="2"/>
        <v>5.0860442430783904E-4</v>
      </c>
      <c r="AD13" s="19">
        <f t="shared" si="3"/>
        <v>4.9427934401511287E-4</v>
      </c>
      <c r="AE13" s="19">
        <f t="shared" si="4"/>
        <v>5.1443671709483594E-4</v>
      </c>
      <c r="AF13" s="19">
        <f t="shared" si="5"/>
        <v>5.1409821549161516E-4</v>
      </c>
      <c r="AG13" s="19">
        <f t="shared" si="6"/>
        <v>5.2043344934636963E-4</v>
      </c>
      <c r="AH13" s="19">
        <f t="shared" si="7"/>
        <v>3.1033487589849832E-4</v>
      </c>
      <c r="AI13" s="19">
        <f t="shared" si="8"/>
        <v>5.226865841193929E-4</v>
      </c>
      <c r="AJ13" s="19">
        <f t="shared" si="9"/>
        <v>5.108935463221595E-4</v>
      </c>
      <c r="AK13" s="19">
        <f t="shared" si="10"/>
        <v>5.2215646308214389E-4</v>
      </c>
      <c r="AL13" s="19">
        <f t="shared" si="11"/>
        <v>5.1983081541734605E-4</v>
      </c>
      <c r="AM13" s="19">
        <f t="shared" si="12"/>
        <v>5.2085066067265027E-4</v>
      </c>
      <c r="AN13" s="19">
        <f t="shared" si="13"/>
        <v>5.2413316734347824E-4</v>
      </c>
      <c r="AO13" s="24"/>
      <c r="AP13" s="36">
        <v>202740</v>
      </c>
      <c r="AQ13" s="36" t="s">
        <v>460</v>
      </c>
      <c r="AR13" s="34">
        <v>5080906</v>
      </c>
      <c r="AS13" s="34">
        <v>3105856.2607281399</v>
      </c>
      <c r="AT13" s="35">
        <v>0.30290004357404299</v>
      </c>
    </row>
    <row r="14" spans="1:48">
      <c r="A14" s="12" t="s">
        <v>395</v>
      </c>
      <c r="B14" s="12">
        <v>1813.28</v>
      </c>
      <c r="C14" s="19">
        <v>13605</v>
      </c>
      <c r="D14" s="19">
        <v>15531</v>
      </c>
      <c r="E14" s="19">
        <v>23751</v>
      </c>
      <c r="F14" s="19">
        <v>38554</v>
      </c>
      <c r="G14" s="19">
        <v>23251</v>
      </c>
      <c r="H14" s="19">
        <v>48956</v>
      </c>
      <c r="I14" s="19">
        <v>36954</v>
      </c>
      <c r="J14" s="19">
        <v>23465</v>
      </c>
      <c r="K14" s="19">
        <v>9516</v>
      </c>
      <c r="L14" s="19">
        <v>26435</v>
      </c>
      <c r="M14" s="19">
        <v>30008</v>
      </c>
      <c r="N14" s="19">
        <v>16465</v>
      </c>
      <c r="O14" s="24"/>
      <c r="P14" s="22">
        <f t="shared" si="0"/>
        <v>6.5029780287655514</v>
      </c>
      <c r="Q14" s="22">
        <f t="shared" si="1"/>
        <v>7.5651416218124057</v>
      </c>
      <c r="R14" s="22">
        <f t="shared" si="14"/>
        <v>12.098363187152565</v>
      </c>
      <c r="S14" s="22">
        <f t="shared" si="15"/>
        <v>20.262022412423896</v>
      </c>
      <c r="T14" s="22">
        <f t="shared" si="16"/>
        <v>11.822619782934794</v>
      </c>
      <c r="U14" s="22">
        <f t="shared" si="17"/>
        <v>25.998588193770406</v>
      </c>
      <c r="V14" s="22">
        <f t="shared" si="18"/>
        <v>19.379643518927029</v>
      </c>
      <c r="W14" s="22">
        <f t="shared" si="19"/>
        <v>11.940637959939998</v>
      </c>
      <c r="X14" s="22">
        <f t="shared" si="20"/>
        <v>4.2479484690726199</v>
      </c>
      <c r="Y14" s="22">
        <f t="shared" si="21"/>
        <v>13.578553780993559</v>
      </c>
      <c r="Z14" s="22">
        <f t="shared" si="22"/>
        <v>15.549016147533752</v>
      </c>
      <c r="AA14" s="22">
        <f t="shared" si="23"/>
        <v>8.080230300891202</v>
      </c>
      <c r="AB14" s="24"/>
      <c r="AC14" s="19">
        <f t="shared" si="2"/>
        <v>4.7821299797018901E-4</v>
      </c>
      <c r="AD14" s="19">
        <f t="shared" si="3"/>
        <v>4.8733683561852972E-4</v>
      </c>
      <c r="AE14" s="19">
        <f t="shared" si="4"/>
        <v>5.096429216586482E-4</v>
      </c>
      <c r="AF14" s="19">
        <f t="shared" si="5"/>
        <v>5.2582550969254322E-4</v>
      </c>
      <c r="AG14" s="19">
        <f t="shared" si="6"/>
        <v>5.087365869068626E-4</v>
      </c>
      <c r="AH14" s="19">
        <f t="shared" si="7"/>
        <v>5.3134247789940285E-4</v>
      </c>
      <c r="AI14" s="19">
        <f t="shared" si="8"/>
        <v>5.2470130549281261E-4</v>
      </c>
      <c r="AJ14" s="19">
        <f t="shared" si="9"/>
        <v>5.0912922598347714E-4</v>
      </c>
      <c r="AK14" s="19">
        <f t="shared" si="10"/>
        <v>4.4660000030056579E-4</v>
      </c>
      <c r="AL14" s="19">
        <f t="shared" si="11"/>
        <v>5.1392215247134988E-4</v>
      </c>
      <c r="AM14" s="19">
        <f t="shared" si="12"/>
        <v>5.1843099304905538E-4</v>
      </c>
      <c r="AN14" s="19">
        <f t="shared" si="13"/>
        <v>4.9099287193273694E-4</v>
      </c>
      <c r="AO14" s="24"/>
      <c r="AP14" s="36">
        <v>190730</v>
      </c>
      <c r="AQ14" s="36" t="s">
        <v>461</v>
      </c>
      <c r="AR14" s="34">
        <v>5055445</v>
      </c>
      <c r="AS14" s="34">
        <v>2115984.2119172402</v>
      </c>
      <c r="AT14" s="35">
        <v>0.28153078970268502</v>
      </c>
    </row>
    <row r="15" spans="1:48">
      <c r="A15" s="12" t="s">
        <v>397</v>
      </c>
      <c r="B15" s="12">
        <v>2389.2199999999998</v>
      </c>
      <c r="C15" s="19">
        <v>6773</v>
      </c>
      <c r="D15" s="19">
        <v>34707</v>
      </c>
      <c r="E15" s="19">
        <v>44576</v>
      </c>
      <c r="F15" s="19">
        <v>31855</v>
      </c>
      <c r="G15" s="19">
        <v>2150</v>
      </c>
      <c r="H15" s="19">
        <v>7312</v>
      </c>
      <c r="I15" s="19">
        <v>34806</v>
      </c>
      <c r="J15" s="19">
        <v>11734</v>
      </c>
      <c r="K15" s="19">
        <v>9378</v>
      </c>
      <c r="L15" s="19">
        <v>16574</v>
      </c>
      <c r="M15" s="19">
        <v>38534</v>
      </c>
      <c r="N15" s="19">
        <v>49640</v>
      </c>
      <c r="O15" s="24"/>
      <c r="P15" s="22">
        <f t="shared" si="0"/>
        <v>1.8348163835896238</v>
      </c>
      <c r="Q15" s="22">
        <f t="shared" si="1"/>
        <v>13.526498187693056</v>
      </c>
      <c r="R15" s="22">
        <f t="shared" si="14"/>
        <v>17.657134964549101</v>
      </c>
      <c r="S15" s="22">
        <f t="shared" si="15"/>
        <v>12.332803174257709</v>
      </c>
      <c r="T15" s="22">
        <f t="shared" si="16"/>
        <v>-0.10012472689831821</v>
      </c>
      <c r="U15" s="22">
        <f t="shared" si="17"/>
        <v>2.0604130218230221</v>
      </c>
      <c r="V15" s="22">
        <f t="shared" si="18"/>
        <v>13.567934304919598</v>
      </c>
      <c r="W15" s="22">
        <f t="shared" si="19"/>
        <v>3.911226257941923</v>
      </c>
      <c r="X15" s="22">
        <f t="shared" si="20"/>
        <v>2.9251303772779407</v>
      </c>
      <c r="Y15" s="22">
        <f t="shared" si="21"/>
        <v>5.9369919890173373</v>
      </c>
      <c r="Z15" s="22">
        <f t="shared" si="22"/>
        <v>15.128276173814049</v>
      </c>
      <c r="AA15" s="22">
        <f t="shared" si="23"/>
        <v>19.77665514268255</v>
      </c>
      <c r="AB15" s="24"/>
      <c r="AC15" s="19">
        <f t="shared" si="2"/>
        <v>2.7097498493009251E-4</v>
      </c>
      <c r="AD15" s="19">
        <f t="shared" si="3"/>
        <v>3.898859590114683E-4</v>
      </c>
      <c r="AE15" s="19">
        <f t="shared" si="4"/>
        <v>3.9627000981682606E-4</v>
      </c>
      <c r="AF15" s="19">
        <f t="shared" si="5"/>
        <v>3.8730433911287156E-4</v>
      </c>
      <c r="AG15" s="19">
        <f t="shared" si="6"/>
        <v>-4.6567471787406115E-5</v>
      </c>
      <c r="AH15" s="19">
        <f t="shared" si="7"/>
        <v>2.8186457593896026E-4</v>
      </c>
      <c r="AI15" s="19">
        <f t="shared" si="8"/>
        <v>3.8996797577417469E-4</v>
      </c>
      <c r="AJ15" s="19">
        <f t="shared" si="9"/>
        <v>3.3343535018228072E-4</v>
      </c>
      <c r="AK15" s="19">
        <f t="shared" si="10"/>
        <v>3.1201141515744033E-4</v>
      </c>
      <c r="AL15" s="19">
        <f t="shared" si="11"/>
        <v>3.5833953469072908E-4</v>
      </c>
      <c r="AM15" s="19">
        <f t="shared" si="12"/>
        <v>3.9274972232523415E-4</v>
      </c>
      <c r="AN15" s="19">
        <f t="shared" si="13"/>
        <v>3.9856038142424484E-4</v>
      </c>
      <c r="AO15" s="24"/>
      <c r="AP15" s="36">
        <v>220780</v>
      </c>
      <c r="AQ15" s="36" t="s">
        <v>462</v>
      </c>
      <c r="AR15" s="34">
        <v>5155607</v>
      </c>
      <c r="AS15" s="34">
        <v>3115739.8972575902</v>
      </c>
      <c r="AT15" s="35">
        <v>0.353687215459842</v>
      </c>
    </row>
    <row r="16" spans="1:48">
      <c r="A16" s="12" t="s">
        <v>397</v>
      </c>
      <c r="B16" s="12">
        <v>1982.28</v>
      </c>
      <c r="C16" s="19">
        <v>36172</v>
      </c>
      <c r="D16" s="19">
        <v>42993</v>
      </c>
      <c r="E16" s="19">
        <v>38679</v>
      </c>
      <c r="F16" s="19">
        <v>40121</v>
      </c>
      <c r="G16" s="19">
        <v>49288</v>
      </c>
      <c r="H16" s="19">
        <v>19373</v>
      </c>
      <c r="I16" s="19">
        <v>16764</v>
      </c>
      <c r="J16" s="19">
        <v>13263</v>
      </c>
      <c r="K16" s="19">
        <v>29535</v>
      </c>
      <c r="L16" s="19">
        <v>4395</v>
      </c>
      <c r="M16" s="19">
        <v>13818</v>
      </c>
      <c r="N16" s="19">
        <v>32342</v>
      </c>
      <c r="O16" s="24"/>
      <c r="P16" s="22">
        <f t="shared" si="0"/>
        <v>17.247674395140951</v>
      </c>
      <c r="Q16" s="22">
        <f t="shared" si="1"/>
        <v>20.688661541255524</v>
      </c>
      <c r="R16" s="22">
        <f t="shared" si="14"/>
        <v>18.512379684000244</v>
      </c>
      <c r="S16" s="22">
        <f t="shared" si="15"/>
        <v>19.239824848154651</v>
      </c>
      <c r="T16" s="22">
        <f t="shared" si="16"/>
        <v>23.864297677421959</v>
      </c>
      <c r="U16" s="22">
        <f t="shared" si="17"/>
        <v>8.7730895736222934</v>
      </c>
      <c r="V16" s="22">
        <f t="shared" si="18"/>
        <v>7.4569283854954902</v>
      </c>
      <c r="W16" s="22">
        <f t="shared" si="19"/>
        <v>5.6907803135783039</v>
      </c>
      <c r="X16" s="22">
        <f t="shared" si="20"/>
        <v>13.899509655548158</v>
      </c>
      <c r="Y16" s="22">
        <f t="shared" si="21"/>
        <v>1.2171438949088929</v>
      </c>
      <c r="Z16" s="22">
        <f t="shared" si="22"/>
        <v>5.9707609419456382</v>
      </c>
      <c r="AA16" s="22">
        <f t="shared" si="23"/>
        <v>15.31555582460601</v>
      </c>
      <c r="AB16" s="24"/>
      <c r="AC16" s="19">
        <f t="shared" si="2"/>
        <v>4.7705137736280711E-4</v>
      </c>
      <c r="AD16" s="19">
        <f t="shared" si="3"/>
        <v>4.814416748102605E-4</v>
      </c>
      <c r="AE16" s="19">
        <f t="shared" si="4"/>
        <v>4.788449609278086E-4</v>
      </c>
      <c r="AF16" s="19">
        <f t="shared" si="5"/>
        <v>4.7977507132158692E-4</v>
      </c>
      <c r="AG16" s="19">
        <f t="shared" si="6"/>
        <v>4.8441523102366876E-4</v>
      </c>
      <c r="AH16" s="19">
        <f t="shared" si="7"/>
        <v>4.5305653637525576E-4</v>
      </c>
      <c r="AI16" s="19">
        <f t="shared" si="8"/>
        <v>4.4501591728233531E-4</v>
      </c>
      <c r="AJ16" s="19">
        <f t="shared" si="9"/>
        <v>4.2925605937649763E-4</v>
      </c>
      <c r="AK16" s="19">
        <f t="shared" si="10"/>
        <v>4.7083304567505232E-4</v>
      </c>
      <c r="AL16" s="19">
        <f t="shared" si="11"/>
        <v>2.7701503118609763E-4</v>
      </c>
      <c r="AM16" s="19">
        <f t="shared" si="12"/>
        <v>4.3228701869971057E-4</v>
      </c>
      <c r="AN16" s="19">
        <f t="shared" si="13"/>
        <v>4.7377440922078724E-4</v>
      </c>
      <c r="AO16" s="24"/>
      <c r="AP16" s="36">
        <v>228900</v>
      </c>
      <c r="AQ16" s="36" t="s">
        <v>463</v>
      </c>
      <c r="AR16" s="34">
        <v>5368759</v>
      </c>
      <c r="AS16" s="34">
        <v>3655712.0356729799</v>
      </c>
      <c r="AT16" s="35">
        <v>0.37508895374963902</v>
      </c>
    </row>
    <row r="17" spans="1:44">
      <c r="A17" s="12" t="s">
        <v>398</v>
      </c>
      <c r="B17" s="12">
        <v>2976.79</v>
      </c>
      <c r="C17" s="19">
        <v>31527</v>
      </c>
      <c r="D17" s="19">
        <v>37985</v>
      </c>
      <c r="E17" s="19">
        <v>16490</v>
      </c>
      <c r="F17" s="19">
        <v>47719</v>
      </c>
      <c r="G17" s="19">
        <v>39917</v>
      </c>
      <c r="H17" s="19">
        <v>2214</v>
      </c>
      <c r="I17" s="19">
        <v>26930</v>
      </c>
      <c r="J17" s="19">
        <v>44412</v>
      </c>
      <c r="K17" s="19">
        <v>26570</v>
      </c>
      <c r="L17" s="19">
        <v>18179</v>
      </c>
      <c r="M17" s="19">
        <v>4763</v>
      </c>
      <c r="N17" s="19">
        <v>37155</v>
      </c>
      <c r="O17" s="24"/>
      <c r="P17" s="22">
        <f t="shared" si="0"/>
        <v>9.5909385613362037</v>
      </c>
      <c r="Q17" s="22">
        <f t="shared" si="1"/>
        <v>11.760389547129627</v>
      </c>
      <c r="R17" s="22">
        <f t="shared" si="14"/>
        <v>4.5395241182616175</v>
      </c>
      <c r="S17" s="22">
        <f t="shared" si="15"/>
        <v>15.030354845319959</v>
      </c>
      <c r="T17" s="22">
        <f t="shared" si="16"/>
        <v>12.409410808286779</v>
      </c>
      <c r="U17" s="22">
        <f t="shared" si="17"/>
        <v>-0.25624582184164824</v>
      </c>
      <c r="V17" s="22">
        <f t="shared" si="18"/>
        <v>8.0466576412847388</v>
      </c>
      <c r="W17" s="22">
        <f t="shared" si="19"/>
        <v>13.919426630699512</v>
      </c>
      <c r="X17" s="22">
        <f t="shared" si="20"/>
        <v>7.9257220025598043</v>
      </c>
      <c r="Y17" s="22">
        <f t="shared" si="21"/>
        <v>5.106913823279438</v>
      </c>
      <c r="Z17" s="22">
        <f t="shared" si="22"/>
        <v>0.60004568679685166</v>
      </c>
      <c r="AA17" s="22">
        <f t="shared" si="23"/>
        <v>11.481565713402691</v>
      </c>
      <c r="AB17" s="24"/>
      <c r="AC17" s="19">
        <f t="shared" si="2"/>
        <v>3.0430605963326638E-4</v>
      </c>
      <c r="AD17" s="19">
        <f t="shared" si="3"/>
        <v>3.0970203405801468E-4</v>
      </c>
      <c r="AE17" s="19">
        <f t="shared" si="4"/>
        <v>2.7536532115089843E-4</v>
      </c>
      <c r="AF17" s="19">
        <f t="shared" si="5"/>
        <v>3.1507555780206653E-4</v>
      </c>
      <c r="AG17" s="19">
        <f t="shared" si="6"/>
        <v>3.1097702357201748E-4</v>
      </c>
      <c r="AH17" s="19">
        <f t="shared" si="7"/>
        <v>-1.1572545965498235E-4</v>
      </c>
      <c r="AI17" s="19">
        <f t="shared" si="8"/>
        <v>2.9888832875377629E-4</v>
      </c>
      <c r="AJ17" s="19">
        <f t="shared" si="9"/>
        <v>3.1351415311067782E-4</v>
      </c>
      <c r="AK17" s="19">
        <f t="shared" si="10"/>
        <v>2.9838490471826727E-4</v>
      </c>
      <c r="AL17" s="19">
        <f t="shared" si="11"/>
        <v>2.8100274382948897E-4</v>
      </c>
      <c r="AM17" s="19">
        <f t="shared" si="12"/>
        <v>1.2599649180103053E-4</v>
      </c>
      <c r="AN17" s="19">
        <f t="shared" si="13"/>
        <v>3.0911357344123435E-4</v>
      </c>
      <c r="AO17" s="24"/>
      <c r="AP17" s="44">
        <f>SUM(AP5:AP16)</f>
        <v>2074935</v>
      </c>
      <c r="AR17" s="37">
        <f>SUM(input_data!AR5:AR16)</f>
        <v>62426129</v>
      </c>
    </row>
    <row r="18" spans="1:44">
      <c r="A18" s="12" t="s">
        <v>395</v>
      </c>
      <c r="B18" s="12">
        <v>887.37</v>
      </c>
      <c r="C18" s="19">
        <v>41912</v>
      </c>
      <c r="D18" s="19">
        <v>16771</v>
      </c>
      <c r="E18" s="19">
        <v>12305</v>
      </c>
      <c r="F18" s="19">
        <v>35219</v>
      </c>
      <c r="G18" s="19">
        <v>20346</v>
      </c>
      <c r="H18" s="19">
        <v>10684</v>
      </c>
      <c r="I18" s="19">
        <v>26678</v>
      </c>
      <c r="J18" s="19">
        <v>9922</v>
      </c>
      <c r="K18" s="19">
        <v>45312</v>
      </c>
      <c r="L18" s="19">
        <v>9709</v>
      </c>
      <c r="M18" s="19">
        <v>31339</v>
      </c>
      <c r="N18" s="19">
        <v>22965</v>
      </c>
      <c r="O18" s="24"/>
      <c r="P18" s="22">
        <f t="shared" si="0"/>
        <v>46.231707179643209</v>
      </c>
      <c r="Q18" s="22">
        <f t="shared" si="1"/>
        <v>17.899669810789185</v>
      </c>
      <c r="R18" s="22">
        <f t="shared" si="14"/>
        <v>12.866819928552914</v>
      </c>
      <c r="S18" s="22">
        <f t="shared" si="15"/>
        <v>38.68919391009387</v>
      </c>
      <c r="T18" s="22">
        <f t="shared" si="16"/>
        <v>21.928428952973395</v>
      </c>
      <c r="U18" s="22">
        <f t="shared" si="17"/>
        <v>11.040073475551347</v>
      </c>
      <c r="V18" s="22">
        <f t="shared" si="18"/>
        <v>29.064122068584695</v>
      </c>
      <c r="W18" s="22">
        <f t="shared" si="19"/>
        <v>10.181356142308168</v>
      </c>
      <c r="X18" s="22">
        <f t="shared" si="20"/>
        <v>50.063254335846374</v>
      </c>
      <c r="Y18" s="22">
        <f t="shared" si="21"/>
        <v>9.9413209822283815</v>
      </c>
      <c r="Z18" s="22">
        <f t="shared" si="22"/>
        <v>34.31672244948556</v>
      </c>
      <c r="AA18" s="22">
        <f t="shared" si="23"/>
        <v>24.879847188884007</v>
      </c>
      <c r="AB18" s="24"/>
      <c r="AC18" s="19">
        <f t="shared" si="2"/>
        <v>1.1042842175088322E-3</v>
      </c>
      <c r="AD18" s="19">
        <f t="shared" si="3"/>
        <v>1.0684392415733252E-3</v>
      </c>
      <c r="AE18" s="19">
        <f t="shared" si="4"/>
        <v>1.0467524017241511E-3</v>
      </c>
      <c r="AF18" s="19">
        <f t="shared" si="5"/>
        <v>1.0997399688520251E-3</v>
      </c>
      <c r="AG18" s="19">
        <f t="shared" si="6"/>
        <v>1.0789387783996923E-3</v>
      </c>
      <c r="AH18" s="19">
        <f t="shared" si="7"/>
        <v>1.0343966014633437E-3</v>
      </c>
      <c r="AI18" s="19">
        <f t="shared" si="8"/>
        <v>1.090629742280004E-3</v>
      </c>
      <c r="AJ18" s="19">
        <f t="shared" si="9"/>
        <v>1.0271935462234782E-3</v>
      </c>
      <c r="AK18" s="19">
        <f t="shared" si="10"/>
        <v>1.1060784830565643E-3</v>
      </c>
      <c r="AL18" s="19">
        <f t="shared" si="11"/>
        <v>1.0249779191185535E-3</v>
      </c>
      <c r="AM18" s="19">
        <f t="shared" si="12"/>
        <v>1.0962168869504286E-3</v>
      </c>
      <c r="AN18" s="19">
        <f t="shared" si="13"/>
        <v>1.0845560974899774E-3</v>
      </c>
      <c r="AO18" s="24"/>
    </row>
    <row r="19" spans="1:44">
      <c r="A19" s="12" t="s">
        <v>395</v>
      </c>
      <c r="B19" s="12">
        <v>1109.5</v>
      </c>
      <c r="C19" s="19">
        <v>25856</v>
      </c>
      <c r="D19" s="19">
        <v>37813</v>
      </c>
      <c r="E19" s="19">
        <v>45201</v>
      </c>
      <c r="F19" s="19">
        <v>37671</v>
      </c>
      <c r="G19" s="19">
        <v>47469</v>
      </c>
      <c r="H19" s="19">
        <v>47840</v>
      </c>
      <c r="I19" s="19">
        <v>46207</v>
      </c>
      <c r="J19" s="19">
        <v>26801</v>
      </c>
      <c r="K19" s="19">
        <v>3162</v>
      </c>
      <c r="L19" s="19">
        <v>22252</v>
      </c>
      <c r="M19" s="19">
        <v>5510</v>
      </c>
      <c r="N19" s="19">
        <v>12646</v>
      </c>
      <c r="O19" s="24"/>
      <c r="P19" s="22">
        <f t="shared" si="0"/>
        <v>22.304191077061738</v>
      </c>
      <c r="Q19" s="22">
        <f t="shared" si="1"/>
        <v>33.081117620549797</v>
      </c>
      <c r="R19" s="22">
        <f t="shared" si="14"/>
        <v>39.739972960793153</v>
      </c>
      <c r="S19" s="22">
        <f t="shared" si="15"/>
        <v>32.953132041460115</v>
      </c>
      <c r="T19" s="22">
        <f t="shared" si="16"/>
        <v>41.784136998648037</v>
      </c>
      <c r="U19" s="22">
        <f t="shared" si="17"/>
        <v>42.118521856692205</v>
      </c>
      <c r="V19" s="22">
        <f t="shared" si="18"/>
        <v>40.646687697160885</v>
      </c>
      <c r="W19" s="22">
        <f t="shared" si="19"/>
        <v>23.155926092834608</v>
      </c>
      <c r="X19" s="22">
        <f t="shared" si="20"/>
        <v>1.8499324019828751</v>
      </c>
      <c r="Y19" s="22">
        <f t="shared" si="21"/>
        <v>19.05588102748986</v>
      </c>
      <c r="Z19" s="22">
        <f t="shared" si="22"/>
        <v>3.9662009914375846</v>
      </c>
      <c r="AA19" s="22">
        <f t="shared" si="23"/>
        <v>10.397926994141505</v>
      </c>
      <c r="AB19" s="24"/>
      <c r="AC19" s="19">
        <f t="shared" si="2"/>
        <v>8.6337592739471245E-4</v>
      </c>
      <c r="AD19" s="19">
        <f t="shared" si="3"/>
        <v>8.756270155989887E-4</v>
      </c>
      <c r="AE19" s="19">
        <f t="shared" si="4"/>
        <v>8.7995713443335746E-4</v>
      </c>
      <c r="AF19" s="19">
        <f t="shared" si="5"/>
        <v>8.7552715360247034E-4</v>
      </c>
      <c r="AG19" s="19">
        <f t="shared" si="6"/>
        <v>8.8101602082960213E-4</v>
      </c>
      <c r="AH19" s="19">
        <f t="shared" si="7"/>
        <v>8.8117967897702483E-4</v>
      </c>
      <c r="AI19" s="19">
        <f t="shared" si="8"/>
        <v>8.8043964447867659E-4</v>
      </c>
      <c r="AJ19" s="19">
        <f t="shared" si="9"/>
        <v>8.6474198702942546E-4</v>
      </c>
      <c r="AK19" s="19">
        <f t="shared" si="10"/>
        <v>5.8539384599193452E-4</v>
      </c>
      <c r="AL19" s="19">
        <f t="shared" si="11"/>
        <v>8.5710110750597806E-4</v>
      </c>
      <c r="AM19" s="19">
        <f t="shared" si="12"/>
        <v>7.2033720391468607E-4</v>
      </c>
      <c r="AN19" s="19">
        <f t="shared" si="13"/>
        <v>8.2290712655118956E-4</v>
      </c>
      <c r="AO19" s="24"/>
    </row>
    <row r="20" spans="1:44">
      <c r="A20" s="12" t="s">
        <v>396</v>
      </c>
      <c r="B20" s="12">
        <v>1182.3499999999999</v>
      </c>
      <c r="C20" s="19">
        <v>49192</v>
      </c>
      <c r="D20" s="19">
        <v>25921</v>
      </c>
      <c r="E20" s="19">
        <v>9625</v>
      </c>
      <c r="F20" s="19">
        <v>35046</v>
      </c>
      <c r="G20" s="19">
        <v>12944</v>
      </c>
      <c r="H20" s="19">
        <v>17604</v>
      </c>
      <c r="I20" s="19">
        <v>27798</v>
      </c>
      <c r="J20" s="19">
        <v>21156</v>
      </c>
      <c r="K20" s="19">
        <v>41252</v>
      </c>
      <c r="L20" s="19">
        <v>2820</v>
      </c>
      <c r="M20" s="19">
        <v>11062</v>
      </c>
      <c r="N20" s="19">
        <v>39234</v>
      </c>
      <c r="O20" s="24"/>
      <c r="P20" s="22">
        <f t="shared" si="0"/>
        <v>40.605277625068723</v>
      </c>
      <c r="Q20" s="22">
        <f t="shared" si="1"/>
        <v>20.923288366388974</v>
      </c>
      <c r="R20" s="22">
        <f t="shared" si="14"/>
        <v>7.140567513849537</v>
      </c>
      <c r="S20" s="22">
        <f t="shared" si="15"/>
        <v>28.64096925614243</v>
      </c>
      <c r="T20" s="22">
        <f t="shared" si="16"/>
        <v>9.9476889245993156</v>
      </c>
      <c r="U20" s="22">
        <f t="shared" si="17"/>
        <v>13.888992261174781</v>
      </c>
      <c r="V20" s="22">
        <f t="shared" si="18"/>
        <v>22.510804753245658</v>
      </c>
      <c r="W20" s="22">
        <f t="shared" si="19"/>
        <v>16.893178838753332</v>
      </c>
      <c r="X20" s="22">
        <f t="shared" si="20"/>
        <v>33.889838034422972</v>
      </c>
      <c r="Y20" s="22">
        <f t="shared" si="21"/>
        <v>1.3850805599018905</v>
      </c>
      <c r="Z20" s="22">
        <f t="shared" si="22"/>
        <v>8.3559436715016702</v>
      </c>
      <c r="AA20" s="22">
        <f t="shared" si="23"/>
        <v>32.183067619571197</v>
      </c>
      <c r="AB20" s="24"/>
      <c r="AC20" s="19">
        <f t="shared" si="2"/>
        <v>8.26126661398363E-4</v>
      </c>
      <c r="AD20" s="19">
        <f t="shared" si="3"/>
        <v>8.0784657896363688E-4</v>
      </c>
      <c r="AE20" s="19">
        <f t="shared" si="4"/>
        <v>7.4242793461203147E-4</v>
      </c>
      <c r="AF20" s="19">
        <f t="shared" si="5"/>
        <v>8.1790774772582905E-4</v>
      </c>
      <c r="AG20" s="19">
        <f t="shared" si="6"/>
        <v>7.6910844995432186E-4</v>
      </c>
      <c r="AH20" s="19">
        <f t="shared" si="7"/>
        <v>7.8959093862820278E-4</v>
      </c>
      <c r="AI20" s="19">
        <f t="shared" si="8"/>
        <v>8.1045574373170542E-4</v>
      </c>
      <c r="AJ20" s="19">
        <f t="shared" si="9"/>
        <v>7.9914345396289211E-4</v>
      </c>
      <c r="AK20" s="19">
        <f t="shared" si="10"/>
        <v>8.2220746902887264E-4</v>
      </c>
      <c r="AL20" s="19">
        <f t="shared" si="11"/>
        <v>4.9140467906734454E-4</v>
      </c>
      <c r="AM20" s="19">
        <f t="shared" si="12"/>
        <v>7.5594470284373562E-4</v>
      </c>
      <c r="AN20" s="19">
        <f t="shared" si="13"/>
        <v>8.2095857125918578E-4</v>
      </c>
      <c r="AO20" s="24"/>
    </row>
    <row r="21" spans="1:44">
      <c r="A21" s="12" t="s">
        <v>395</v>
      </c>
      <c r="B21" s="12">
        <v>1424.15</v>
      </c>
      <c r="C21" s="19">
        <v>35125</v>
      </c>
      <c r="D21" s="19">
        <v>26672</v>
      </c>
      <c r="E21" s="19">
        <v>9759</v>
      </c>
      <c r="F21" s="19">
        <v>48378</v>
      </c>
      <c r="G21" s="19">
        <v>41765</v>
      </c>
      <c r="H21" s="19">
        <v>24631</v>
      </c>
      <c r="I21" s="19">
        <v>48129</v>
      </c>
      <c r="J21" s="19">
        <v>1718</v>
      </c>
      <c r="K21" s="19">
        <v>26293</v>
      </c>
      <c r="L21" s="19">
        <v>18062</v>
      </c>
      <c r="M21" s="19">
        <v>1756</v>
      </c>
      <c r="N21" s="19">
        <v>34542</v>
      </c>
      <c r="O21" s="24"/>
      <c r="P21" s="22">
        <f t="shared" si="0"/>
        <v>23.663834567987919</v>
      </c>
      <c r="Q21" s="22">
        <f t="shared" si="1"/>
        <v>17.728364287469716</v>
      </c>
      <c r="R21" s="22">
        <f t="shared" si="14"/>
        <v>5.852508513850367</v>
      </c>
      <c r="S21" s="22">
        <f t="shared" si="15"/>
        <v>32.969736333953584</v>
      </c>
      <c r="T21" s="22">
        <f t="shared" si="16"/>
        <v>28.326264789523574</v>
      </c>
      <c r="U21" s="22">
        <f t="shared" si="17"/>
        <v>16.295228732928411</v>
      </c>
      <c r="V21" s="22">
        <f t="shared" si="18"/>
        <v>32.794895200645996</v>
      </c>
      <c r="W21" s="22">
        <f t="shared" si="19"/>
        <v>0.20633360249973662</v>
      </c>
      <c r="X21" s="22">
        <f t="shared" si="20"/>
        <v>17.462240634764594</v>
      </c>
      <c r="Y21" s="22">
        <f t="shared" si="21"/>
        <v>11.682652810448335</v>
      </c>
      <c r="Z21" s="22">
        <f t="shared" si="22"/>
        <v>0.23301618509286234</v>
      </c>
      <c r="AA21" s="22">
        <f t="shared" si="23"/>
        <v>23.254467577151281</v>
      </c>
      <c r="AB21" s="24"/>
      <c r="AC21" s="19">
        <f t="shared" si="2"/>
        <v>6.7415765760199737E-4</v>
      </c>
      <c r="AD21" s="19">
        <f t="shared" si="3"/>
        <v>6.6512281895245997E-4</v>
      </c>
      <c r="AE21" s="19">
        <f t="shared" si="4"/>
        <v>6.0006357116604856E-4</v>
      </c>
      <c r="AF21" s="19">
        <f t="shared" si="5"/>
        <v>6.8196743603513997E-4</v>
      </c>
      <c r="AG21" s="19">
        <f t="shared" si="6"/>
        <v>6.7869004054404492E-4</v>
      </c>
      <c r="AH21" s="19">
        <f t="shared" si="7"/>
        <v>6.6201195116302812E-4</v>
      </c>
      <c r="AI21" s="19">
        <f t="shared" si="8"/>
        <v>6.8186034904806883E-4</v>
      </c>
      <c r="AJ21" s="19">
        <f t="shared" si="9"/>
        <v>1.2011547517953805E-4</v>
      </c>
      <c r="AK21" s="19">
        <f t="shared" si="10"/>
        <v>6.6458166507136975E-4</v>
      </c>
      <c r="AL21" s="19">
        <f t="shared" si="11"/>
        <v>6.4722700358879463E-4</v>
      </c>
      <c r="AM21" s="19">
        <f t="shared" si="12"/>
        <v>1.3271475499930399E-4</v>
      </c>
      <c r="AN21" s="19">
        <f t="shared" si="13"/>
        <v>6.7367649717481098E-4</v>
      </c>
      <c r="AO21" s="24"/>
    </row>
    <row r="22" spans="1:44">
      <c r="A22" s="12" t="s">
        <v>395</v>
      </c>
      <c r="B22" s="12">
        <v>2516.19</v>
      </c>
      <c r="C22" s="19">
        <v>29004</v>
      </c>
      <c r="D22" s="19">
        <v>48077</v>
      </c>
      <c r="E22" s="19">
        <v>24981</v>
      </c>
      <c r="F22" s="19">
        <v>49053</v>
      </c>
      <c r="G22" s="19">
        <v>3763</v>
      </c>
      <c r="H22" s="19">
        <v>24217</v>
      </c>
      <c r="I22" s="19">
        <v>45012</v>
      </c>
      <c r="J22" s="19">
        <v>6256</v>
      </c>
      <c r="K22" s="19">
        <v>39216</v>
      </c>
      <c r="L22" s="19">
        <v>28246</v>
      </c>
      <c r="M22" s="19">
        <v>34503</v>
      </c>
      <c r="N22" s="19">
        <v>33440</v>
      </c>
      <c r="O22" s="24"/>
      <c r="P22" s="22">
        <f t="shared" si="0"/>
        <v>10.526951462329951</v>
      </c>
      <c r="Q22" s="22">
        <f t="shared" si="1"/>
        <v>18.107062662199596</v>
      </c>
      <c r="R22" s="22">
        <f t="shared" si="14"/>
        <v>8.9281055882107481</v>
      </c>
      <c r="S22" s="22">
        <f t="shared" si="15"/>
        <v>18.494950699271516</v>
      </c>
      <c r="T22" s="22">
        <f t="shared" si="16"/>
        <v>0.49551504457135587</v>
      </c>
      <c r="U22" s="22">
        <f t="shared" si="17"/>
        <v>8.6244719198470712</v>
      </c>
      <c r="V22" s="22">
        <f t="shared" si="18"/>
        <v>16.888951152337462</v>
      </c>
      <c r="W22" s="22">
        <f t="shared" si="19"/>
        <v>1.4862987294282228</v>
      </c>
      <c r="X22" s="22">
        <f t="shared" si="20"/>
        <v>14.585468505955431</v>
      </c>
      <c r="Y22" s="22">
        <f t="shared" si="21"/>
        <v>10.225702351571226</v>
      </c>
      <c r="Z22" s="22">
        <f t="shared" si="22"/>
        <v>12.71239850726694</v>
      </c>
      <c r="AA22" s="22">
        <f t="shared" si="23"/>
        <v>12.289934384923237</v>
      </c>
      <c r="AB22" s="24"/>
      <c r="AC22" s="19">
        <f t="shared" si="2"/>
        <v>3.6308004372939012E-4</v>
      </c>
      <c r="AD22" s="19">
        <f t="shared" si="3"/>
        <v>3.7676820158568199E-4</v>
      </c>
      <c r="AE22" s="19">
        <f t="shared" si="4"/>
        <v>3.5752362182685628E-4</v>
      </c>
      <c r="AF22" s="19">
        <f t="shared" si="5"/>
        <v>3.7718236740997283E-4</v>
      </c>
      <c r="AG22" s="19">
        <f t="shared" si="6"/>
        <v>1.3169819373045233E-4</v>
      </c>
      <c r="AH22" s="19">
        <f t="shared" si="7"/>
        <v>3.5625983700737128E-4</v>
      </c>
      <c r="AI22" s="19">
        <f t="shared" si="8"/>
        <v>3.7535080497973331E-4</v>
      </c>
      <c r="AJ22" s="19">
        <f t="shared" si="9"/>
        <v>2.3763617771375078E-4</v>
      </c>
      <c r="AK22" s="19">
        <f t="shared" si="10"/>
        <v>3.7206485225775728E-4</v>
      </c>
      <c r="AL22" s="19">
        <f t="shared" si="11"/>
        <v>3.6215413268914169E-4</v>
      </c>
      <c r="AM22" s="19">
        <f t="shared" si="12"/>
        <v>3.6857908099081058E-4</v>
      </c>
      <c r="AN22" s="19">
        <f t="shared" si="13"/>
        <v>3.6765708332396651E-4</v>
      </c>
      <c r="AO22" s="24"/>
    </row>
    <row r="23" spans="1:44">
      <c r="A23" s="12" t="s">
        <v>395</v>
      </c>
      <c r="B23" s="12">
        <v>745.59</v>
      </c>
      <c r="C23" s="19">
        <v>44127</v>
      </c>
      <c r="D23" s="19">
        <v>11976</v>
      </c>
      <c r="E23" s="19">
        <v>9890</v>
      </c>
      <c r="F23" s="19">
        <v>25792</v>
      </c>
      <c r="G23" s="19">
        <v>28846</v>
      </c>
      <c r="H23" s="19">
        <v>8611</v>
      </c>
      <c r="I23" s="19">
        <v>4721</v>
      </c>
      <c r="J23" s="19">
        <v>14860</v>
      </c>
      <c r="K23" s="19">
        <v>1369</v>
      </c>
      <c r="L23" s="19">
        <v>38919</v>
      </c>
      <c r="M23" s="19">
        <v>8184</v>
      </c>
      <c r="N23" s="19">
        <v>8659</v>
      </c>
      <c r="O23" s="24"/>
      <c r="P23" s="22">
        <f t="shared" si="0"/>
        <v>58.184001931356377</v>
      </c>
      <c r="Q23" s="22">
        <f t="shared" si="1"/>
        <v>15.062447189474106</v>
      </c>
      <c r="R23" s="22">
        <f t="shared" si="14"/>
        <v>12.264662884427096</v>
      </c>
      <c r="S23" s="22">
        <f t="shared" si="15"/>
        <v>33.592738636516046</v>
      </c>
      <c r="T23" s="22">
        <f t="shared" si="16"/>
        <v>37.688823616196565</v>
      </c>
      <c r="U23" s="22">
        <f t="shared" si="17"/>
        <v>10.549242881476413</v>
      </c>
      <c r="V23" s="22">
        <f t="shared" si="18"/>
        <v>5.331898228248769</v>
      </c>
      <c r="W23" s="22">
        <f t="shared" si="19"/>
        <v>18.930524819270644</v>
      </c>
      <c r="X23" s="22">
        <f t="shared" si="20"/>
        <v>0.83612977641867503</v>
      </c>
      <c r="Y23" s="22">
        <f t="shared" si="21"/>
        <v>51.198929706675251</v>
      </c>
      <c r="Z23" s="22">
        <f t="shared" si="22"/>
        <v>9.9765420673560534</v>
      </c>
      <c r="AA23" s="22">
        <f t="shared" si="23"/>
        <v>10.613621427326009</v>
      </c>
      <c r="AB23" s="24"/>
      <c r="AC23" s="19">
        <f t="shared" si="2"/>
        <v>1.3202987330974887E-3</v>
      </c>
      <c r="AD23" s="19">
        <f t="shared" si="3"/>
        <v>1.2593032212541567E-3</v>
      </c>
      <c r="AE23" s="19">
        <f t="shared" si="4"/>
        <v>1.2416472466459641E-3</v>
      </c>
      <c r="AF23" s="19">
        <f t="shared" si="5"/>
        <v>1.3041465761318141E-3</v>
      </c>
      <c r="AG23" s="19">
        <f t="shared" si="6"/>
        <v>1.3082621673113815E-3</v>
      </c>
      <c r="AH23" s="19">
        <f t="shared" si="7"/>
        <v>1.2265918588912203E-3</v>
      </c>
      <c r="AI23" s="19">
        <f t="shared" si="8"/>
        <v>1.1306771624248727E-3</v>
      </c>
      <c r="AJ23" s="19">
        <f t="shared" si="9"/>
        <v>1.2755499090499416E-3</v>
      </c>
      <c r="AK23" s="19">
        <f t="shared" si="10"/>
        <v>6.1113277043490198E-4</v>
      </c>
      <c r="AL23" s="19">
        <f t="shared" si="11"/>
        <v>1.3172582007940402E-3</v>
      </c>
      <c r="AM23" s="19">
        <f t="shared" si="12"/>
        <v>1.2205179149166888E-3</v>
      </c>
      <c r="AN23" s="19">
        <f t="shared" si="13"/>
        <v>1.2272371934748917E-3</v>
      </c>
      <c r="AO23" s="24"/>
    </row>
    <row r="24" spans="1:44">
      <c r="A24" s="12" t="s">
        <v>399</v>
      </c>
      <c r="B24" s="12">
        <v>2339.1999999999998</v>
      </c>
      <c r="C24" s="19">
        <v>33626</v>
      </c>
      <c r="D24" s="19">
        <v>17152</v>
      </c>
      <c r="E24" s="19">
        <v>25220</v>
      </c>
      <c r="F24" s="19">
        <v>48373</v>
      </c>
      <c r="G24" s="19">
        <v>11284</v>
      </c>
      <c r="H24" s="19">
        <v>11925</v>
      </c>
      <c r="I24" s="19">
        <v>5740</v>
      </c>
      <c r="J24" s="19">
        <v>39898</v>
      </c>
      <c r="K24" s="19">
        <v>28655</v>
      </c>
      <c r="L24" s="19">
        <v>5168</v>
      </c>
      <c r="M24" s="19">
        <v>39969</v>
      </c>
      <c r="N24" s="19">
        <v>27324</v>
      </c>
      <c r="O24" s="24"/>
      <c r="P24" s="22">
        <f t="shared" si="0"/>
        <v>13.375</v>
      </c>
      <c r="Q24" s="22">
        <f t="shared" si="1"/>
        <v>6.3324213406292751</v>
      </c>
      <c r="R24" s="22">
        <f t="shared" si="14"/>
        <v>9.7814637482900135</v>
      </c>
      <c r="S24" s="22">
        <f t="shared" si="15"/>
        <v>19.679292065663478</v>
      </c>
      <c r="T24" s="22">
        <f t="shared" si="16"/>
        <v>3.8238714090287278</v>
      </c>
      <c r="U24" s="22">
        <f t="shared" si="17"/>
        <v>4.0978967168262654</v>
      </c>
      <c r="V24" s="22">
        <f t="shared" si="18"/>
        <v>1.4538303693570453</v>
      </c>
      <c r="W24" s="22">
        <f t="shared" si="19"/>
        <v>16.056258549931602</v>
      </c>
      <c r="X24" s="22">
        <f t="shared" si="20"/>
        <v>11.249914500683994</v>
      </c>
      <c r="Y24" s="22">
        <f t="shared" si="21"/>
        <v>1.2093023255813955</v>
      </c>
      <c r="Z24" s="22">
        <f t="shared" si="22"/>
        <v>16.086610807113544</v>
      </c>
      <c r="AA24" s="22">
        <f t="shared" si="23"/>
        <v>10.680916552667579</v>
      </c>
      <c r="AB24" s="24"/>
      <c r="AC24" s="19">
        <f t="shared" si="2"/>
        <v>3.9791596163643871E-4</v>
      </c>
      <c r="AD24" s="19">
        <f t="shared" si="3"/>
        <v>3.6933069602440122E-4</v>
      </c>
      <c r="AE24" s="19">
        <f t="shared" si="4"/>
        <v>3.8799599195161658E-4</v>
      </c>
      <c r="AF24" s="19">
        <f t="shared" si="5"/>
        <v>4.0698946375433297E-4</v>
      </c>
      <c r="AG24" s="19">
        <f t="shared" si="6"/>
        <v>3.3899039921341862E-4</v>
      </c>
      <c r="AH24" s="19">
        <f t="shared" si="7"/>
        <v>3.4375726612985528E-4</v>
      </c>
      <c r="AI24" s="19">
        <f t="shared" si="8"/>
        <v>2.5334471944322095E-4</v>
      </c>
      <c r="AJ24" s="19">
        <f t="shared" si="9"/>
        <v>4.0259468430180911E-4</v>
      </c>
      <c r="AK24" s="19">
        <f t="shared" si="10"/>
        <v>3.9275285069531379E-4</v>
      </c>
      <c r="AL24" s="19">
        <f t="shared" si="11"/>
        <v>2.3405289595448573E-4</v>
      </c>
      <c r="AM24" s="19">
        <f t="shared" si="12"/>
        <v>4.0263924311123984E-4</v>
      </c>
      <c r="AN24" s="19">
        <f t="shared" si="13"/>
        <v>3.9105157890314862E-4</v>
      </c>
      <c r="AO24" s="24"/>
    </row>
    <row r="25" spans="1:44">
      <c r="A25" s="12" t="s">
        <v>396</v>
      </c>
      <c r="B25" s="12">
        <v>1245.67</v>
      </c>
      <c r="C25" s="19">
        <v>5172</v>
      </c>
      <c r="D25" s="19">
        <v>22911</v>
      </c>
      <c r="E25" s="19">
        <v>40956</v>
      </c>
      <c r="F25" s="19">
        <v>6122</v>
      </c>
      <c r="G25" s="19">
        <v>45853</v>
      </c>
      <c r="H25" s="19">
        <v>10293</v>
      </c>
      <c r="I25" s="19">
        <v>41364</v>
      </c>
      <c r="J25" s="19">
        <v>24396</v>
      </c>
      <c r="K25" s="19">
        <v>26802</v>
      </c>
      <c r="L25" s="19">
        <v>5304</v>
      </c>
      <c r="M25" s="19">
        <v>32123</v>
      </c>
      <c r="N25" s="19">
        <v>34143</v>
      </c>
      <c r="O25" s="24"/>
      <c r="P25" s="22">
        <f t="shared" si="0"/>
        <v>3.1519824672666115</v>
      </c>
      <c r="Q25" s="22">
        <f t="shared" si="1"/>
        <v>17.392511660391598</v>
      </c>
      <c r="R25" s="22">
        <f t="shared" si="14"/>
        <v>31.87869178835486</v>
      </c>
      <c r="S25" s="22">
        <f t="shared" si="15"/>
        <v>3.9146242584312052</v>
      </c>
      <c r="T25" s="22">
        <f t="shared" si="16"/>
        <v>35.809909526600144</v>
      </c>
      <c r="U25" s="22">
        <f t="shared" si="17"/>
        <v>7.2630231120601758</v>
      </c>
      <c r="V25" s="22">
        <f t="shared" si="18"/>
        <v>32.206226368139234</v>
      </c>
      <c r="W25" s="22">
        <f t="shared" si="19"/>
        <v>18.584641197106777</v>
      </c>
      <c r="X25" s="22">
        <f t="shared" si="20"/>
        <v>20.516131880835214</v>
      </c>
      <c r="Y25" s="22">
        <f t="shared" si="21"/>
        <v>3.2579495371968497</v>
      </c>
      <c r="Z25" s="22">
        <f t="shared" si="22"/>
        <v>24.787728692189745</v>
      </c>
      <c r="AA25" s="22">
        <f t="shared" si="23"/>
        <v>26.409345974455515</v>
      </c>
      <c r="AB25" s="24"/>
      <c r="AC25" s="19">
        <f t="shared" si="2"/>
        <v>6.0980366545409853E-4</v>
      </c>
      <c r="AD25" s="19">
        <f t="shared" si="3"/>
        <v>7.5971039816464571E-4</v>
      </c>
      <c r="AE25" s="19">
        <f t="shared" si="4"/>
        <v>7.7897070894368179E-4</v>
      </c>
      <c r="AF25" s="19">
        <f t="shared" si="5"/>
        <v>6.3984466021883791E-4</v>
      </c>
      <c r="AG25" s="19">
        <f t="shared" si="6"/>
        <v>7.8158240293408926E-4</v>
      </c>
      <c r="AH25" s="19">
        <f t="shared" si="7"/>
        <v>7.0612568923162191E-4</v>
      </c>
      <c r="AI25" s="19">
        <f t="shared" si="8"/>
        <v>7.7921191963087745E-4</v>
      </c>
      <c r="AJ25" s="19">
        <f t="shared" si="9"/>
        <v>7.6237127372060399E-4</v>
      </c>
      <c r="AK25" s="19">
        <f t="shared" si="10"/>
        <v>7.6605657781560557E-4</v>
      </c>
      <c r="AL25" s="19">
        <f t="shared" si="11"/>
        <v>6.1462140699949745E-4</v>
      </c>
      <c r="AM25" s="19">
        <f t="shared" si="12"/>
        <v>7.7224639436842364E-4</v>
      </c>
      <c r="AN25" s="19">
        <f t="shared" si="13"/>
        <v>7.740910058179971E-4</v>
      </c>
      <c r="AO25" s="24"/>
    </row>
    <row r="26" spans="1:44">
      <c r="A26" s="12" t="s">
        <v>397</v>
      </c>
      <c r="B26" s="12">
        <v>1825.47</v>
      </c>
      <c r="C26" s="19">
        <v>49059</v>
      </c>
      <c r="D26" s="19">
        <v>8944</v>
      </c>
      <c r="E26" s="19">
        <v>17661</v>
      </c>
      <c r="F26" s="19">
        <v>3031</v>
      </c>
      <c r="G26" s="19">
        <v>32105</v>
      </c>
      <c r="H26" s="19">
        <v>5864</v>
      </c>
      <c r="I26" s="19">
        <v>17805</v>
      </c>
      <c r="J26" s="19">
        <v>25583</v>
      </c>
      <c r="K26" s="19">
        <v>30701</v>
      </c>
      <c r="L26" s="19">
        <v>8800</v>
      </c>
      <c r="M26" s="19">
        <v>38051</v>
      </c>
      <c r="N26" s="19">
        <v>7218</v>
      </c>
      <c r="O26" s="24"/>
      <c r="P26" s="22">
        <f t="shared" si="0"/>
        <v>25.874722674160626</v>
      </c>
      <c r="Q26" s="22">
        <f t="shared" si="1"/>
        <v>3.8995601132858932</v>
      </c>
      <c r="R26" s="22">
        <f t="shared" si="14"/>
        <v>8.6747686897073084</v>
      </c>
      <c r="S26" s="22">
        <f t="shared" si="15"/>
        <v>0.66039430941072708</v>
      </c>
      <c r="T26" s="22">
        <f t="shared" si="16"/>
        <v>16.587251502352817</v>
      </c>
      <c r="U26" s="22">
        <f t="shared" si="17"/>
        <v>2.2123234016445079</v>
      </c>
      <c r="V26" s="22">
        <f t="shared" si="18"/>
        <v>8.7536524840178149</v>
      </c>
      <c r="W26" s="22">
        <f t="shared" si="19"/>
        <v>13.014472985039468</v>
      </c>
      <c r="X26" s="22">
        <f t="shared" si="20"/>
        <v>15.818134507825381</v>
      </c>
      <c r="Y26" s="22">
        <f t="shared" si="21"/>
        <v>3.8206763189753872</v>
      </c>
      <c r="Z26" s="22">
        <f t="shared" si="22"/>
        <v>19.84449484242414</v>
      </c>
      <c r="AA26" s="22">
        <f t="shared" si="23"/>
        <v>2.9540501898141298</v>
      </c>
      <c r="AB26" s="24"/>
      <c r="AC26" s="19">
        <f t="shared" si="2"/>
        <v>5.276988266160092E-4</v>
      </c>
      <c r="AD26" s="19">
        <f t="shared" si="3"/>
        <v>4.3618750589062815E-4</v>
      </c>
      <c r="AE26" s="19">
        <f t="shared" si="4"/>
        <v>4.9142357032492764E-4</v>
      </c>
      <c r="AF26" s="19">
        <f t="shared" si="5"/>
        <v>2.1792749174732469E-4</v>
      </c>
      <c r="AG26" s="19">
        <f t="shared" si="6"/>
        <v>5.1692340261141206E-4</v>
      </c>
      <c r="AH26" s="19">
        <f t="shared" si="7"/>
        <v>3.7741445506063394E-4</v>
      </c>
      <c r="AI26" s="19">
        <f t="shared" si="8"/>
        <v>4.9188195718810439E-4</v>
      </c>
      <c r="AJ26" s="19">
        <f t="shared" si="9"/>
        <v>5.089745933289458E-4</v>
      </c>
      <c r="AK26" s="19">
        <f t="shared" si="10"/>
        <v>5.1549749899361288E-4</v>
      </c>
      <c r="AL26" s="19">
        <f t="shared" si="11"/>
        <v>4.34356347043697E-4</v>
      </c>
      <c r="AM26" s="19">
        <f t="shared" si="12"/>
        <v>5.2179573770071066E-4</v>
      </c>
      <c r="AN26" s="19">
        <f t="shared" si="13"/>
        <v>4.0942915822897089E-4</v>
      </c>
      <c r="AO26" s="24"/>
      <c r="AR26" s="44"/>
    </row>
    <row r="27" spans="1:44">
      <c r="A27" s="12" t="s">
        <v>398</v>
      </c>
      <c r="B27" s="12">
        <v>1915.99</v>
      </c>
      <c r="C27" s="19">
        <v>48258</v>
      </c>
      <c r="D27" s="19">
        <v>46564</v>
      </c>
      <c r="E27" s="19">
        <v>15954</v>
      </c>
      <c r="F27" s="19">
        <v>36322</v>
      </c>
      <c r="G27" s="19">
        <v>3783</v>
      </c>
      <c r="H27" s="19">
        <v>39743</v>
      </c>
      <c r="I27" s="19">
        <v>31048</v>
      </c>
      <c r="J27" s="19">
        <v>36211</v>
      </c>
      <c r="K27" s="19">
        <v>26283</v>
      </c>
      <c r="L27" s="19">
        <v>31722</v>
      </c>
      <c r="M27" s="19">
        <v>37558</v>
      </c>
      <c r="N27" s="19">
        <v>49925</v>
      </c>
      <c r="O27" s="24"/>
      <c r="P27" s="22">
        <f t="shared" si="0"/>
        <v>24.186979055214277</v>
      </c>
      <c r="Q27" s="22">
        <f t="shared" si="1"/>
        <v>23.302840829023118</v>
      </c>
      <c r="R27" s="22">
        <f t="shared" si="14"/>
        <v>7.3267657973162699</v>
      </c>
      <c r="S27" s="22">
        <f t="shared" si="15"/>
        <v>17.957301447293567</v>
      </c>
      <c r="T27" s="22">
        <f t="shared" si="16"/>
        <v>0.97443619225570066</v>
      </c>
      <c r="U27" s="22">
        <f t="shared" si="17"/>
        <v>19.742801371614675</v>
      </c>
      <c r="V27" s="22">
        <f t="shared" si="18"/>
        <v>15.20467747743986</v>
      </c>
      <c r="W27" s="22">
        <f t="shared" si="19"/>
        <v>17.899367950772188</v>
      </c>
      <c r="X27" s="22">
        <f t="shared" si="20"/>
        <v>12.717712514157171</v>
      </c>
      <c r="Y27" s="22">
        <f t="shared" si="21"/>
        <v>15.556453843704821</v>
      </c>
      <c r="Z27" s="22">
        <f t="shared" si="22"/>
        <v>18.60239875991002</v>
      </c>
      <c r="AA27" s="22">
        <f t="shared" si="23"/>
        <v>25.057025349819156</v>
      </c>
      <c r="AB27" s="24"/>
      <c r="AC27" s="19">
        <f t="shared" si="2"/>
        <v>5.0145276809675937E-4</v>
      </c>
      <c r="AD27" s="19">
        <f t="shared" si="3"/>
        <v>5.0069814702875001E-4</v>
      </c>
      <c r="AE27" s="19">
        <f t="shared" si="4"/>
        <v>4.5945418769864193E-4</v>
      </c>
      <c r="AF27" s="19">
        <f t="shared" si="5"/>
        <v>4.9463641271029716E-4</v>
      </c>
      <c r="AG27" s="19">
        <f t="shared" si="6"/>
        <v>2.5764928761471355E-4</v>
      </c>
      <c r="AH27" s="19">
        <f t="shared" si="7"/>
        <v>4.970086232580237E-4</v>
      </c>
      <c r="AI27" s="19">
        <f t="shared" si="8"/>
        <v>4.8995513679700052E-4</v>
      </c>
      <c r="AJ27" s="19">
        <f t="shared" si="9"/>
        <v>4.9455193498735997E-4</v>
      </c>
      <c r="AK27" s="19">
        <f t="shared" si="10"/>
        <v>4.8411023433179485E-4</v>
      </c>
      <c r="AL27" s="19">
        <f t="shared" si="11"/>
        <v>4.9064013821224349E-4</v>
      </c>
      <c r="AM27" s="19">
        <f t="shared" si="12"/>
        <v>4.9554334775194961E-4</v>
      </c>
      <c r="AN27" s="19">
        <f t="shared" si="13"/>
        <v>5.0214537043756643E-4</v>
      </c>
      <c r="AO27" s="24"/>
    </row>
    <row r="28" spans="1:44">
      <c r="A28" s="12" t="s">
        <v>397</v>
      </c>
      <c r="B28" s="12">
        <v>1149.9000000000001</v>
      </c>
      <c r="C28" s="19">
        <v>5681</v>
      </c>
      <c r="D28" s="19">
        <v>24329</v>
      </c>
      <c r="E28" s="19">
        <v>39584</v>
      </c>
      <c r="F28" s="19">
        <v>9231</v>
      </c>
      <c r="G28" s="19">
        <v>2861</v>
      </c>
      <c r="H28" s="19">
        <v>36174</v>
      </c>
      <c r="I28" s="19">
        <v>24950</v>
      </c>
      <c r="J28" s="19">
        <v>49229</v>
      </c>
      <c r="K28" s="19">
        <v>21854</v>
      </c>
      <c r="L28" s="19">
        <v>40669</v>
      </c>
      <c r="M28" s="19">
        <v>9862</v>
      </c>
      <c r="N28" s="19">
        <v>11945</v>
      </c>
      <c r="O28" s="24"/>
      <c r="P28" s="22">
        <f t="shared" si="0"/>
        <v>3.9404296025741368</v>
      </c>
      <c r="Q28" s="22">
        <f t="shared" si="1"/>
        <v>20.157491955822241</v>
      </c>
      <c r="R28" s="22">
        <f t="shared" si="14"/>
        <v>33.423862944603876</v>
      </c>
      <c r="S28" s="22">
        <f t="shared" si="15"/>
        <v>7.0276545786590132</v>
      </c>
      <c r="T28" s="22">
        <f t="shared" si="16"/>
        <v>1.4880424384729105</v>
      </c>
      <c r="U28" s="22">
        <f t="shared" si="17"/>
        <v>30.458387685885725</v>
      </c>
      <c r="V28" s="22">
        <f t="shared" si="18"/>
        <v>20.697538916427511</v>
      </c>
      <c r="W28" s="22">
        <f t="shared" si="19"/>
        <v>41.811548830333066</v>
      </c>
      <c r="X28" s="22">
        <f t="shared" si="20"/>
        <v>18.005130880946165</v>
      </c>
      <c r="Y28" s="22">
        <f t="shared" si="21"/>
        <v>34.367423254196012</v>
      </c>
      <c r="Z28" s="22">
        <f t="shared" si="22"/>
        <v>7.5763979476476209</v>
      </c>
      <c r="AA28" s="22">
        <f t="shared" si="23"/>
        <v>9.3878598138968599</v>
      </c>
      <c r="AB28" s="24"/>
      <c r="AC28" s="19">
        <f t="shared" si="2"/>
        <v>6.9409692706435427E-4</v>
      </c>
      <c r="AD28" s="19">
        <f t="shared" si="3"/>
        <v>8.2922467201602913E-4</v>
      </c>
      <c r="AE28" s="19">
        <f t="shared" si="4"/>
        <v>8.4509168283110466E-4</v>
      </c>
      <c r="AF28" s="19">
        <f t="shared" si="5"/>
        <v>7.6189024809332267E-4</v>
      </c>
      <c r="AG28" s="19">
        <f t="shared" si="6"/>
        <v>5.2038335931347223E-4</v>
      </c>
      <c r="AH28" s="19">
        <f t="shared" si="7"/>
        <v>8.4270622985957043E-4</v>
      </c>
      <c r="AI28" s="19">
        <f t="shared" si="8"/>
        <v>8.3024942028513853E-4</v>
      </c>
      <c r="AJ28" s="19">
        <f t="shared" si="9"/>
        <v>8.5004957890287363E-4</v>
      </c>
      <c r="AK28" s="19">
        <f t="shared" si="10"/>
        <v>8.2456196701206495E-4</v>
      </c>
      <c r="AL28" s="19">
        <f t="shared" si="11"/>
        <v>8.4576680222927961E-4</v>
      </c>
      <c r="AM28" s="19">
        <f t="shared" si="12"/>
        <v>7.6883217665513236E-4</v>
      </c>
      <c r="AN28" s="19">
        <f t="shared" si="13"/>
        <v>7.8654196396754574E-4</v>
      </c>
      <c r="AO28" s="24"/>
    </row>
    <row r="29" spans="1:44">
      <c r="A29" s="12" t="s">
        <v>396</v>
      </c>
      <c r="B29" s="12">
        <v>1562.21</v>
      </c>
      <c r="C29" s="19">
        <v>10735</v>
      </c>
      <c r="D29" s="19">
        <v>27860</v>
      </c>
      <c r="E29" s="19">
        <v>18259</v>
      </c>
      <c r="F29" s="19">
        <v>4955</v>
      </c>
      <c r="G29" s="19">
        <v>15152</v>
      </c>
      <c r="H29" s="19">
        <v>42147</v>
      </c>
      <c r="I29" s="19">
        <v>6634</v>
      </c>
      <c r="J29" s="19">
        <v>22870</v>
      </c>
      <c r="K29" s="19">
        <v>24441</v>
      </c>
      <c r="L29" s="19">
        <v>13473</v>
      </c>
      <c r="M29" s="19">
        <v>11706</v>
      </c>
      <c r="N29" s="19">
        <v>19552</v>
      </c>
      <c r="O29" s="24"/>
      <c r="P29" s="22">
        <f t="shared" si="0"/>
        <v>5.8716753829510759</v>
      </c>
      <c r="Q29" s="22">
        <f t="shared" si="1"/>
        <v>16.833709936564226</v>
      </c>
      <c r="R29" s="22">
        <f t="shared" si="14"/>
        <v>10.687929279674307</v>
      </c>
      <c r="S29" s="22">
        <f t="shared" si="15"/>
        <v>2.1717886839797464</v>
      </c>
      <c r="T29" s="22">
        <f t="shared" si="16"/>
        <v>8.6990801492757051</v>
      </c>
      <c r="U29" s="22">
        <f t="shared" si="17"/>
        <v>25.979087318606332</v>
      </c>
      <c r="V29" s="22">
        <f t="shared" si="18"/>
        <v>3.2465481593383729</v>
      </c>
      <c r="W29" s="22">
        <f t="shared" si="19"/>
        <v>13.639517094372716</v>
      </c>
      <c r="X29" s="22">
        <f t="shared" si="20"/>
        <v>14.645143738677898</v>
      </c>
      <c r="Y29" s="22">
        <f t="shared" si="21"/>
        <v>7.6243206739170795</v>
      </c>
      <c r="Z29" s="22">
        <f t="shared" si="22"/>
        <v>6.4932307436260173</v>
      </c>
      <c r="AA29" s="22">
        <f t="shared" si="23"/>
        <v>11.515602895897478</v>
      </c>
      <c r="AB29" s="24"/>
      <c r="AC29" s="19">
        <f t="shared" si="2"/>
        <v>5.4726490403503043E-4</v>
      </c>
      <c r="AD29" s="19">
        <f t="shared" si="3"/>
        <v>6.0459036020525355E-4</v>
      </c>
      <c r="AE29" s="19">
        <f t="shared" si="4"/>
        <v>5.8569413095599344E-4</v>
      </c>
      <c r="AF29" s="19">
        <f t="shared" si="5"/>
        <v>4.384946522105758E-4</v>
      </c>
      <c r="AG29" s="19">
        <f t="shared" si="6"/>
        <v>5.7445072215876281E-4</v>
      </c>
      <c r="AH29" s="19">
        <f t="shared" si="7"/>
        <v>6.1677249875927858E-4</v>
      </c>
      <c r="AI29" s="19">
        <f t="shared" si="8"/>
        <v>4.8961979704390131E-4</v>
      </c>
      <c r="AJ29" s="19">
        <f t="shared" si="9"/>
        <v>5.9674929893470006E-4</v>
      </c>
      <c r="AK29" s="19">
        <f t="shared" si="10"/>
        <v>5.9956321051005449E-4</v>
      </c>
      <c r="AL29" s="19">
        <f t="shared" si="11"/>
        <v>5.6621670687012442E-4</v>
      </c>
      <c r="AM29" s="19">
        <f t="shared" si="12"/>
        <v>5.5500038349383602E-4</v>
      </c>
      <c r="AN29" s="19">
        <f t="shared" si="13"/>
        <v>5.8932023699494835E-4</v>
      </c>
      <c r="AO29" s="24"/>
    </row>
    <row r="30" spans="1:44">
      <c r="A30" s="12" t="s">
        <v>398</v>
      </c>
      <c r="B30" s="12">
        <v>1268.44</v>
      </c>
      <c r="C30" s="19">
        <v>47551</v>
      </c>
      <c r="D30" s="19">
        <v>15204</v>
      </c>
      <c r="E30" s="19">
        <v>44191</v>
      </c>
      <c r="F30" s="19">
        <v>4333</v>
      </c>
      <c r="G30" s="19">
        <v>37221</v>
      </c>
      <c r="H30" s="19">
        <v>1446</v>
      </c>
      <c r="I30" s="19">
        <v>13240</v>
      </c>
      <c r="J30" s="19">
        <v>39785</v>
      </c>
      <c r="K30" s="19">
        <v>1848</v>
      </c>
      <c r="L30" s="19">
        <v>26571</v>
      </c>
      <c r="M30" s="19">
        <v>8487</v>
      </c>
      <c r="N30" s="19">
        <v>20733</v>
      </c>
      <c r="O30" s="24"/>
      <c r="P30" s="22">
        <f t="shared" si="0"/>
        <v>36.487780265523</v>
      </c>
      <c r="Q30" s="22">
        <f t="shared" si="1"/>
        <v>10.986376966983064</v>
      </c>
      <c r="R30" s="22">
        <f t="shared" si="14"/>
        <v>33.838857178896909</v>
      </c>
      <c r="S30" s="22">
        <f t="shared" si="15"/>
        <v>2.4160070637948974</v>
      </c>
      <c r="T30" s="22">
        <f t="shared" si="16"/>
        <v>28.343918514080286</v>
      </c>
      <c r="U30" s="22">
        <f t="shared" si="17"/>
        <v>0.1399829712087288</v>
      </c>
      <c r="V30" s="22">
        <f t="shared" si="18"/>
        <v>9.4380183532528132</v>
      </c>
      <c r="W30" s="22">
        <f t="shared" si="19"/>
        <v>30.365299107565196</v>
      </c>
      <c r="X30" s="22">
        <f t="shared" si="20"/>
        <v>0.45690769764435046</v>
      </c>
      <c r="Y30" s="22">
        <f t="shared" si="21"/>
        <v>19.947778373435085</v>
      </c>
      <c r="Z30" s="22">
        <f t="shared" si="22"/>
        <v>5.6908959036296549</v>
      </c>
      <c r="AA30" s="22">
        <f t="shared" si="23"/>
        <v>15.345274510422252</v>
      </c>
      <c r="AB30" s="24"/>
      <c r="AC30" s="19">
        <f t="shared" si="2"/>
        <v>7.6792917702243229E-4</v>
      </c>
      <c r="AD30" s="19">
        <f t="shared" si="3"/>
        <v>7.231203261956812E-4</v>
      </c>
      <c r="AE30" s="19">
        <f t="shared" si="4"/>
        <v>7.6632773265131638E-4</v>
      </c>
      <c r="AF30" s="19">
        <f t="shared" si="5"/>
        <v>5.5789405487475738E-4</v>
      </c>
      <c r="AG30" s="19">
        <f t="shared" si="6"/>
        <v>7.6208374180056389E-4</v>
      </c>
      <c r="AH30" s="19">
        <f t="shared" si="7"/>
        <v>9.6816406540095468E-5</v>
      </c>
      <c r="AI30" s="19">
        <f t="shared" si="8"/>
        <v>7.1334977050446541E-4</v>
      </c>
      <c r="AJ30" s="19">
        <f t="shared" si="9"/>
        <v>7.6381783749313481E-4</v>
      </c>
      <c r="AK30" s="19">
        <f t="shared" si="10"/>
        <v>2.473055700557247E-4</v>
      </c>
      <c r="AL30" s="19">
        <f t="shared" si="11"/>
        <v>7.5129897703967721E-4</v>
      </c>
      <c r="AM30" s="19">
        <f t="shared" si="12"/>
        <v>6.7099263023924233E-4</v>
      </c>
      <c r="AN30" s="19">
        <f t="shared" si="13"/>
        <v>7.4068588910029863E-4</v>
      </c>
      <c r="AO30" s="24"/>
    </row>
    <row r="31" spans="1:44">
      <c r="A31" s="12" t="s">
        <v>396</v>
      </c>
      <c r="B31" s="12">
        <v>253.94</v>
      </c>
      <c r="C31" s="19">
        <v>1296</v>
      </c>
      <c r="D31" s="19">
        <v>29936</v>
      </c>
      <c r="E31" s="19">
        <v>24062</v>
      </c>
      <c r="F31" s="19">
        <v>19822</v>
      </c>
      <c r="G31" s="19">
        <v>32659</v>
      </c>
      <c r="H31" s="19">
        <v>40037</v>
      </c>
      <c r="I31" s="19">
        <v>14542</v>
      </c>
      <c r="J31" s="19">
        <v>23282</v>
      </c>
      <c r="K31" s="19">
        <v>17219</v>
      </c>
      <c r="L31" s="19">
        <v>44996</v>
      </c>
      <c r="M31" s="19">
        <v>32675</v>
      </c>
      <c r="N31" s="19">
        <v>2397</v>
      </c>
      <c r="O31" s="24"/>
      <c r="P31" s="22">
        <f t="shared" si="0"/>
        <v>4.1035677719146255</v>
      </c>
      <c r="Q31" s="22">
        <f t="shared" si="1"/>
        <v>116.88611483027488</v>
      </c>
      <c r="R31" s="22">
        <f t="shared" si="14"/>
        <v>93.754666456643307</v>
      </c>
      <c r="S31" s="22">
        <f t="shared" si="15"/>
        <v>77.057808931243613</v>
      </c>
      <c r="T31" s="22">
        <f t="shared" si="16"/>
        <v>127.60912026462945</v>
      </c>
      <c r="U31" s="22">
        <f t="shared" si="17"/>
        <v>156.66322753406317</v>
      </c>
      <c r="V31" s="22">
        <f t="shared" si="18"/>
        <v>56.265495786406234</v>
      </c>
      <c r="W31" s="22">
        <f t="shared" si="19"/>
        <v>90.68307474206506</v>
      </c>
      <c r="X31" s="22">
        <f t="shared" si="20"/>
        <v>66.807356068362608</v>
      </c>
      <c r="Y31" s="22">
        <f t="shared" si="21"/>
        <v>176.19146255020871</v>
      </c>
      <c r="Z31" s="22">
        <f t="shared" si="22"/>
        <v>127.67212727415925</v>
      </c>
      <c r="AA31" s="22">
        <f t="shared" si="23"/>
        <v>8.4392376151846893</v>
      </c>
      <c r="AB31" s="24"/>
      <c r="AC31" s="19">
        <f t="shared" si="2"/>
        <v>3.17639066843567E-3</v>
      </c>
      <c r="AD31" s="19">
        <f t="shared" si="3"/>
        <v>3.9198386404234219E-3</v>
      </c>
      <c r="AE31" s="19">
        <f t="shared" si="4"/>
        <v>3.9116199434688879E-3</v>
      </c>
      <c r="AF31" s="19">
        <f t="shared" si="5"/>
        <v>3.9026606502853794E-3</v>
      </c>
      <c r="AG31" s="19">
        <f t="shared" si="6"/>
        <v>3.9226456912458798E-3</v>
      </c>
      <c r="AH31" s="19">
        <f t="shared" si="7"/>
        <v>3.9283326123320528E-3</v>
      </c>
      <c r="AI31" s="19">
        <f t="shared" si="8"/>
        <v>3.8842004021294048E-3</v>
      </c>
      <c r="AJ31" s="19">
        <f t="shared" si="9"/>
        <v>3.9102167002556488E-3</v>
      </c>
      <c r="AK31" s="19">
        <f t="shared" si="10"/>
        <v>3.8949746808026159E-3</v>
      </c>
      <c r="AL31" s="19">
        <f t="shared" si="11"/>
        <v>3.931106988174427E-3</v>
      </c>
      <c r="AM31" s="19">
        <f t="shared" si="12"/>
        <v>3.9226608025522899E-3</v>
      </c>
      <c r="AN31" s="19">
        <f t="shared" si="13"/>
        <v>3.5331894202091322E-3</v>
      </c>
      <c r="AO31" s="24"/>
    </row>
    <row r="32" spans="1:44">
      <c r="A32" s="12" t="s">
        <v>395</v>
      </c>
      <c r="B32" s="12">
        <v>1339.64</v>
      </c>
      <c r="C32" s="19">
        <v>30057</v>
      </c>
      <c r="D32" s="19">
        <v>8073</v>
      </c>
      <c r="E32" s="19">
        <v>36728</v>
      </c>
      <c r="F32" s="19">
        <v>14084</v>
      </c>
      <c r="G32" s="19">
        <v>25050</v>
      </c>
      <c r="H32" s="19">
        <v>43553</v>
      </c>
      <c r="I32" s="19">
        <v>25719</v>
      </c>
      <c r="J32" s="19">
        <v>19392</v>
      </c>
      <c r="K32" s="19">
        <v>1135</v>
      </c>
      <c r="L32" s="19">
        <v>22252</v>
      </c>
      <c r="M32" s="19">
        <v>17650</v>
      </c>
      <c r="N32" s="19">
        <v>38021</v>
      </c>
      <c r="O32" s="24"/>
      <c r="P32" s="22">
        <f t="shared" si="0"/>
        <v>21.436624764862202</v>
      </c>
      <c r="Q32" s="22">
        <f t="shared" si="1"/>
        <v>5.0262458570959359</v>
      </c>
      <c r="R32" s="22">
        <f t="shared" si="14"/>
        <v>26.416320802603682</v>
      </c>
      <c r="S32" s="22">
        <f t="shared" si="15"/>
        <v>9.5132722223881032</v>
      </c>
      <c r="T32" s="22">
        <f t="shared" si="16"/>
        <v>17.699053477053535</v>
      </c>
      <c r="U32" s="22">
        <f t="shared" si="17"/>
        <v>31.510973097250005</v>
      </c>
      <c r="V32" s="22">
        <f t="shared" si="18"/>
        <v>18.198441372308977</v>
      </c>
      <c r="W32" s="22">
        <f t="shared" si="19"/>
        <v>13.475530739601684</v>
      </c>
      <c r="X32" s="22">
        <f t="shared" si="20"/>
        <v>-0.15275745722731487</v>
      </c>
      <c r="Y32" s="22">
        <f t="shared" si="21"/>
        <v>15.610432653548713</v>
      </c>
      <c r="Z32" s="22">
        <f t="shared" si="22"/>
        <v>12.175181392015764</v>
      </c>
      <c r="AA32" s="22">
        <f t="shared" si="23"/>
        <v>27.381505479083931</v>
      </c>
      <c r="AB32" s="24"/>
      <c r="AC32" s="19">
        <f t="shared" si="2"/>
        <v>7.1370809653389369E-4</v>
      </c>
      <c r="AD32" s="19">
        <f t="shared" si="3"/>
        <v>6.2298738323423013E-4</v>
      </c>
      <c r="AE32" s="19">
        <f t="shared" si="4"/>
        <v>7.1975969847798567E-4</v>
      </c>
      <c r="AF32" s="19">
        <f t="shared" si="5"/>
        <v>6.7592320817018295E-4</v>
      </c>
      <c r="AG32" s="19">
        <f t="shared" si="6"/>
        <v>7.0704860551430769E-4</v>
      </c>
      <c r="AH32" s="19">
        <f t="shared" si="7"/>
        <v>7.2403251363416211E-4</v>
      </c>
      <c r="AI32" s="19">
        <f t="shared" si="8"/>
        <v>7.0808847462579651E-4</v>
      </c>
      <c r="AJ32" s="19">
        <f t="shared" si="9"/>
        <v>6.9538476786390696E-4</v>
      </c>
      <c r="AK32" s="19">
        <f t="shared" si="10"/>
        <v>-1.3456995653122111E-4</v>
      </c>
      <c r="AL32" s="19">
        <f t="shared" si="11"/>
        <v>7.0202190900955528E-4</v>
      </c>
      <c r="AM32" s="19">
        <f t="shared" si="12"/>
        <v>6.9028814591529976E-4</v>
      </c>
      <c r="AN32" s="19">
        <f t="shared" si="13"/>
        <v>7.2068696175997646E-4</v>
      </c>
      <c r="AO32" s="24"/>
    </row>
    <row r="33" spans="1:41">
      <c r="A33" s="12" t="s">
        <v>398</v>
      </c>
      <c r="B33" s="12">
        <v>337.31</v>
      </c>
      <c r="C33" s="19">
        <v>27720</v>
      </c>
      <c r="D33" s="19">
        <v>1598</v>
      </c>
      <c r="E33" s="19">
        <v>33069</v>
      </c>
      <c r="F33" s="19">
        <v>47772</v>
      </c>
      <c r="G33" s="19">
        <v>39077</v>
      </c>
      <c r="H33" s="19">
        <v>48724</v>
      </c>
      <c r="I33" s="19">
        <v>47985</v>
      </c>
      <c r="J33" s="19">
        <v>48663</v>
      </c>
      <c r="K33" s="19">
        <v>11774</v>
      </c>
      <c r="L33" s="19">
        <v>17843</v>
      </c>
      <c r="M33" s="19">
        <v>31927</v>
      </c>
      <c r="N33" s="19">
        <v>34267</v>
      </c>
      <c r="O33" s="24"/>
      <c r="P33" s="22">
        <f t="shared" si="0"/>
        <v>81.179597402982409</v>
      </c>
      <c r="Q33" s="22">
        <f t="shared" si="1"/>
        <v>3.737481841629362</v>
      </c>
      <c r="R33" s="22">
        <f t="shared" si="14"/>
        <v>97.03741365509471</v>
      </c>
      <c r="S33" s="22">
        <f t="shared" si="15"/>
        <v>140.62639708280219</v>
      </c>
      <c r="T33" s="22">
        <f t="shared" si="16"/>
        <v>114.84892235628948</v>
      </c>
      <c r="U33" s="22">
        <f t="shared" si="17"/>
        <v>143.44872669058137</v>
      </c>
      <c r="V33" s="22">
        <f t="shared" si="18"/>
        <v>141.25786368622337</v>
      </c>
      <c r="W33" s="22">
        <f t="shared" si="19"/>
        <v>143.26788414218376</v>
      </c>
      <c r="X33" s="22">
        <f t="shared" si="20"/>
        <v>33.90557647268092</v>
      </c>
      <c r="Y33" s="22">
        <f t="shared" si="21"/>
        <v>51.897927722273273</v>
      </c>
      <c r="Z33" s="22">
        <f t="shared" si="22"/>
        <v>93.651803978536066</v>
      </c>
      <c r="AA33" s="22">
        <f t="shared" si="23"/>
        <v>100.58904272034627</v>
      </c>
      <c r="AB33" s="24"/>
      <c r="AC33" s="19">
        <f t="shared" si="2"/>
        <v>2.9371585407948365E-3</v>
      </c>
      <c r="AD33" s="19">
        <f t="shared" si="3"/>
        <v>2.3443327551517391E-3</v>
      </c>
      <c r="AE33" s="19">
        <f t="shared" si="4"/>
        <v>2.9430281379514253E-3</v>
      </c>
      <c r="AF33" s="19">
        <f t="shared" si="5"/>
        <v>2.9523901253645447E-3</v>
      </c>
      <c r="AG33" s="19">
        <f t="shared" si="6"/>
        <v>2.9477048668955347E-3</v>
      </c>
      <c r="AH33" s="19">
        <f t="shared" si="7"/>
        <v>2.9528015415789107E-3</v>
      </c>
      <c r="AI33" s="19">
        <f t="shared" si="8"/>
        <v>2.9524835930216159E-3</v>
      </c>
      <c r="AJ33" s="19">
        <f t="shared" si="9"/>
        <v>2.9527756624888532E-3</v>
      </c>
      <c r="AK33" s="19">
        <f t="shared" si="10"/>
        <v>2.888015653837814E-3</v>
      </c>
      <c r="AL33" s="19">
        <f t="shared" si="11"/>
        <v>2.9170721134325422E-3</v>
      </c>
      <c r="AM33" s="19">
        <f t="shared" si="12"/>
        <v>2.9419401126721781E-3</v>
      </c>
      <c r="AN33" s="19">
        <f t="shared" si="13"/>
        <v>2.9440915771375251E-3</v>
      </c>
      <c r="AO33" s="24"/>
    </row>
    <row r="34" spans="1:41">
      <c r="A34" s="12" t="s">
        <v>395</v>
      </c>
      <c r="B34" s="12">
        <v>1244.81</v>
      </c>
      <c r="C34" s="19">
        <v>11107</v>
      </c>
      <c r="D34" s="19">
        <v>6105</v>
      </c>
      <c r="E34" s="19">
        <v>37376</v>
      </c>
      <c r="F34" s="19">
        <v>32351</v>
      </c>
      <c r="G34" s="19">
        <v>14370</v>
      </c>
      <c r="H34" s="19">
        <v>12271</v>
      </c>
      <c r="I34" s="19">
        <v>3049</v>
      </c>
      <c r="J34" s="19">
        <v>25304</v>
      </c>
      <c r="K34" s="19">
        <v>21850</v>
      </c>
      <c r="L34" s="19">
        <v>15429</v>
      </c>
      <c r="M34" s="19">
        <v>49509</v>
      </c>
      <c r="N34" s="19">
        <v>44667</v>
      </c>
      <c r="O34" s="24"/>
      <c r="P34" s="22">
        <f t="shared" si="0"/>
        <v>7.9226468296366521</v>
      </c>
      <c r="Q34" s="22">
        <f t="shared" si="1"/>
        <v>3.9043629148223431</v>
      </c>
      <c r="R34" s="22">
        <f t="shared" si="14"/>
        <v>29.025465733726435</v>
      </c>
      <c r="S34" s="22">
        <f t="shared" si="15"/>
        <v>24.988705103590107</v>
      </c>
      <c r="T34" s="22">
        <f t="shared" si="16"/>
        <v>10.543930399016718</v>
      </c>
      <c r="U34" s="22">
        <f t="shared" si="17"/>
        <v>8.8577292920204691</v>
      </c>
      <c r="V34" s="22">
        <f t="shared" si="18"/>
        <v>1.4493697833404295</v>
      </c>
      <c r="W34" s="22">
        <f t="shared" si="19"/>
        <v>19.327600196013851</v>
      </c>
      <c r="X34" s="22">
        <f t="shared" si="20"/>
        <v>16.552879555916164</v>
      </c>
      <c r="Y34" s="22">
        <f t="shared" si="21"/>
        <v>11.394662639278284</v>
      </c>
      <c r="Z34" s="22">
        <f t="shared" si="22"/>
        <v>38.772334733814802</v>
      </c>
      <c r="AA34" s="22">
        <f t="shared" si="23"/>
        <v>34.882584490805826</v>
      </c>
      <c r="AB34" s="24"/>
      <c r="AC34" s="19">
        <f t="shared" si="2"/>
        <v>7.1381129958280817E-4</v>
      </c>
      <c r="AD34" s="19">
        <f t="shared" si="3"/>
        <v>6.399445521046885E-4</v>
      </c>
      <c r="AE34" s="19">
        <f t="shared" si="4"/>
        <v>7.7718385747941221E-4</v>
      </c>
      <c r="AF34" s="19">
        <f t="shared" si="5"/>
        <v>7.7302160404600531E-4</v>
      </c>
      <c r="AG34" s="19">
        <f t="shared" si="6"/>
        <v>7.3428480493340235E-4</v>
      </c>
      <c r="AH34" s="19">
        <f t="shared" si="7"/>
        <v>7.2236393090789424E-4</v>
      </c>
      <c r="AI34" s="19">
        <f t="shared" si="8"/>
        <v>4.7558513678815876E-4</v>
      </c>
      <c r="AJ34" s="19">
        <f t="shared" si="9"/>
        <v>7.6439986606920347E-4</v>
      </c>
      <c r="AK34" s="19">
        <f t="shared" si="10"/>
        <v>7.5814320407594361E-4</v>
      </c>
      <c r="AL34" s="19">
        <f t="shared" si="11"/>
        <v>7.3906825281525143E-4</v>
      </c>
      <c r="AM34" s="19">
        <f t="shared" si="12"/>
        <v>7.8375088540450486E-4</v>
      </c>
      <c r="AN34" s="19">
        <f t="shared" si="13"/>
        <v>7.8155791189697156E-4</v>
      </c>
      <c r="AO34" s="24"/>
    </row>
    <row r="35" spans="1:41">
      <c r="A35" s="12" t="s">
        <v>397</v>
      </c>
      <c r="B35" s="12">
        <v>1799.11</v>
      </c>
      <c r="C35" s="19">
        <v>20780</v>
      </c>
      <c r="D35" s="19">
        <v>23695</v>
      </c>
      <c r="E35" s="19">
        <v>46765</v>
      </c>
      <c r="F35" s="19">
        <v>38315</v>
      </c>
      <c r="G35" s="19">
        <v>39708</v>
      </c>
      <c r="H35" s="19">
        <v>44100</v>
      </c>
      <c r="I35" s="19">
        <v>36165</v>
      </c>
      <c r="J35" s="19">
        <v>17123</v>
      </c>
      <c r="K35" s="19">
        <v>31506</v>
      </c>
      <c r="L35" s="19">
        <v>42172</v>
      </c>
      <c r="M35" s="19">
        <v>37464</v>
      </c>
      <c r="N35" s="19">
        <v>12448</v>
      </c>
      <c r="O35" s="24"/>
      <c r="P35" s="22">
        <f t="shared" si="0"/>
        <v>10.550155354591993</v>
      </c>
      <c r="Q35" s="22">
        <f t="shared" si="1"/>
        <v>12.170400920455114</v>
      </c>
      <c r="R35" s="22">
        <f t="shared" si="14"/>
        <v>24.993407851659988</v>
      </c>
      <c r="S35" s="22">
        <f t="shared" si="15"/>
        <v>20.296641116996739</v>
      </c>
      <c r="T35" s="22">
        <f t="shared" si="16"/>
        <v>21.070912840237675</v>
      </c>
      <c r="U35" s="22">
        <f t="shared" si="17"/>
        <v>23.512119881496965</v>
      </c>
      <c r="V35" s="22">
        <f t="shared" si="18"/>
        <v>19.10160579397591</v>
      </c>
      <c r="W35" s="22">
        <f t="shared" si="19"/>
        <v>8.5174836446909854</v>
      </c>
      <c r="X35" s="22">
        <f t="shared" si="20"/>
        <v>16.511992040508918</v>
      </c>
      <c r="Y35" s="22">
        <f t="shared" si="21"/>
        <v>22.440478903457823</v>
      </c>
      <c r="Z35" s="22">
        <f t="shared" si="22"/>
        <v>19.823629461233612</v>
      </c>
      <c r="AA35" s="22">
        <f t="shared" si="23"/>
        <v>5.9189766050991883</v>
      </c>
      <c r="AB35" s="24"/>
      <c r="AC35" s="19">
        <f t="shared" si="2"/>
        <v>5.079650849447964E-4</v>
      </c>
      <c r="AD35" s="19">
        <f t="shared" si="3"/>
        <v>5.1389133505094883E-4</v>
      </c>
      <c r="AE35" s="19">
        <f t="shared" si="4"/>
        <v>5.3473265568299098E-4</v>
      </c>
      <c r="AF35" s="19">
        <f t="shared" si="5"/>
        <v>5.3001170754045401E-4</v>
      </c>
      <c r="AG35" s="19">
        <f t="shared" si="6"/>
        <v>5.3092827600649301E-4</v>
      </c>
      <c r="AH35" s="19">
        <f t="shared" si="7"/>
        <v>5.3343905134743122E-4</v>
      </c>
      <c r="AI35" s="19">
        <f t="shared" si="8"/>
        <v>5.2845845981345943E-4</v>
      </c>
      <c r="AJ35" s="19">
        <f t="shared" si="9"/>
        <v>4.9767696081674242E-4</v>
      </c>
      <c r="AK35" s="19">
        <f t="shared" si="10"/>
        <v>5.2436521153774354E-4</v>
      </c>
      <c r="AL35" s="19">
        <f t="shared" si="11"/>
        <v>5.3240126725941225E-4</v>
      </c>
      <c r="AM35" s="19">
        <f t="shared" si="12"/>
        <v>5.2941822688429936E-4</v>
      </c>
      <c r="AN35" s="19">
        <f t="shared" si="13"/>
        <v>4.7572239675740014E-4</v>
      </c>
      <c r="AO35" s="24"/>
    </row>
    <row r="36" spans="1:41">
      <c r="A36" s="12" t="s">
        <v>397</v>
      </c>
      <c r="B36" s="12">
        <v>1759.27</v>
      </c>
      <c r="C36" s="19">
        <v>8480</v>
      </c>
      <c r="D36" s="19">
        <v>48860</v>
      </c>
      <c r="E36" s="19">
        <v>43238</v>
      </c>
      <c r="F36" s="19">
        <v>44874</v>
      </c>
      <c r="G36" s="19">
        <v>17422</v>
      </c>
      <c r="H36" s="19">
        <v>24075</v>
      </c>
      <c r="I36" s="19">
        <v>26740</v>
      </c>
      <c r="J36" s="19">
        <v>4745</v>
      </c>
      <c r="K36" s="19">
        <v>17857</v>
      </c>
      <c r="L36" s="19">
        <v>37239</v>
      </c>
      <c r="M36" s="19">
        <v>33944</v>
      </c>
      <c r="N36" s="19">
        <v>40247</v>
      </c>
      <c r="O36" s="24"/>
      <c r="P36" s="22">
        <f t="shared" si="0"/>
        <v>3.8201810978417181</v>
      </c>
      <c r="Q36" s="22">
        <f t="shared" si="1"/>
        <v>26.772883070819148</v>
      </c>
      <c r="R36" s="22">
        <f t="shared" si="14"/>
        <v>23.577239423169839</v>
      </c>
      <c r="S36" s="22">
        <f t="shared" si="15"/>
        <v>24.507170587800623</v>
      </c>
      <c r="T36" s="22">
        <f t="shared" si="16"/>
        <v>8.9029711187026432</v>
      </c>
      <c r="U36" s="22">
        <f t="shared" si="17"/>
        <v>12.68465329369568</v>
      </c>
      <c r="V36" s="22">
        <f t="shared" si="18"/>
        <v>14.199486150505606</v>
      </c>
      <c r="W36" s="22">
        <f t="shared" si="19"/>
        <v>1.6971414279786503</v>
      </c>
      <c r="X36" s="22">
        <f t="shared" si="20"/>
        <v>9.1502327669999488</v>
      </c>
      <c r="Y36" s="22">
        <f t="shared" si="21"/>
        <v>20.167302346996198</v>
      </c>
      <c r="Z36" s="22">
        <f t="shared" si="22"/>
        <v>18.294366413341898</v>
      </c>
      <c r="AA36" s="22">
        <f t="shared" si="23"/>
        <v>21.877102434532507</v>
      </c>
      <c r="AB36" s="24"/>
      <c r="AC36" s="19">
        <f t="shared" si="2"/>
        <v>4.5069608944852606E-4</v>
      </c>
      <c r="AD36" s="19">
        <f t="shared" si="3"/>
        <v>5.4825135776328214E-4</v>
      </c>
      <c r="AE36" s="19">
        <f t="shared" si="4"/>
        <v>5.4558728121386864E-4</v>
      </c>
      <c r="AF36" s="19">
        <f t="shared" si="5"/>
        <v>5.4643138732951005E-4</v>
      </c>
      <c r="AG36" s="19">
        <f t="shared" si="6"/>
        <v>5.1128016480561785E-4</v>
      </c>
      <c r="AH36" s="19">
        <f t="shared" si="7"/>
        <v>5.2715846795815433E-4</v>
      </c>
      <c r="AI36" s="19">
        <f t="shared" si="8"/>
        <v>5.3130255698598564E-4</v>
      </c>
      <c r="AJ36" s="19">
        <f t="shared" si="9"/>
        <v>3.5779739952965548E-4</v>
      </c>
      <c r="AK36" s="19">
        <f t="shared" si="10"/>
        <v>5.1267984022360655E-4</v>
      </c>
      <c r="AL36" s="19">
        <f t="shared" si="11"/>
        <v>5.418574653005691E-4</v>
      </c>
      <c r="AM36" s="19">
        <f t="shared" si="12"/>
        <v>5.3924792636384725E-4</v>
      </c>
      <c r="AN36" s="19">
        <f t="shared" si="13"/>
        <v>5.4386664001607231E-4</v>
      </c>
      <c r="AO36" s="24"/>
    </row>
    <row r="37" spans="1:41">
      <c r="A37" s="12" t="s">
        <v>398</v>
      </c>
      <c r="B37" s="12">
        <v>2004.73</v>
      </c>
      <c r="C37" s="19">
        <v>7435</v>
      </c>
      <c r="D37" s="19">
        <v>30971</v>
      </c>
      <c r="E37" s="19">
        <v>40720</v>
      </c>
      <c r="F37" s="19">
        <v>24572</v>
      </c>
      <c r="G37" s="19">
        <v>2640</v>
      </c>
      <c r="H37" s="19">
        <v>34928</v>
      </c>
      <c r="I37" s="19">
        <v>13160</v>
      </c>
      <c r="J37" s="19">
        <v>2874</v>
      </c>
      <c r="K37" s="19">
        <v>30684</v>
      </c>
      <c r="L37" s="19">
        <v>34342</v>
      </c>
      <c r="M37" s="19">
        <v>43456</v>
      </c>
      <c r="N37" s="19">
        <v>42338</v>
      </c>
      <c r="O37" s="24"/>
      <c r="P37" s="22">
        <f t="shared" ref="P37:P68" si="24">(C37-B37)/B37</f>
        <v>2.7087288562549574</v>
      </c>
      <c r="Q37" s="22">
        <f t="shared" ref="Q37:Q68" si="25">(D37-B37)/B37</f>
        <v>14.448963202027207</v>
      </c>
      <c r="R37" s="22">
        <f t="shared" si="14"/>
        <v>19.311962209374826</v>
      </c>
      <c r="S37" s="22">
        <f t="shared" si="15"/>
        <v>11.257012166226874</v>
      </c>
      <c r="T37" s="22">
        <f t="shared" si="16"/>
        <v>0.31688556563726783</v>
      </c>
      <c r="U37" s="22">
        <f t="shared" si="17"/>
        <v>16.422795089613064</v>
      </c>
      <c r="V37" s="22">
        <f t="shared" si="18"/>
        <v>5.5644750165857744</v>
      </c>
      <c r="W37" s="22">
        <f t="shared" si="19"/>
        <v>0.43360951350057114</v>
      </c>
      <c r="X37" s="22">
        <f t="shared" si="20"/>
        <v>14.305801778793155</v>
      </c>
      <c r="Y37" s="22">
        <f t="shared" si="21"/>
        <v>16.130486399664793</v>
      </c>
      <c r="Z37" s="22">
        <f t="shared" si="22"/>
        <v>20.676734522853451</v>
      </c>
      <c r="AA37" s="22">
        <f t="shared" si="23"/>
        <v>20.119053438617666</v>
      </c>
      <c r="AB37" s="24"/>
      <c r="AC37" s="19">
        <f t="shared" ref="AC37:AC68" si="26">P37 /(C37 - P37)</f>
        <v>3.6445407713927159E-4</v>
      </c>
      <c r="AD37" s="19">
        <f t="shared" ref="AD37:AD68" si="27">Q37 / (D37 - Q37)</f>
        <v>4.6674977405757382E-4</v>
      </c>
      <c r="AE37" s="19">
        <f t="shared" ref="AE37:AE68" si="28">R37 / (E37 - R37)</f>
        <v>4.7448736472080401E-4</v>
      </c>
      <c r="AF37" s="19">
        <f t="shared" ref="AF37:AF68" si="29">S37 / (F37 - S37)</f>
        <v>4.5833353542289271E-4</v>
      </c>
      <c r="AG37" s="19">
        <f t="shared" ref="AG37:AG68" si="30">T37 / (G37 - T37)</f>
        <v>1.2004682073559075E-4</v>
      </c>
      <c r="AH37" s="19">
        <f t="shared" ref="AH37:AH68" si="31">U37 / (H37 - U37)</f>
        <v>4.7041114737443504E-4</v>
      </c>
      <c r="AI37" s="19">
        <f t="shared" ref="AI37:AI68" si="32">V37 / (I37 - V37)</f>
        <v>4.2301131097700906E-4</v>
      </c>
      <c r="AJ37" s="19">
        <f t="shared" ref="AJ37:AJ68" si="33">W37 / (J37 - W37)</f>
        <v>1.5089594412578033E-4</v>
      </c>
      <c r="AK37" s="19">
        <f t="shared" ref="AK37:AK68" si="34">X37 / (K37 - X37)</f>
        <v>4.6644748677092672E-4</v>
      </c>
      <c r="AL37" s="19">
        <f t="shared" ref="AL37:AL68" si="35">Y37 / (L37 - Y37)</f>
        <v>4.6992214991884454E-4</v>
      </c>
      <c r="AM37" s="19">
        <f t="shared" ref="AM37:AM68" si="36">Z37 / (M37 - Z37)</f>
        <v>4.7603500948932814E-4</v>
      </c>
      <c r="AN37" s="19">
        <f t="shared" ref="AN37:AN68" si="37">AA37 / (N37 - AA37)</f>
        <v>4.754267696916066E-4</v>
      </c>
      <c r="AO37" s="24"/>
    </row>
    <row r="38" spans="1:41">
      <c r="A38" s="12" t="s">
        <v>398</v>
      </c>
      <c r="B38" s="12">
        <v>331.02</v>
      </c>
      <c r="C38" s="19">
        <v>17085</v>
      </c>
      <c r="D38" s="19">
        <v>24432</v>
      </c>
      <c r="E38" s="19">
        <v>22362</v>
      </c>
      <c r="F38" s="19">
        <v>33557</v>
      </c>
      <c r="G38" s="19">
        <v>48423</v>
      </c>
      <c r="H38" s="19">
        <v>15889</v>
      </c>
      <c r="I38" s="19">
        <v>45509</v>
      </c>
      <c r="J38" s="19">
        <v>43583</v>
      </c>
      <c r="K38" s="19">
        <v>17981</v>
      </c>
      <c r="L38" s="19">
        <v>46769</v>
      </c>
      <c r="M38" s="19">
        <v>15272</v>
      </c>
      <c r="N38" s="19">
        <v>30135</v>
      </c>
      <c r="O38" s="24"/>
      <c r="P38" s="22">
        <f t="shared" si="24"/>
        <v>50.613195577306506</v>
      </c>
      <c r="Q38" s="22">
        <f t="shared" si="25"/>
        <v>72.808229110023561</v>
      </c>
      <c r="R38" s="22">
        <f t="shared" si="14"/>
        <v>66.55483052383542</v>
      </c>
      <c r="S38" s="22">
        <f t="shared" si="15"/>
        <v>100.37453930276118</v>
      </c>
      <c r="T38" s="22">
        <f t="shared" si="16"/>
        <v>145.28421243429401</v>
      </c>
      <c r="U38" s="22">
        <f t="shared" si="17"/>
        <v>47.000120838620028</v>
      </c>
      <c r="V38" s="22">
        <f t="shared" si="18"/>
        <v>136.48111896562142</v>
      </c>
      <c r="W38" s="22">
        <f t="shared" si="19"/>
        <v>130.66273941151593</v>
      </c>
      <c r="X38" s="22">
        <f t="shared" si="20"/>
        <v>53.3199806658208</v>
      </c>
      <c r="Y38" s="22">
        <f t="shared" si="21"/>
        <v>140.28753549634465</v>
      </c>
      <c r="Z38" s="22">
        <f t="shared" si="22"/>
        <v>45.136185124765873</v>
      </c>
      <c r="AA38" s="22">
        <f t="shared" si="23"/>
        <v>90.036795359796997</v>
      </c>
      <c r="AB38" s="24"/>
      <c r="AC38" s="19">
        <f t="shared" si="26"/>
        <v>2.9712367200776277E-3</v>
      </c>
      <c r="AD38" s="19">
        <f t="shared" si="27"/>
        <v>2.988942728265383E-3</v>
      </c>
      <c r="AE38" s="19">
        <f t="shared" si="28"/>
        <v>2.9851312686482298E-3</v>
      </c>
      <c r="AF38" s="19">
        <f t="shared" si="29"/>
        <v>3.0001393721155456E-3</v>
      </c>
      <c r="AG38" s="19">
        <f t="shared" si="30"/>
        <v>3.0093431320069425E-3</v>
      </c>
      <c r="AH38" s="19">
        <f t="shared" si="31"/>
        <v>2.9668047719432285E-3</v>
      </c>
      <c r="AI38" s="19">
        <f t="shared" si="32"/>
        <v>3.0080128309268334E-3</v>
      </c>
      <c r="AJ38" s="19">
        <f t="shared" si="33"/>
        <v>3.0070359306086803E-3</v>
      </c>
      <c r="AK38" s="19">
        <f t="shared" si="34"/>
        <v>2.9741707018597859E-3</v>
      </c>
      <c r="AL38" s="19">
        <f t="shared" si="35"/>
        <v>3.0086083891580589E-3</v>
      </c>
      <c r="AM38" s="19">
        <f t="shared" si="36"/>
        <v>2.9642469830637092E-3</v>
      </c>
      <c r="AN38" s="19">
        <f t="shared" si="37"/>
        <v>2.9967350848974094E-3</v>
      </c>
      <c r="AO38" s="24"/>
    </row>
    <row r="39" spans="1:41">
      <c r="A39" s="12" t="s">
        <v>396</v>
      </c>
      <c r="B39" s="12">
        <v>1973.76</v>
      </c>
      <c r="C39" s="19">
        <v>47023</v>
      </c>
      <c r="D39" s="19">
        <v>22249</v>
      </c>
      <c r="E39" s="19">
        <v>46505</v>
      </c>
      <c r="F39" s="19">
        <v>31198</v>
      </c>
      <c r="G39" s="19">
        <v>12439</v>
      </c>
      <c r="H39" s="19">
        <v>25083</v>
      </c>
      <c r="I39" s="19">
        <v>3063</v>
      </c>
      <c r="J39" s="19">
        <v>26711</v>
      </c>
      <c r="K39" s="19">
        <v>36881</v>
      </c>
      <c r="L39" s="19">
        <v>49005</v>
      </c>
      <c r="M39" s="19">
        <v>9389</v>
      </c>
      <c r="N39" s="19">
        <v>19443</v>
      </c>
      <c r="O39" s="24"/>
      <c r="P39" s="22">
        <f t="shared" si="24"/>
        <v>22.824071822308689</v>
      </c>
      <c r="Q39" s="22">
        <f t="shared" si="25"/>
        <v>10.272393806744489</v>
      </c>
      <c r="R39" s="22">
        <f t="shared" si="14"/>
        <v>22.561628566796369</v>
      </c>
      <c r="S39" s="22">
        <f t="shared" si="15"/>
        <v>14.806379701686122</v>
      </c>
      <c r="T39" s="22">
        <f t="shared" si="16"/>
        <v>5.3021846627756162</v>
      </c>
      <c r="U39" s="22">
        <f t="shared" si="17"/>
        <v>11.708232003891052</v>
      </c>
      <c r="V39" s="22">
        <f t="shared" si="18"/>
        <v>0.55186040856031127</v>
      </c>
      <c r="W39" s="22">
        <f t="shared" si="19"/>
        <v>12.533053664072634</v>
      </c>
      <c r="X39" s="22">
        <f t="shared" si="20"/>
        <v>17.685655804150453</v>
      </c>
      <c r="Y39" s="22">
        <f t="shared" si="21"/>
        <v>23.828246595330739</v>
      </c>
      <c r="Z39" s="22">
        <f t="shared" si="22"/>
        <v>3.7569106679636834</v>
      </c>
      <c r="AA39" s="22">
        <f t="shared" si="23"/>
        <v>8.8507417315175108</v>
      </c>
      <c r="AB39" s="24"/>
      <c r="AC39" s="19">
        <f t="shared" si="26"/>
        <v>4.8561673167323466E-4</v>
      </c>
      <c r="AD39" s="19">
        <f t="shared" si="27"/>
        <v>4.6191463777287928E-4</v>
      </c>
      <c r="AE39" s="19">
        <f t="shared" si="28"/>
        <v>4.8537962631199031E-4</v>
      </c>
      <c r="AF39" s="19">
        <f t="shared" si="29"/>
        <v>4.7481922095522934E-4</v>
      </c>
      <c r="AG39" s="19">
        <f t="shared" si="30"/>
        <v>4.264366676368201E-4</v>
      </c>
      <c r="AH39" s="19">
        <f t="shared" si="31"/>
        <v>4.6699755689640174E-4</v>
      </c>
      <c r="AI39" s="19">
        <f t="shared" si="32"/>
        <v>1.8020236862980311E-4</v>
      </c>
      <c r="AJ39" s="19">
        <f t="shared" si="33"/>
        <v>4.6942971254732133E-4</v>
      </c>
      <c r="AK39" s="19">
        <f t="shared" si="34"/>
        <v>4.7976304135374277E-4</v>
      </c>
      <c r="AL39" s="19">
        <f t="shared" si="35"/>
        <v>4.8647767585663045E-4</v>
      </c>
      <c r="AM39" s="19">
        <f t="shared" si="36"/>
        <v>4.0029977190831283E-4</v>
      </c>
      <c r="AN39" s="19">
        <f t="shared" si="37"/>
        <v>4.5542213419771179E-4</v>
      </c>
      <c r="AO39" s="24"/>
    </row>
    <row r="40" spans="1:41">
      <c r="A40" s="12" t="s">
        <v>396</v>
      </c>
      <c r="B40" s="12">
        <v>970.84</v>
      </c>
      <c r="C40" s="19">
        <v>15772</v>
      </c>
      <c r="D40" s="19">
        <v>49189</v>
      </c>
      <c r="E40" s="19">
        <v>33153</v>
      </c>
      <c r="F40" s="19">
        <v>5491</v>
      </c>
      <c r="G40" s="19">
        <v>16486</v>
      </c>
      <c r="H40" s="19">
        <v>7455</v>
      </c>
      <c r="I40" s="19">
        <v>40972</v>
      </c>
      <c r="J40" s="19">
        <v>20484</v>
      </c>
      <c r="K40" s="19">
        <v>14418</v>
      </c>
      <c r="L40" s="19">
        <v>30712</v>
      </c>
      <c r="M40" s="19">
        <v>19367</v>
      </c>
      <c r="N40" s="19">
        <v>16878</v>
      </c>
      <c r="O40" s="24"/>
      <c r="P40" s="22">
        <f t="shared" si="24"/>
        <v>15.245725351242223</v>
      </c>
      <c r="Q40" s="22">
        <f t="shared" si="25"/>
        <v>49.666433191875079</v>
      </c>
      <c r="R40" s="22">
        <f t="shared" si="14"/>
        <v>33.148778377487538</v>
      </c>
      <c r="S40" s="22">
        <f t="shared" si="15"/>
        <v>4.6559268262535536</v>
      </c>
      <c r="T40" s="22">
        <f t="shared" si="16"/>
        <v>15.981170944748877</v>
      </c>
      <c r="U40" s="22">
        <f t="shared" si="17"/>
        <v>6.6789172263194754</v>
      </c>
      <c r="V40" s="22">
        <f t="shared" si="18"/>
        <v>41.20262865147707</v>
      </c>
      <c r="W40" s="22">
        <f t="shared" si="19"/>
        <v>20.099254254048041</v>
      </c>
      <c r="X40" s="22">
        <f t="shared" si="20"/>
        <v>13.851056816777223</v>
      </c>
      <c r="Y40" s="22">
        <f t="shared" si="21"/>
        <v>30.634460879238596</v>
      </c>
      <c r="Z40" s="22">
        <f t="shared" si="22"/>
        <v>18.948704214906677</v>
      </c>
      <c r="AA40" s="22">
        <f t="shared" si="23"/>
        <v>16.384944996085864</v>
      </c>
      <c r="AB40" s="24"/>
      <c r="AC40" s="19">
        <f t="shared" si="26"/>
        <v>9.6756762753933811E-4</v>
      </c>
      <c r="AD40" s="19">
        <f t="shared" si="27"/>
        <v>1.0107266335704437E-3</v>
      </c>
      <c r="AE40" s="19">
        <f t="shared" si="28"/>
        <v>1.0008734083879621E-3</v>
      </c>
      <c r="AF40" s="19">
        <f t="shared" si="29"/>
        <v>8.486392330038805E-4</v>
      </c>
      <c r="AG40" s="19">
        <f t="shared" si="30"/>
        <v>9.7031892377415002E-4</v>
      </c>
      <c r="AH40" s="19">
        <f t="shared" si="31"/>
        <v>8.9670103532007159E-4</v>
      </c>
      <c r="AI40" s="19">
        <f t="shared" si="32"/>
        <v>1.0066412407670031E-3</v>
      </c>
      <c r="AJ40" s="19">
        <f t="shared" si="33"/>
        <v>9.8218098806144216E-4</v>
      </c>
      <c r="AK40" s="19">
        <f t="shared" si="34"/>
        <v>9.6160188785969535E-4</v>
      </c>
      <c r="AL40" s="19">
        <f t="shared" si="35"/>
        <v>9.9847123297617385E-4</v>
      </c>
      <c r="AM40" s="19">
        <f t="shared" si="36"/>
        <v>9.793598293299224E-4</v>
      </c>
      <c r="AN40" s="19">
        <f t="shared" si="37"/>
        <v>9.7173046251126515E-4</v>
      </c>
      <c r="AO40" s="24"/>
    </row>
    <row r="41" spans="1:41">
      <c r="A41" s="12" t="s">
        <v>395</v>
      </c>
      <c r="B41" s="12">
        <v>1227.19</v>
      </c>
      <c r="C41" s="19">
        <v>26102</v>
      </c>
      <c r="D41" s="19">
        <v>44495</v>
      </c>
      <c r="E41" s="19">
        <v>31215</v>
      </c>
      <c r="F41" s="19">
        <v>17459</v>
      </c>
      <c r="G41" s="19">
        <v>17647</v>
      </c>
      <c r="H41" s="19">
        <v>41687</v>
      </c>
      <c r="I41" s="19">
        <v>20944</v>
      </c>
      <c r="J41" s="19">
        <v>11909</v>
      </c>
      <c r="K41" s="19">
        <v>2628</v>
      </c>
      <c r="L41" s="19">
        <v>22324</v>
      </c>
      <c r="M41" s="19">
        <v>12389</v>
      </c>
      <c r="N41" s="19">
        <v>48970</v>
      </c>
      <c r="O41" s="24"/>
      <c r="P41" s="22">
        <f t="shared" si="24"/>
        <v>20.26973003365412</v>
      </c>
      <c r="Q41" s="22">
        <f t="shared" si="25"/>
        <v>35.257629217969502</v>
      </c>
      <c r="R41" s="22">
        <f t="shared" si="14"/>
        <v>24.436159029979059</v>
      </c>
      <c r="S41" s="22">
        <f t="shared" si="15"/>
        <v>13.22681084428654</v>
      </c>
      <c r="T41" s="22">
        <f t="shared" si="16"/>
        <v>13.380006355983996</v>
      </c>
      <c r="U41" s="22">
        <f t="shared" si="17"/>
        <v>32.969474979424533</v>
      </c>
      <c r="V41" s="22">
        <f t="shared" si="18"/>
        <v>16.066631898890961</v>
      </c>
      <c r="W41" s="22">
        <f t="shared" si="19"/>
        <v>8.7042837702393268</v>
      </c>
      <c r="X41" s="22">
        <f t="shared" si="20"/>
        <v>1.141477684792086</v>
      </c>
      <c r="Y41" s="22">
        <f t="shared" si="21"/>
        <v>17.191152144329727</v>
      </c>
      <c r="Z41" s="22">
        <f t="shared" si="22"/>
        <v>9.0954212469136806</v>
      </c>
      <c r="AA41" s="22">
        <f t="shared" si="23"/>
        <v>38.904171318214779</v>
      </c>
      <c r="AB41" s="24"/>
      <c r="AC41" s="19">
        <f t="shared" si="26"/>
        <v>7.7716201432368685E-4</v>
      </c>
      <c r="AD41" s="19">
        <f t="shared" si="27"/>
        <v>7.9302369599739395E-4</v>
      </c>
      <c r="AE41" s="19">
        <f t="shared" si="28"/>
        <v>7.8344717186167728E-4</v>
      </c>
      <c r="AF41" s="19">
        <f t="shared" si="29"/>
        <v>7.5816707582260223E-4</v>
      </c>
      <c r="AG41" s="19">
        <f t="shared" si="30"/>
        <v>7.5877819533407074E-4</v>
      </c>
      <c r="AH41" s="19">
        <f t="shared" si="31"/>
        <v>7.9150743790857311E-4</v>
      </c>
      <c r="AI41" s="19">
        <f t="shared" si="32"/>
        <v>7.6771230184534758E-4</v>
      </c>
      <c r="AJ41" s="19">
        <f t="shared" si="33"/>
        <v>7.314342414506829E-4</v>
      </c>
      <c r="AK41" s="19">
        <f t="shared" si="34"/>
        <v>4.3454098311546417E-4</v>
      </c>
      <c r="AL41" s="19">
        <f t="shared" si="35"/>
        <v>7.7066837581218136E-4</v>
      </c>
      <c r="AM41" s="19">
        <f t="shared" si="36"/>
        <v>7.3469235477982803E-4</v>
      </c>
      <c r="AN41" s="19">
        <f t="shared" si="37"/>
        <v>7.9508072850905667E-4</v>
      </c>
      <c r="AO41" s="24"/>
    </row>
    <row r="42" spans="1:41">
      <c r="A42" s="12" t="s">
        <v>398</v>
      </c>
      <c r="B42" s="12">
        <v>2581.06</v>
      </c>
      <c r="C42" s="19">
        <v>5409</v>
      </c>
      <c r="D42" s="19">
        <v>6495</v>
      </c>
      <c r="E42" s="19">
        <v>11492</v>
      </c>
      <c r="F42" s="19">
        <v>40121</v>
      </c>
      <c r="G42" s="19">
        <v>23147</v>
      </c>
      <c r="H42" s="19">
        <v>32682</v>
      </c>
      <c r="I42" s="19">
        <v>27666</v>
      </c>
      <c r="J42" s="19">
        <v>47114</v>
      </c>
      <c r="K42" s="19">
        <v>13703</v>
      </c>
      <c r="L42" s="19">
        <v>16331</v>
      </c>
      <c r="M42" s="19">
        <v>26816</v>
      </c>
      <c r="N42" s="19">
        <v>6309</v>
      </c>
      <c r="O42" s="24"/>
      <c r="P42" s="22">
        <f t="shared" si="24"/>
        <v>1.095650624162166</v>
      </c>
      <c r="Q42" s="22">
        <f t="shared" si="25"/>
        <v>1.516407987416023</v>
      </c>
      <c r="R42" s="22">
        <f t="shared" si="14"/>
        <v>3.4524342711909064</v>
      </c>
      <c r="S42" s="22">
        <f t="shared" si="15"/>
        <v>14.544388739510126</v>
      </c>
      <c r="T42" s="22">
        <f t="shared" si="16"/>
        <v>7.9680208906418288</v>
      </c>
      <c r="U42" s="22">
        <f t="shared" si="17"/>
        <v>11.662239544993142</v>
      </c>
      <c r="V42" s="22">
        <f t="shared" si="18"/>
        <v>9.7188519445499129</v>
      </c>
      <c r="W42" s="22">
        <f t="shared" si="19"/>
        <v>17.253740711180679</v>
      </c>
      <c r="X42" s="22">
        <f t="shared" si="20"/>
        <v>4.3090590687546984</v>
      </c>
      <c r="Y42" s="22">
        <f t="shared" si="21"/>
        <v>5.3272453953027057</v>
      </c>
      <c r="Z42" s="22">
        <f t="shared" si="22"/>
        <v>9.3895298830712957</v>
      </c>
      <c r="AA42" s="22">
        <f t="shared" si="23"/>
        <v>1.4443445716101138</v>
      </c>
      <c r="AB42" s="24"/>
      <c r="AC42" s="19">
        <f t="shared" si="26"/>
        <v>2.0260170176431138E-4</v>
      </c>
      <c r="AD42" s="19">
        <f t="shared" si="27"/>
        <v>2.3352765367441684E-4</v>
      </c>
      <c r="AE42" s="19">
        <f t="shared" si="28"/>
        <v>3.0051094374103251E-4</v>
      </c>
      <c r="AF42" s="19">
        <f t="shared" si="29"/>
        <v>3.6264457972762291E-4</v>
      </c>
      <c r="AG42" s="19">
        <f t="shared" si="30"/>
        <v>3.4435411549781374E-4</v>
      </c>
      <c r="AH42" s="19">
        <f t="shared" si="31"/>
        <v>3.5696721688348776E-4</v>
      </c>
      <c r="AI42" s="19">
        <f t="shared" si="32"/>
        <v>3.5141571972460435E-4</v>
      </c>
      <c r="AJ42" s="19">
        <f t="shared" si="33"/>
        <v>3.6634676663629923E-4</v>
      </c>
      <c r="AK42" s="19">
        <f t="shared" si="34"/>
        <v>3.1455991578577551E-4</v>
      </c>
      <c r="AL42" s="19">
        <f t="shared" si="35"/>
        <v>3.263109260719527E-4</v>
      </c>
      <c r="AM42" s="19">
        <f t="shared" si="36"/>
        <v>3.5026919548588269E-4</v>
      </c>
      <c r="AN42" s="19">
        <f t="shared" si="37"/>
        <v>2.2898641732429045E-4</v>
      </c>
      <c r="AO42" s="24"/>
    </row>
    <row r="43" spans="1:41">
      <c r="A43" s="12" t="s">
        <v>397</v>
      </c>
      <c r="B43" s="12">
        <v>76.64</v>
      </c>
      <c r="C43" s="19">
        <v>36794</v>
      </c>
      <c r="D43" s="19">
        <v>37984</v>
      </c>
      <c r="E43" s="19">
        <v>48564</v>
      </c>
      <c r="F43" s="19">
        <v>42633</v>
      </c>
      <c r="G43" s="19">
        <v>1722</v>
      </c>
      <c r="H43" s="19">
        <v>26443</v>
      </c>
      <c r="I43" s="19">
        <v>45793</v>
      </c>
      <c r="J43" s="19">
        <v>44571</v>
      </c>
      <c r="K43" s="19">
        <v>7691</v>
      </c>
      <c r="L43" s="19">
        <v>7638</v>
      </c>
      <c r="M43" s="19">
        <v>32004</v>
      </c>
      <c r="N43" s="19">
        <v>24894</v>
      </c>
      <c r="O43" s="24"/>
      <c r="P43" s="22">
        <f t="shared" si="24"/>
        <v>479.08872651356995</v>
      </c>
      <c r="Q43" s="22">
        <f t="shared" si="25"/>
        <v>494.61586638830897</v>
      </c>
      <c r="R43" s="22">
        <f t="shared" si="14"/>
        <v>632.66388308977037</v>
      </c>
      <c r="S43" s="22">
        <f t="shared" si="15"/>
        <v>555.27609603340295</v>
      </c>
      <c r="T43" s="22">
        <f t="shared" si="16"/>
        <v>21.468684759916492</v>
      </c>
      <c r="U43" s="22">
        <f t="shared" si="17"/>
        <v>344.02870563674321</v>
      </c>
      <c r="V43" s="22">
        <f t="shared" si="18"/>
        <v>596.5078288100209</v>
      </c>
      <c r="W43" s="22">
        <f t="shared" si="19"/>
        <v>580.56315240083507</v>
      </c>
      <c r="X43" s="22">
        <f t="shared" si="20"/>
        <v>99.352296450939448</v>
      </c>
      <c r="Y43" s="22">
        <f t="shared" si="21"/>
        <v>98.660751565761998</v>
      </c>
      <c r="Z43" s="22">
        <f t="shared" si="22"/>
        <v>416.58872651356995</v>
      </c>
      <c r="AA43" s="22">
        <f t="shared" si="23"/>
        <v>323.81732776617957</v>
      </c>
      <c r="AB43" s="24"/>
      <c r="AC43" s="19">
        <f t="shared" si="26"/>
        <v>1.31926172944653E-2</v>
      </c>
      <c r="AD43" s="19">
        <f t="shared" si="27"/>
        <v>1.3193491379466366E-2</v>
      </c>
      <c r="AE43" s="19">
        <f t="shared" si="28"/>
        <v>1.3199379244230286E-2</v>
      </c>
      <c r="AF43" s="19">
        <f t="shared" si="29"/>
        <v>1.3196438507479679E-2</v>
      </c>
      <c r="AG43" s="19">
        <f t="shared" si="30"/>
        <v>1.2624692393203891E-2</v>
      </c>
      <c r="AH43" s="19">
        <f t="shared" si="31"/>
        <v>1.3181696004663793E-2</v>
      </c>
      <c r="AI43" s="19">
        <f t="shared" si="32"/>
        <v>1.3198100121368676E-2</v>
      </c>
      <c r="AJ43" s="19">
        <f t="shared" si="33"/>
        <v>1.3197485499226636E-2</v>
      </c>
      <c r="AK43" s="19">
        <f t="shared" si="34"/>
        <v>1.3087053078673909E-2</v>
      </c>
      <c r="AL43" s="19">
        <f t="shared" si="35"/>
        <v>1.308612708815985E-2</v>
      </c>
      <c r="AM43" s="19">
        <f t="shared" si="36"/>
        <v>1.3188441525223773E-2</v>
      </c>
      <c r="AN43" s="19">
        <f t="shared" si="37"/>
        <v>1.317928043457804E-2</v>
      </c>
      <c r="AO43" s="24"/>
    </row>
    <row r="44" spans="1:41">
      <c r="A44" s="12" t="s">
        <v>396</v>
      </c>
      <c r="B44" s="12">
        <v>1785.82</v>
      </c>
      <c r="C44" s="19">
        <v>2989</v>
      </c>
      <c r="D44" s="19">
        <v>39384</v>
      </c>
      <c r="E44" s="19">
        <v>41207</v>
      </c>
      <c r="F44" s="19">
        <v>6951</v>
      </c>
      <c r="G44" s="19">
        <v>4508</v>
      </c>
      <c r="H44" s="19">
        <v>18567</v>
      </c>
      <c r="I44" s="19">
        <v>43291</v>
      </c>
      <c r="J44" s="19">
        <v>6696</v>
      </c>
      <c r="K44" s="19">
        <v>32838</v>
      </c>
      <c r="L44" s="19">
        <v>2067</v>
      </c>
      <c r="M44" s="19">
        <v>15809</v>
      </c>
      <c r="N44" s="19">
        <v>21486</v>
      </c>
      <c r="O44" s="24"/>
      <c r="P44" s="22">
        <f t="shared" si="24"/>
        <v>0.67374091453785945</v>
      </c>
      <c r="Q44" s="22">
        <f t="shared" si="25"/>
        <v>21.053734418922399</v>
      </c>
      <c r="R44" s="22">
        <f t="shared" si="14"/>
        <v>22.074553986404005</v>
      </c>
      <c r="S44" s="22">
        <f t="shared" si="15"/>
        <v>2.8923295740892141</v>
      </c>
      <c r="T44" s="22">
        <f t="shared" si="16"/>
        <v>1.5243305596308701</v>
      </c>
      <c r="U44" s="22">
        <f t="shared" si="17"/>
        <v>9.396904503253408</v>
      </c>
      <c r="V44" s="22">
        <f t="shared" si="18"/>
        <v>23.241524901725818</v>
      </c>
      <c r="W44" s="22">
        <f t="shared" si="19"/>
        <v>2.7495380273487813</v>
      </c>
      <c r="X44" s="22">
        <f t="shared" si="20"/>
        <v>17.388191419067994</v>
      </c>
      <c r="Y44" s="22">
        <f t="shared" si="21"/>
        <v>0.15745147887245078</v>
      </c>
      <c r="Z44" s="22">
        <f t="shared" si="22"/>
        <v>7.8525159310568817</v>
      </c>
      <c r="AA44" s="22">
        <f t="shared" si="23"/>
        <v>11.031447738293894</v>
      </c>
      <c r="AB44" s="24"/>
      <c r="AC44" s="19">
        <f t="shared" si="26"/>
        <v>2.2545761611185287E-4</v>
      </c>
      <c r="AD44" s="19">
        <f t="shared" si="27"/>
        <v>5.3486175239203992E-4</v>
      </c>
      <c r="AE44" s="19">
        <f t="shared" si="28"/>
        <v>5.3598625582896773E-4</v>
      </c>
      <c r="AF44" s="19">
        <f t="shared" si="29"/>
        <v>4.1627587125631251E-4</v>
      </c>
      <c r="AG44" s="19">
        <f t="shared" si="30"/>
        <v>3.3825336503373756E-4</v>
      </c>
      <c r="AH44" s="19">
        <f t="shared" si="31"/>
        <v>5.0636412767841204E-4</v>
      </c>
      <c r="AI44" s="19">
        <f t="shared" si="32"/>
        <v>5.3715574184648191E-4</v>
      </c>
      <c r="AJ44" s="19">
        <f t="shared" si="33"/>
        <v>4.1079263998413567E-4</v>
      </c>
      <c r="AK44" s="19">
        <f t="shared" si="34"/>
        <v>5.2979485941580956E-4</v>
      </c>
      <c r="AL44" s="19">
        <f t="shared" si="35"/>
        <v>7.6179716246460515E-5</v>
      </c>
      <c r="AM44" s="19">
        <f t="shared" si="36"/>
        <v>4.9695858727816808E-4</v>
      </c>
      <c r="AN44" s="19">
        <f t="shared" si="37"/>
        <v>5.1368865623470632E-4</v>
      </c>
      <c r="AO44" s="24"/>
    </row>
    <row r="45" spans="1:41">
      <c r="A45" s="12" t="s">
        <v>396</v>
      </c>
      <c r="B45" s="12">
        <v>1816.21</v>
      </c>
      <c r="C45" s="19">
        <v>6377</v>
      </c>
      <c r="D45" s="19">
        <v>9646</v>
      </c>
      <c r="E45" s="19">
        <v>20564</v>
      </c>
      <c r="F45" s="19">
        <v>38997</v>
      </c>
      <c r="G45" s="19">
        <v>29066</v>
      </c>
      <c r="H45" s="19">
        <v>15555</v>
      </c>
      <c r="I45" s="19">
        <v>21733</v>
      </c>
      <c r="J45" s="19">
        <v>37525</v>
      </c>
      <c r="K45" s="19">
        <v>30793</v>
      </c>
      <c r="L45" s="19">
        <v>26669</v>
      </c>
      <c r="M45" s="19">
        <v>42915</v>
      </c>
      <c r="N45" s="19">
        <v>25227</v>
      </c>
      <c r="O45" s="24"/>
      <c r="P45" s="22">
        <f t="shared" si="24"/>
        <v>2.5111578506890724</v>
      </c>
      <c r="Q45" s="22">
        <f t="shared" si="25"/>
        <v>4.3110598444012531</v>
      </c>
      <c r="R45" s="22">
        <f t="shared" si="14"/>
        <v>10.322479228723552</v>
      </c>
      <c r="S45" s="22">
        <f t="shared" si="15"/>
        <v>20.471635989230322</v>
      </c>
      <c r="T45" s="22">
        <f t="shared" si="16"/>
        <v>15.003655964893928</v>
      </c>
      <c r="U45" s="22">
        <f t="shared" si="17"/>
        <v>7.5645382417231488</v>
      </c>
      <c r="V45" s="22">
        <f t="shared" si="18"/>
        <v>10.966127265018914</v>
      </c>
      <c r="W45" s="22">
        <f t="shared" si="19"/>
        <v>19.66115702479339</v>
      </c>
      <c r="X45" s="22">
        <f t="shared" si="20"/>
        <v>15.954537195588616</v>
      </c>
      <c r="Y45" s="22">
        <f t="shared" si="21"/>
        <v>13.683874662071016</v>
      </c>
      <c r="Z45" s="22">
        <f t="shared" si="22"/>
        <v>22.628875515496556</v>
      </c>
      <c r="AA45" s="22">
        <f t="shared" si="23"/>
        <v>12.889913611311467</v>
      </c>
      <c r="AB45" s="24"/>
      <c r="AC45" s="19">
        <f t="shared" si="26"/>
        <v>3.93938700478198E-4</v>
      </c>
      <c r="AD45" s="19">
        <f t="shared" si="27"/>
        <v>4.4712704082856266E-4</v>
      </c>
      <c r="AE45" s="19">
        <f t="shared" si="28"/>
        <v>5.0222054998633647E-4</v>
      </c>
      <c r="AF45" s="19">
        <f t="shared" si="29"/>
        <v>5.2522984597399246E-4</v>
      </c>
      <c r="AG45" s="19">
        <f t="shared" si="30"/>
        <v>5.1645925624077787E-4</v>
      </c>
      <c r="AH45" s="19">
        <f t="shared" si="31"/>
        <v>4.8654572391244172E-4</v>
      </c>
      <c r="AI45" s="19">
        <f t="shared" si="32"/>
        <v>5.0483888061620948E-4</v>
      </c>
      <c r="AJ45" s="19">
        <f t="shared" si="33"/>
        <v>5.2422288749634765E-4</v>
      </c>
      <c r="AK45" s="19">
        <f t="shared" si="34"/>
        <v>5.1839079923608874E-4</v>
      </c>
      <c r="AL45" s="19">
        <f t="shared" si="35"/>
        <v>5.1336381072079797E-4</v>
      </c>
      <c r="AM45" s="19">
        <f t="shared" si="36"/>
        <v>5.2757343374237441E-4</v>
      </c>
      <c r="AN45" s="19">
        <f t="shared" si="37"/>
        <v>5.112182649773477E-4</v>
      </c>
      <c r="AO45" s="24"/>
    </row>
    <row r="46" spans="1:41">
      <c r="A46" s="12" t="s">
        <v>397</v>
      </c>
      <c r="B46" s="12">
        <v>1220.1500000000001</v>
      </c>
      <c r="C46" s="19">
        <v>23118</v>
      </c>
      <c r="D46" s="19">
        <v>1187</v>
      </c>
      <c r="E46" s="19">
        <v>26314</v>
      </c>
      <c r="F46" s="19">
        <v>13838</v>
      </c>
      <c r="G46" s="19">
        <v>16956</v>
      </c>
      <c r="H46" s="19">
        <v>13047</v>
      </c>
      <c r="I46" s="19">
        <v>19624</v>
      </c>
      <c r="J46" s="19">
        <v>46900</v>
      </c>
      <c r="K46" s="19">
        <v>14729</v>
      </c>
      <c r="L46" s="19">
        <v>6165</v>
      </c>
      <c r="M46" s="19">
        <v>48478</v>
      </c>
      <c r="N46" s="19">
        <v>32204</v>
      </c>
      <c r="O46" s="24"/>
      <c r="P46" s="22">
        <f t="shared" si="24"/>
        <v>17.94685079703315</v>
      </c>
      <c r="Q46" s="22">
        <f t="shared" si="25"/>
        <v>-2.7168790722452232E-2</v>
      </c>
      <c r="R46" s="22">
        <f t="shared" si="14"/>
        <v>20.566200876941355</v>
      </c>
      <c r="S46" s="22">
        <f t="shared" si="15"/>
        <v>10.341228537474899</v>
      </c>
      <c r="T46" s="22">
        <f t="shared" si="16"/>
        <v>12.896652050977337</v>
      </c>
      <c r="U46" s="22">
        <f t="shared" si="17"/>
        <v>9.6929475884112613</v>
      </c>
      <c r="V46" s="22">
        <f t="shared" si="18"/>
        <v>15.083268450600334</v>
      </c>
      <c r="W46" s="22">
        <f t="shared" si="19"/>
        <v>37.437896979879518</v>
      </c>
      <c r="X46" s="22">
        <f t="shared" si="20"/>
        <v>11.071466622956194</v>
      </c>
      <c r="Y46" s="22">
        <f t="shared" si="21"/>
        <v>4.0526574601483425</v>
      </c>
      <c r="Z46" s="22">
        <f t="shared" si="22"/>
        <v>38.731180592550089</v>
      </c>
      <c r="AA46" s="22">
        <f t="shared" si="23"/>
        <v>25.393476211941152</v>
      </c>
      <c r="AB46" s="24"/>
      <c r="AC46" s="19">
        <f t="shared" si="26"/>
        <v>7.7691816036589421E-4</v>
      </c>
      <c r="AD46" s="19">
        <f t="shared" si="27"/>
        <v>-2.2888095097376996E-5</v>
      </c>
      <c r="AE46" s="19">
        <f t="shared" si="28"/>
        <v>7.821801075532128E-4</v>
      </c>
      <c r="AF46" s="19">
        <f t="shared" si="29"/>
        <v>7.4786547082121308E-4</v>
      </c>
      <c r="AG46" s="19">
        <f t="shared" si="30"/>
        <v>7.6117413593764622E-4</v>
      </c>
      <c r="AH46" s="19">
        <f t="shared" si="31"/>
        <v>7.4347774041406034E-4</v>
      </c>
      <c r="AI46" s="19">
        <f t="shared" si="32"/>
        <v>7.6920457448485108E-4</v>
      </c>
      <c r="AJ46" s="19">
        <f t="shared" si="33"/>
        <v>7.9888711371730106E-4</v>
      </c>
      <c r="AK46" s="19">
        <f t="shared" si="34"/>
        <v>7.5224353738697182E-4</v>
      </c>
      <c r="AL46" s="19">
        <f t="shared" si="35"/>
        <v>6.5779777602800185E-4</v>
      </c>
      <c r="AM46" s="19">
        <f t="shared" si="36"/>
        <v>7.9958227150266634E-4</v>
      </c>
      <c r="AN46" s="19">
        <f t="shared" si="37"/>
        <v>7.8914157433041757E-4</v>
      </c>
      <c r="AO46" s="24"/>
    </row>
    <row r="47" spans="1:41">
      <c r="A47" s="12" t="s">
        <v>396</v>
      </c>
      <c r="B47" s="12">
        <v>749.23</v>
      </c>
      <c r="C47" s="19">
        <v>10875</v>
      </c>
      <c r="D47" s="19">
        <v>5319</v>
      </c>
      <c r="E47" s="19">
        <v>31332</v>
      </c>
      <c r="F47" s="19">
        <v>39125</v>
      </c>
      <c r="G47" s="19">
        <v>45453</v>
      </c>
      <c r="H47" s="19">
        <v>42647</v>
      </c>
      <c r="I47" s="19">
        <v>3328</v>
      </c>
      <c r="J47" s="19">
        <v>2528</v>
      </c>
      <c r="K47" s="19">
        <v>24712</v>
      </c>
      <c r="L47" s="19">
        <v>33540</v>
      </c>
      <c r="M47" s="19">
        <v>11293</v>
      </c>
      <c r="N47" s="19">
        <v>28941</v>
      </c>
      <c r="O47" s="24"/>
      <c r="P47" s="22">
        <f t="shared" si="24"/>
        <v>13.514901966018446</v>
      </c>
      <c r="Q47" s="22">
        <f t="shared" si="25"/>
        <v>6.0992886029657116</v>
      </c>
      <c r="R47" s="22">
        <f t="shared" si="14"/>
        <v>40.818934105681834</v>
      </c>
      <c r="S47" s="22">
        <f t="shared" si="15"/>
        <v>51.220279486939923</v>
      </c>
      <c r="T47" s="22">
        <f t="shared" si="16"/>
        <v>59.666284051626327</v>
      </c>
      <c r="U47" s="22">
        <f t="shared" si="17"/>
        <v>55.921105668486305</v>
      </c>
      <c r="V47" s="22">
        <f t="shared" si="18"/>
        <v>3.4418936775089088</v>
      </c>
      <c r="W47" s="22">
        <f t="shared" si="19"/>
        <v>2.3741307742615749</v>
      </c>
      <c r="X47" s="22">
        <f t="shared" si="20"/>
        <v>31.983196081310144</v>
      </c>
      <c r="Y47" s="22">
        <f t="shared" si="21"/>
        <v>43.765959718644467</v>
      </c>
      <c r="Z47" s="22">
        <f t="shared" si="22"/>
        <v>14.072808082965178</v>
      </c>
      <c r="AA47" s="22">
        <f t="shared" si="23"/>
        <v>37.627657728601363</v>
      </c>
      <c r="AB47" s="24"/>
      <c r="AC47" s="19">
        <f t="shared" si="26"/>
        <v>1.2442959543778E-3</v>
      </c>
      <c r="AD47" s="19">
        <f t="shared" si="27"/>
        <v>1.1480147915961891E-3</v>
      </c>
      <c r="AE47" s="19">
        <f t="shared" si="28"/>
        <v>1.3044868463009934E-3</v>
      </c>
      <c r="AF47" s="19">
        <f t="shared" si="29"/>
        <v>1.310860629642393E-3</v>
      </c>
      <c r="AG47" s="19">
        <f t="shared" si="30"/>
        <v>1.3144283348958646E-3</v>
      </c>
      <c r="AH47" s="19">
        <f t="shared" si="31"/>
        <v>1.3129769688912224E-3</v>
      </c>
      <c r="AI47" s="19">
        <f t="shared" si="32"/>
        <v>1.0352935841197283E-3</v>
      </c>
      <c r="AJ47" s="19">
        <f t="shared" si="33"/>
        <v>9.4001681056165058E-4</v>
      </c>
      <c r="AK47" s="19">
        <f t="shared" si="34"/>
        <v>1.2959146800998879E-3</v>
      </c>
      <c r="AL47" s="19">
        <f t="shared" si="35"/>
        <v>1.3065934416989417E-3</v>
      </c>
      <c r="AM47" s="19">
        <f t="shared" si="36"/>
        <v>1.2477080349494905E-3</v>
      </c>
      <c r="AN47" s="19">
        <f t="shared" si="37"/>
        <v>1.3018431649780408E-3</v>
      </c>
      <c r="AO47" s="24"/>
    </row>
    <row r="48" spans="1:41">
      <c r="A48" s="12" t="s">
        <v>395</v>
      </c>
      <c r="B48" s="12">
        <v>742.29</v>
      </c>
      <c r="C48" s="19">
        <v>10969</v>
      </c>
      <c r="D48" s="19">
        <v>4223</v>
      </c>
      <c r="E48" s="19">
        <v>48004</v>
      </c>
      <c r="F48" s="19">
        <v>15537</v>
      </c>
      <c r="G48" s="19">
        <v>39719</v>
      </c>
      <c r="H48" s="19">
        <v>12481</v>
      </c>
      <c r="I48" s="19">
        <v>18165</v>
      </c>
      <c r="J48" s="19">
        <v>19759</v>
      </c>
      <c r="K48" s="19">
        <v>30743</v>
      </c>
      <c r="L48" s="19">
        <v>11017</v>
      </c>
      <c r="M48" s="19">
        <v>31733</v>
      </c>
      <c r="N48" s="19">
        <v>1142</v>
      </c>
      <c r="O48" s="24"/>
      <c r="P48" s="22">
        <f t="shared" si="24"/>
        <v>13.77724339543844</v>
      </c>
      <c r="Q48" s="22">
        <f t="shared" si="25"/>
        <v>4.6891511403898747</v>
      </c>
      <c r="R48" s="22">
        <f t="shared" si="14"/>
        <v>63.670142397176306</v>
      </c>
      <c r="S48" s="22">
        <f t="shared" si="15"/>
        <v>19.931172452814938</v>
      </c>
      <c r="T48" s="22">
        <f t="shared" si="16"/>
        <v>52.508736477656981</v>
      </c>
      <c r="U48" s="22">
        <f t="shared" si="17"/>
        <v>15.814183135971115</v>
      </c>
      <c r="V48" s="22">
        <f t="shared" si="18"/>
        <v>23.471567716121733</v>
      </c>
      <c r="W48" s="22">
        <f t="shared" si="19"/>
        <v>25.618976410836733</v>
      </c>
      <c r="X48" s="22">
        <f t="shared" si="20"/>
        <v>40.416427541796331</v>
      </c>
      <c r="Y48" s="22">
        <f t="shared" si="21"/>
        <v>13.841908149106144</v>
      </c>
      <c r="Z48" s="22">
        <f t="shared" si="22"/>
        <v>41.750138086192727</v>
      </c>
      <c r="AA48" s="22">
        <f t="shared" si="23"/>
        <v>0.53848226434412438</v>
      </c>
      <c r="AB48" s="24"/>
      <c r="AC48" s="19">
        <f t="shared" si="26"/>
        <v>1.2575959158048675E-3</v>
      </c>
      <c r="AD48" s="19">
        <f t="shared" si="27"/>
        <v>1.1116182065286993E-3</v>
      </c>
      <c r="AE48" s="19">
        <f t="shared" si="28"/>
        <v>1.3281123135008822E-3</v>
      </c>
      <c r="AF48" s="19">
        <f t="shared" si="29"/>
        <v>1.2844676191312286E-3</v>
      </c>
      <c r="AG48" s="19">
        <f t="shared" si="30"/>
        <v>1.3237555126521736E-3</v>
      </c>
      <c r="AH48" s="19">
        <f t="shared" si="31"/>
        <v>1.2686680622583468E-3</v>
      </c>
      <c r="AI48" s="19">
        <f t="shared" si="32"/>
        <v>1.293803209786489E-3</v>
      </c>
      <c r="AJ48" s="19">
        <f t="shared" si="33"/>
        <v>1.2982558021968952E-3</v>
      </c>
      <c r="AK48" s="19">
        <f t="shared" si="34"/>
        <v>1.3163852301358752E-3</v>
      </c>
      <c r="AL48" s="19">
        <f t="shared" si="35"/>
        <v>1.2579941171033135E-3</v>
      </c>
      <c r="AM48" s="19">
        <f t="shared" si="36"/>
        <v>1.3174026984769567E-3</v>
      </c>
      <c r="AN48" s="19">
        <f t="shared" si="37"/>
        <v>4.7174806682254546E-4</v>
      </c>
      <c r="AO48" s="24"/>
    </row>
    <row r="49" spans="1:41">
      <c r="A49" s="12" t="s">
        <v>398</v>
      </c>
      <c r="B49" s="12">
        <v>2656.94</v>
      </c>
      <c r="C49" s="19">
        <v>34452</v>
      </c>
      <c r="D49" s="19">
        <v>15058</v>
      </c>
      <c r="E49" s="19">
        <v>22587</v>
      </c>
      <c r="F49" s="19">
        <v>16386</v>
      </c>
      <c r="G49" s="19">
        <v>43023</v>
      </c>
      <c r="H49" s="19">
        <v>9157</v>
      </c>
      <c r="I49" s="19">
        <v>14479</v>
      </c>
      <c r="J49" s="19">
        <v>29696</v>
      </c>
      <c r="K49" s="19">
        <v>38547</v>
      </c>
      <c r="L49" s="19">
        <v>47760</v>
      </c>
      <c r="M49" s="19">
        <v>14952</v>
      </c>
      <c r="N49" s="19">
        <v>48536</v>
      </c>
      <c r="O49" s="24"/>
      <c r="P49" s="22">
        <f t="shared" si="24"/>
        <v>11.966796389831913</v>
      </c>
      <c r="Q49" s="22">
        <f t="shared" si="25"/>
        <v>4.6674219214585193</v>
      </c>
      <c r="R49" s="22">
        <f t="shared" si="14"/>
        <v>7.5011328821877798</v>
      </c>
      <c r="S49" s="22">
        <f t="shared" si="15"/>
        <v>5.1672450262331848</v>
      </c>
      <c r="T49" s="22">
        <f t="shared" si="16"/>
        <v>15.19268782885575</v>
      </c>
      <c r="U49" s="22">
        <f t="shared" si="17"/>
        <v>2.4464459114620576</v>
      </c>
      <c r="V49" s="22">
        <f t="shared" si="18"/>
        <v>4.4495020587593244</v>
      </c>
      <c r="W49" s="22">
        <f t="shared" si="19"/>
        <v>10.176767258575655</v>
      </c>
      <c r="X49" s="22">
        <f t="shared" si="20"/>
        <v>13.508043087160416</v>
      </c>
      <c r="Y49" s="22">
        <f t="shared" si="21"/>
        <v>16.97556587653466</v>
      </c>
      <c r="Z49" s="22">
        <f t="shared" si="22"/>
        <v>4.6275264025533129</v>
      </c>
      <c r="AA49" s="22">
        <f t="shared" si="23"/>
        <v>17.26763118474636</v>
      </c>
      <c r="AB49" s="24"/>
      <c r="AC49" s="19">
        <f t="shared" si="26"/>
        <v>3.4746762057643709E-4</v>
      </c>
      <c r="AD49" s="19">
        <f t="shared" si="27"/>
        <v>3.1005904488255748E-4</v>
      </c>
      <c r="AE49" s="19">
        <f t="shared" si="28"/>
        <v>3.322098920942647E-4</v>
      </c>
      <c r="AF49" s="19">
        <f t="shared" si="29"/>
        <v>3.1544458719073593E-4</v>
      </c>
      <c r="AG49" s="19">
        <f t="shared" si="30"/>
        <v>3.5325418286452013E-4</v>
      </c>
      <c r="AH49" s="19">
        <f t="shared" si="31"/>
        <v>2.6723814514902745E-4</v>
      </c>
      <c r="AI49" s="19">
        <f t="shared" si="32"/>
        <v>3.074017434525646E-4</v>
      </c>
      <c r="AJ49" s="19">
        <f t="shared" si="33"/>
        <v>3.428157332470868E-4</v>
      </c>
      <c r="AK49" s="19">
        <f t="shared" si="34"/>
        <v>3.5055330833407889E-4</v>
      </c>
      <c r="AL49" s="19">
        <f t="shared" si="35"/>
        <v>3.5556117522378162E-4</v>
      </c>
      <c r="AM49" s="19">
        <f t="shared" si="36"/>
        <v>3.0958795003785617E-4</v>
      </c>
      <c r="AN49" s="19">
        <f t="shared" si="37"/>
        <v>3.5589617332716823E-4</v>
      </c>
      <c r="AO49" s="24"/>
    </row>
    <row r="50" spans="1:41">
      <c r="A50" s="12" t="s">
        <v>397</v>
      </c>
      <c r="B50" s="12">
        <v>1353.97</v>
      </c>
      <c r="C50" s="19">
        <v>20929</v>
      </c>
      <c r="D50" s="19">
        <v>8725</v>
      </c>
      <c r="E50" s="19">
        <v>32432</v>
      </c>
      <c r="F50" s="19">
        <v>29361</v>
      </c>
      <c r="G50" s="19">
        <v>6678</v>
      </c>
      <c r="H50" s="19">
        <v>42054</v>
      </c>
      <c r="I50" s="19">
        <v>31080</v>
      </c>
      <c r="J50" s="19">
        <v>21731</v>
      </c>
      <c r="K50" s="19">
        <v>17617</v>
      </c>
      <c r="L50" s="19">
        <v>37860</v>
      </c>
      <c r="M50" s="19">
        <v>26016</v>
      </c>
      <c r="N50" s="19">
        <v>39705</v>
      </c>
      <c r="O50" s="24"/>
      <c r="P50" s="22">
        <f t="shared" si="24"/>
        <v>14.457506444012791</v>
      </c>
      <c r="Q50" s="22">
        <f t="shared" si="25"/>
        <v>5.4440127920116392</v>
      </c>
      <c r="R50" s="22">
        <f t="shared" si="14"/>
        <v>22.95326336624888</v>
      </c>
      <c r="S50" s="22">
        <f t="shared" si="15"/>
        <v>20.685118577221061</v>
      </c>
      <c r="T50" s="22">
        <f t="shared" si="16"/>
        <v>3.9321624555935504</v>
      </c>
      <c r="U50" s="22">
        <f t="shared" si="17"/>
        <v>30.059772373095413</v>
      </c>
      <c r="V50" s="22">
        <f t="shared" si="18"/>
        <v>21.954718346787594</v>
      </c>
      <c r="W50" s="22">
        <f t="shared" si="19"/>
        <v>15.049838622716898</v>
      </c>
      <c r="X50" s="22">
        <f t="shared" si="20"/>
        <v>12.011366573853188</v>
      </c>
      <c r="Y50" s="22">
        <f t="shared" si="21"/>
        <v>26.962214820121567</v>
      </c>
      <c r="Z50" s="22">
        <f t="shared" si="22"/>
        <v>18.214605936616024</v>
      </c>
      <c r="AA50" s="22">
        <f t="shared" si="23"/>
        <v>28.324874258661563</v>
      </c>
      <c r="AB50" s="24"/>
      <c r="AC50" s="19">
        <f t="shared" si="26"/>
        <v>6.9126572806779381E-4</v>
      </c>
      <c r="AD50" s="19">
        <f t="shared" si="27"/>
        <v>6.2434518454818912E-4</v>
      </c>
      <c r="AE50" s="19">
        <f t="shared" si="28"/>
        <v>7.0823630058527846E-4</v>
      </c>
      <c r="AF50" s="19">
        <f t="shared" si="29"/>
        <v>7.0500670019455467E-4</v>
      </c>
      <c r="AG50" s="19">
        <f t="shared" si="30"/>
        <v>5.8917028584478889E-4</v>
      </c>
      <c r="AH50" s="19">
        <f t="shared" si="31"/>
        <v>7.1530114049928755E-4</v>
      </c>
      <c r="AI50" s="19">
        <f t="shared" si="32"/>
        <v>7.0689311409294689E-4</v>
      </c>
      <c r="AJ50" s="19">
        <f t="shared" si="33"/>
        <v>6.9303155104323544E-4</v>
      </c>
      <c r="AK50" s="19">
        <f t="shared" si="34"/>
        <v>6.822706236258233E-4</v>
      </c>
      <c r="AL50" s="19">
        <f t="shared" si="35"/>
        <v>7.1266322765874547E-4</v>
      </c>
      <c r="AM50" s="19">
        <f t="shared" si="36"/>
        <v>7.0062144373171664E-4</v>
      </c>
      <c r="AN50" s="19">
        <f t="shared" si="37"/>
        <v>7.1389233520439358E-4</v>
      </c>
      <c r="AO50" s="24"/>
    </row>
    <row r="51" spans="1:41">
      <c r="A51" s="12" t="s">
        <v>398</v>
      </c>
      <c r="B51" s="12">
        <v>1026.1199999999999</v>
      </c>
      <c r="C51" s="19">
        <v>6541</v>
      </c>
      <c r="D51" s="19">
        <v>31488</v>
      </c>
      <c r="E51" s="19">
        <v>5067</v>
      </c>
      <c r="F51" s="19">
        <v>8404</v>
      </c>
      <c r="G51" s="19">
        <v>24248</v>
      </c>
      <c r="H51" s="19">
        <v>21464</v>
      </c>
      <c r="I51" s="19">
        <v>15769</v>
      </c>
      <c r="J51" s="19">
        <v>16350</v>
      </c>
      <c r="K51" s="19">
        <v>1481</v>
      </c>
      <c r="L51" s="19">
        <v>29959</v>
      </c>
      <c r="M51" s="19">
        <v>10057</v>
      </c>
      <c r="N51" s="19">
        <v>16381</v>
      </c>
      <c r="O51" s="24"/>
      <c r="P51" s="22">
        <f t="shared" si="24"/>
        <v>5.3744981093829187</v>
      </c>
      <c r="Q51" s="22">
        <f t="shared" si="25"/>
        <v>29.686469418781432</v>
      </c>
      <c r="R51" s="22">
        <f t="shared" si="14"/>
        <v>3.9380189451526144</v>
      </c>
      <c r="S51" s="22">
        <f t="shared" si="15"/>
        <v>7.1900752348653185</v>
      </c>
      <c r="T51" s="22">
        <f t="shared" si="16"/>
        <v>22.630764433009787</v>
      </c>
      <c r="U51" s="22">
        <f t="shared" si="17"/>
        <v>19.91763146610533</v>
      </c>
      <c r="V51" s="22">
        <f t="shared" si="18"/>
        <v>14.367598331579154</v>
      </c>
      <c r="W51" s="22">
        <f t="shared" si="19"/>
        <v>14.933808911238454</v>
      </c>
      <c r="X51" s="22">
        <f t="shared" si="20"/>
        <v>0.44330097844306726</v>
      </c>
      <c r="Y51" s="22">
        <f t="shared" si="21"/>
        <v>28.196390285736566</v>
      </c>
      <c r="Z51" s="22">
        <f t="shared" si="22"/>
        <v>8.8009979339648403</v>
      </c>
      <c r="AA51" s="22">
        <f t="shared" si="23"/>
        <v>14.964019802752118</v>
      </c>
      <c r="AB51" s="24"/>
      <c r="AC51" s="19">
        <f t="shared" si="26"/>
        <v>8.2233875056460801E-4</v>
      </c>
      <c r="AD51" s="19">
        <f t="shared" si="27"/>
        <v>9.4367644311010683E-4</v>
      </c>
      <c r="AE51" s="19">
        <f t="shared" si="28"/>
        <v>7.7779394364280727E-4</v>
      </c>
      <c r="AF51" s="19">
        <f t="shared" si="29"/>
        <v>8.5628653015703822E-4</v>
      </c>
      <c r="AG51" s="19">
        <f t="shared" si="30"/>
        <v>9.3417624362909389E-4</v>
      </c>
      <c r="AH51" s="19">
        <f t="shared" si="31"/>
        <v>9.2881714982272169E-4</v>
      </c>
      <c r="AI51" s="19">
        <f t="shared" si="32"/>
        <v>9.1196023907594444E-4</v>
      </c>
      <c r="AJ51" s="19">
        <f t="shared" si="33"/>
        <v>9.1421783888364456E-4</v>
      </c>
      <c r="AK51" s="19">
        <f t="shared" si="34"/>
        <v>2.9941506376353425E-4</v>
      </c>
      <c r="AL51" s="19">
        <f t="shared" si="35"/>
        <v>9.4205256408769515E-4</v>
      </c>
      <c r="AM51" s="19">
        <f t="shared" si="36"/>
        <v>8.7587814812935575E-4</v>
      </c>
      <c r="AN51" s="19">
        <f t="shared" si="37"/>
        <v>9.1433379596980247E-4</v>
      </c>
      <c r="AO51" s="24"/>
    </row>
    <row r="52" spans="1:41">
      <c r="A52" s="12" t="s">
        <v>396</v>
      </c>
      <c r="B52" s="12">
        <v>1373.89</v>
      </c>
      <c r="C52" s="19">
        <v>39572</v>
      </c>
      <c r="D52" s="19">
        <v>12222</v>
      </c>
      <c r="E52" s="19">
        <v>8722</v>
      </c>
      <c r="F52" s="19">
        <v>28391</v>
      </c>
      <c r="G52" s="19">
        <v>37478</v>
      </c>
      <c r="H52" s="19">
        <v>30618</v>
      </c>
      <c r="I52" s="19">
        <v>26768</v>
      </c>
      <c r="J52" s="19">
        <v>43278</v>
      </c>
      <c r="K52" s="19">
        <v>43889</v>
      </c>
      <c r="L52" s="19">
        <v>32633</v>
      </c>
      <c r="M52" s="19">
        <v>5153</v>
      </c>
      <c r="N52" s="19">
        <v>21462</v>
      </c>
      <c r="O52" s="24"/>
      <c r="P52" s="22">
        <f t="shared" si="24"/>
        <v>27.802888149706305</v>
      </c>
      <c r="Q52" s="22">
        <f t="shared" si="25"/>
        <v>7.8959086972028327</v>
      </c>
      <c r="R52" s="22">
        <f t="shared" si="14"/>
        <v>5.3483976155296267</v>
      </c>
      <c r="S52" s="22">
        <f t="shared" si="15"/>
        <v>19.66468203422399</v>
      </c>
      <c r="T52" s="22">
        <f t="shared" si="16"/>
        <v>26.27874866255668</v>
      </c>
      <c r="U52" s="22">
        <f t="shared" si="17"/>
        <v>21.285626942477197</v>
      </c>
      <c r="V52" s="22">
        <f t="shared" si="18"/>
        <v>18.483364752636675</v>
      </c>
      <c r="W52" s="22">
        <f t="shared" si="19"/>
        <v>30.500338455043707</v>
      </c>
      <c r="X52" s="22">
        <f t="shared" si="20"/>
        <v>30.945061103872941</v>
      </c>
      <c r="Y52" s="22">
        <f t="shared" si="21"/>
        <v>22.752265465211917</v>
      </c>
      <c r="Z52" s="22">
        <f t="shared" si="22"/>
        <v>2.7506641725320073</v>
      </c>
      <c r="AA52" s="22">
        <f t="shared" si="23"/>
        <v>14.621337952820094</v>
      </c>
      <c r="AB52" s="24"/>
      <c r="AC52" s="19">
        <f t="shared" si="26"/>
        <v>7.0308389549713615E-4</v>
      </c>
      <c r="AD52" s="19">
        <f t="shared" si="27"/>
        <v>6.4645827792029478E-4</v>
      </c>
      <c r="AE52" s="19">
        <f t="shared" si="28"/>
        <v>6.1358396084874541E-4</v>
      </c>
      <c r="AF52" s="19">
        <f t="shared" si="29"/>
        <v>6.9311795915970114E-4</v>
      </c>
      <c r="AG52" s="19">
        <f t="shared" si="30"/>
        <v>7.0166998430327792E-4</v>
      </c>
      <c r="AH52" s="19">
        <f t="shared" si="31"/>
        <v>6.9568342152517631E-4</v>
      </c>
      <c r="AI52" s="19">
        <f t="shared" si="32"/>
        <v>6.9097939243812246E-4</v>
      </c>
      <c r="AJ52" s="19">
        <f t="shared" si="33"/>
        <v>7.052509091563543E-4</v>
      </c>
      <c r="AK52" s="19">
        <f t="shared" si="34"/>
        <v>7.0557303890895714E-4</v>
      </c>
      <c r="AL52" s="19">
        <f t="shared" si="35"/>
        <v>6.9770293223246182E-4</v>
      </c>
      <c r="AM52" s="19">
        <f t="shared" si="36"/>
        <v>5.3408369055011403E-4</v>
      </c>
      <c r="AN52" s="19">
        <f t="shared" si="37"/>
        <v>6.8173076921021112E-4</v>
      </c>
      <c r="AO52" s="24"/>
    </row>
    <row r="53" spans="1:41">
      <c r="A53" s="12" t="s">
        <v>396</v>
      </c>
      <c r="B53" s="12">
        <v>2024.7</v>
      </c>
      <c r="C53" s="19">
        <v>7952</v>
      </c>
      <c r="D53" s="19">
        <v>37388</v>
      </c>
      <c r="E53" s="19">
        <v>5189</v>
      </c>
      <c r="F53" s="19">
        <v>42772</v>
      </c>
      <c r="G53" s="19">
        <v>11765</v>
      </c>
      <c r="H53" s="19">
        <v>27146</v>
      </c>
      <c r="I53" s="19">
        <v>1212</v>
      </c>
      <c r="J53" s="19">
        <v>2682</v>
      </c>
      <c r="K53" s="19">
        <v>33604</v>
      </c>
      <c r="L53" s="19">
        <v>27714</v>
      </c>
      <c r="M53" s="19">
        <v>7487</v>
      </c>
      <c r="N53" s="19">
        <v>16392</v>
      </c>
      <c r="O53" s="24"/>
      <c r="P53" s="22">
        <f t="shared" si="24"/>
        <v>2.927495431421939</v>
      </c>
      <c r="Q53" s="22">
        <f t="shared" si="25"/>
        <v>17.465945572183536</v>
      </c>
      <c r="R53" s="22">
        <f t="shared" si="14"/>
        <v>1.5628488171087076</v>
      </c>
      <c r="S53" s="22">
        <f t="shared" si="15"/>
        <v>20.125104953820319</v>
      </c>
      <c r="T53" s="22">
        <f t="shared" si="16"/>
        <v>4.8107373931940529</v>
      </c>
      <c r="U53" s="22">
        <f t="shared" si="17"/>
        <v>12.407418382970317</v>
      </c>
      <c r="V53" s="22">
        <f t="shared" si="18"/>
        <v>-0.40139279893317531</v>
      </c>
      <c r="W53" s="22">
        <f t="shared" si="19"/>
        <v>0.32464068750926062</v>
      </c>
      <c r="X53" s="22">
        <f t="shared" si="20"/>
        <v>15.597026720007902</v>
      </c>
      <c r="Y53" s="22">
        <f t="shared" si="21"/>
        <v>12.687953770929026</v>
      </c>
      <c r="Z53" s="22">
        <f t="shared" si="22"/>
        <v>2.6978317775472909</v>
      </c>
      <c r="AA53" s="22">
        <f t="shared" si="23"/>
        <v>7.0960142243295294</v>
      </c>
      <c r="AB53" s="24"/>
      <c r="AC53" s="19">
        <f t="shared" si="26"/>
        <v>3.6828138499672973E-4</v>
      </c>
      <c r="AD53" s="19">
        <f t="shared" si="27"/>
        <v>4.6737211586929671E-4</v>
      </c>
      <c r="AE53" s="19">
        <f t="shared" si="28"/>
        <v>3.0127571121557227E-4</v>
      </c>
      <c r="AF53" s="19">
        <f t="shared" si="29"/>
        <v>4.707420435530955E-4</v>
      </c>
      <c r="AG53" s="19">
        <f t="shared" si="30"/>
        <v>4.0906972547546293E-4</v>
      </c>
      <c r="AH53" s="19">
        <f t="shared" si="31"/>
        <v>4.5727149273171901E-4</v>
      </c>
      <c r="AI53" s="19">
        <f t="shared" si="32"/>
        <v>-3.3107253201559381E-4</v>
      </c>
      <c r="AJ53" s="19">
        <f t="shared" si="33"/>
        <v>1.21058906844149E-4</v>
      </c>
      <c r="AK53" s="19">
        <f t="shared" si="34"/>
        <v>4.6435749661618441E-4</v>
      </c>
      <c r="AL53" s="19">
        <f t="shared" si="35"/>
        <v>4.5802717754866106E-4</v>
      </c>
      <c r="AM53" s="19">
        <f t="shared" si="36"/>
        <v>3.6046537364592206E-4</v>
      </c>
      <c r="AN53" s="19">
        <f t="shared" si="37"/>
        <v>4.3308244164810714E-4</v>
      </c>
      <c r="AO53" s="24"/>
    </row>
    <row r="54" spans="1:41">
      <c r="A54" s="12" t="s">
        <v>397</v>
      </c>
      <c r="B54" s="12">
        <v>479.98</v>
      </c>
      <c r="C54" s="19">
        <v>20495</v>
      </c>
      <c r="D54" s="19">
        <v>23110</v>
      </c>
      <c r="E54" s="19">
        <v>41001</v>
      </c>
      <c r="F54" s="19">
        <v>34866</v>
      </c>
      <c r="G54" s="19">
        <v>7667</v>
      </c>
      <c r="H54" s="19">
        <v>41632</v>
      </c>
      <c r="I54" s="19">
        <v>13173</v>
      </c>
      <c r="J54" s="19">
        <v>18129</v>
      </c>
      <c r="K54" s="19">
        <v>21404</v>
      </c>
      <c r="L54" s="19">
        <v>39613</v>
      </c>
      <c r="M54" s="19">
        <v>27111</v>
      </c>
      <c r="N54" s="19">
        <v>43707</v>
      </c>
      <c r="O54" s="24"/>
      <c r="P54" s="22">
        <f t="shared" si="24"/>
        <v>41.699695820659194</v>
      </c>
      <c r="Q54" s="22">
        <f t="shared" si="25"/>
        <v>47.147839493312219</v>
      </c>
      <c r="R54" s="22">
        <f t="shared" si="14"/>
        <v>84.422309262885946</v>
      </c>
      <c r="S54" s="22">
        <f t="shared" si="15"/>
        <v>71.640526688612013</v>
      </c>
      <c r="T54" s="22">
        <f t="shared" si="16"/>
        <v>14.973582232593024</v>
      </c>
      <c r="U54" s="22">
        <f t="shared" si="17"/>
        <v>85.736947372807194</v>
      </c>
      <c r="V54" s="22">
        <f t="shared" si="18"/>
        <v>26.444893537230719</v>
      </c>
      <c r="W54" s="22">
        <f t="shared" si="19"/>
        <v>36.770323763490147</v>
      </c>
      <c r="X54" s="22">
        <f t="shared" si="20"/>
        <v>43.593524730197089</v>
      </c>
      <c r="Y54" s="22">
        <f t="shared" si="21"/>
        <v>81.530522105087698</v>
      </c>
      <c r="Z54" s="22">
        <f t="shared" si="22"/>
        <v>55.483603483478475</v>
      </c>
      <c r="AA54" s="22">
        <f t="shared" si="23"/>
        <v>90.060044168507005</v>
      </c>
      <c r="AB54" s="24"/>
      <c r="AC54" s="19">
        <f t="shared" si="26"/>
        <v>2.0387759041575531E-3</v>
      </c>
      <c r="AD54" s="19">
        <f t="shared" si="27"/>
        <v>2.0443195475210638E-3</v>
      </c>
      <c r="AE54" s="19">
        <f t="shared" si="28"/>
        <v>2.063278847536603E-3</v>
      </c>
      <c r="AF54" s="19">
        <f t="shared" si="29"/>
        <v>2.0589695506124509E-3</v>
      </c>
      <c r="AG54" s="19">
        <f t="shared" si="30"/>
        <v>1.9568126683182298E-3</v>
      </c>
      <c r="AH54" s="19">
        <f t="shared" si="31"/>
        <v>2.0636500390950469E-3</v>
      </c>
      <c r="AI54" s="19">
        <f t="shared" si="32"/>
        <v>2.011545482681662E-3</v>
      </c>
      <c r="AJ54" s="19">
        <f t="shared" si="33"/>
        <v>2.0323821011285657E-3</v>
      </c>
      <c r="AK54" s="19">
        <f t="shared" si="34"/>
        <v>2.0408565155662123E-3</v>
      </c>
      <c r="AL54" s="19">
        <f t="shared" si="35"/>
        <v>2.0624207291529521E-3</v>
      </c>
      <c r="AM54" s="19">
        <f t="shared" si="36"/>
        <v>2.0507316389873878E-3</v>
      </c>
      <c r="AN54" s="19">
        <f t="shared" si="37"/>
        <v>2.0647951062065777E-3</v>
      </c>
      <c r="AO54" s="24"/>
    </row>
    <row r="55" spans="1:41">
      <c r="A55" s="12" t="s">
        <v>395</v>
      </c>
      <c r="B55" s="12">
        <v>1375.83</v>
      </c>
      <c r="C55" s="19">
        <v>34718</v>
      </c>
      <c r="D55" s="19">
        <v>2450</v>
      </c>
      <c r="E55" s="19">
        <v>10758</v>
      </c>
      <c r="F55" s="19">
        <v>7163</v>
      </c>
      <c r="G55" s="19">
        <v>8286</v>
      </c>
      <c r="H55" s="19">
        <v>13842</v>
      </c>
      <c r="I55" s="19">
        <v>11145</v>
      </c>
      <c r="J55" s="19">
        <v>20816</v>
      </c>
      <c r="K55" s="19">
        <v>8851</v>
      </c>
      <c r="L55" s="19">
        <v>26819</v>
      </c>
      <c r="M55" s="19">
        <v>26611</v>
      </c>
      <c r="N55" s="19">
        <v>32494</v>
      </c>
      <c r="O55" s="24"/>
      <c r="P55" s="22">
        <f t="shared" si="24"/>
        <v>24.234222251295581</v>
      </c>
      <c r="Q55" s="22">
        <f t="shared" si="25"/>
        <v>0.7807432604318848</v>
      </c>
      <c r="R55" s="22">
        <f t="shared" si="14"/>
        <v>6.8192799982555989</v>
      </c>
      <c r="S55" s="22">
        <f t="shared" si="15"/>
        <v>4.2063118263157513</v>
      </c>
      <c r="T55" s="22">
        <f t="shared" si="16"/>
        <v>5.0225463901790199</v>
      </c>
      <c r="U55" s="22">
        <f t="shared" si="17"/>
        <v>9.060836004448225</v>
      </c>
      <c r="V55" s="22">
        <f t="shared" si="18"/>
        <v>7.1005647500054518</v>
      </c>
      <c r="W55" s="22">
        <f t="shared" si="19"/>
        <v>14.129776207816372</v>
      </c>
      <c r="X55" s="22">
        <f t="shared" si="20"/>
        <v>5.4332075910541278</v>
      </c>
      <c r="Y55" s="22">
        <f t="shared" si="21"/>
        <v>18.492960612866415</v>
      </c>
      <c r="Z55" s="22">
        <f t="shared" si="22"/>
        <v>18.341779144225669</v>
      </c>
      <c r="AA55" s="22">
        <f t="shared" si="23"/>
        <v>22.617743471213739</v>
      </c>
      <c r="AB55" s="24"/>
      <c r="AC55" s="19">
        <f t="shared" si="26"/>
        <v>6.9851806824725016E-4</v>
      </c>
      <c r="AD55" s="19">
        <f t="shared" si="27"/>
        <v>3.1877230194213817E-4</v>
      </c>
      <c r="AE55" s="19">
        <f t="shared" si="28"/>
        <v>6.3428196175410322E-4</v>
      </c>
      <c r="AF55" s="19">
        <f t="shared" si="29"/>
        <v>5.8757271260164573E-4</v>
      </c>
      <c r="AG55" s="19">
        <f t="shared" si="30"/>
        <v>6.0651612908203313E-4</v>
      </c>
      <c r="AH55" s="19">
        <f t="shared" si="31"/>
        <v>6.5501885731065871E-4</v>
      </c>
      <c r="AI55" s="19">
        <f t="shared" si="32"/>
        <v>6.3751381409793428E-4</v>
      </c>
      <c r="AJ55" s="19">
        <f t="shared" si="33"/>
        <v>6.7925508888404707E-4</v>
      </c>
      <c r="AK55" s="19">
        <f t="shared" si="34"/>
        <v>6.1422944606746692E-4</v>
      </c>
      <c r="AL55" s="19">
        <f t="shared" si="35"/>
        <v>6.900227889602386E-4</v>
      </c>
      <c r="AM55" s="19">
        <f t="shared" si="36"/>
        <v>6.8973093971631599E-4</v>
      </c>
      <c r="AN55" s="19">
        <f t="shared" si="37"/>
        <v>6.9654390726363845E-4</v>
      </c>
      <c r="AO55" s="24"/>
    </row>
    <row r="56" spans="1:41">
      <c r="A56" s="12" t="s">
        <v>399</v>
      </c>
      <c r="B56" s="12">
        <v>1784.26</v>
      </c>
      <c r="C56" s="19">
        <v>3348</v>
      </c>
      <c r="D56" s="19">
        <v>23596</v>
      </c>
      <c r="E56" s="19">
        <v>40531</v>
      </c>
      <c r="F56" s="19">
        <v>48906</v>
      </c>
      <c r="G56" s="19">
        <v>11503</v>
      </c>
      <c r="H56" s="19">
        <v>25853</v>
      </c>
      <c r="I56" s="19">
        <v>38352</v>
      </c>
      <c r="J56" s="19">
        <v>37642</v>
      </c>
      <c r="K56" s="19">
        <v>14106</v>
      </c>
      <c r="L56" s="19">
        <v>12489</v>
      </c>
      <c r="M56" s="19">
        <v>8410</v>
      </c>
      <c r="N56" s="19">
        <v>47463</v>
      </c>
      <c r="O56" s="24"/>
      <c r="P56" s="22">
        <f t="shared" si="24"/>
        <v>0.87640814679474965</v>
      </c>
      <c r="Q56" s="22">
        <f t="shared" si="25"/>
        <v>12.224530057278649</v>
      </c>
      <c r="R56" s="22">
        <f t="shared" si="14"/>
        <v>21.715859796218037</v>
      </c>
      <c r="S56" s="22">
        <f t="shared" si="15"/>
        <v>26.40968244538352</v>
      </c>
      <c r="T56" s="22">
        <f t="shared" si="16"/>
        <v>5.4469303801015547</v>
      </c>
      <c r="U56" s="22">
        <f t="shared" si="17"/>
        <v>13.489480232701514</v>
      </c>
      <c r="V56" s="22">
        <f t="shared" si="18"/>
        <v>20.494625222781433</v>
      </c>
      <c r="W56" s="22">
        <f t="shared" si="19"/>
        <v>20.096701153419342</v>
      </c>
      <c r="X56" s="22">
        <f t="shared" si="20"/>
        <v>6.9057984822839718</v>
      </c>
      <c r="Y56" s="22">
        <f t="shared" si="21"/>
        <v>5.9995404257227083</v>
      </c>
      <c r="Z56" s="22">
        <f t="shared" si="22"/>
        <v>3.713438624415724</v>
      </c>
      <c r="AA56" s="22">
        <f t="shared" si="23"/>
        <v>25.600943808637755</v>
      </c>
      <c r="AB56" s="24"/>
      <c r="AC56" s="19">
        <f t="shared" si="26"/>
        <v>2.6183919498159547E-4</v>
      </c>
      <c r="AD56" s="19">
        <f t="shared" si="27"/>
        <v>5.18344913555452E-4</v>
      </c>
      <c r="AE56" s="19">
        <f t="shared" si="28"/>
        <v>5.3607118114106466E-4</v>
      </c>
      <c r="AF56" s="19">
        <f t="shared" si="29"/>
        <v>5.4030081418048926E-4</v>
      </c>
      <c r="AG56" s="19">
        <f t="shared" si="30"/>
        <v>4.7374692224678956E-4</v>
      </c>
      <c r="AH56" s="19">
        <f t="shared" si="31"/>
        <v>5.2204859772332071E-4</v>
      </c>
      <c r="AI56" s="19">
        <f t="shared" si="32"/>
        <v>5.3466789322256163E-4</v>
      </c>
      <c r="AJ56" s="19">
        <f t="shared" si="33"/>
        <v>5.3417555708925202E-4</v>
      </c>
      <c r="AK56" s="19">
        <f t="shared" si="34"/>
        <v>4.898044075441803E-4</v>
      </c>
      <c r="AL56" s="19">
        <f t="shared" si="35"/>
        <v>4.8061685531070768E-4</v>
      </c>
      <c r="AM56" s="19">
        <f t="shared" si="36"/>
        <v>4.417454243682202E-4</v>
      </c>
      <c r="AN56" s="19">
        <f t="shared" si="37"/>
        <v>5.396784882390471E-4</v>
      </c>
      <c r="AO56" s="24"/>
    </row>
    <row r="57" spans="1:41">
      <c r="A57" s="12" t="s">
        <v>397</v>
      </c>
      <c r="B57" s="12">
        <v>2848.32</v>
      </c>
      <c r="C57" s="19">
        <v>18192</v>
      </c>
      <c r="D57" s="19">
        <v>22171</v>
      </c>
      <c r="E57" s="19">
        <v>26406</v>
      </c>
      <c r="F57" s="19">
        <v>3038</v>
      </c>
      <c r="G57" s="19">
        <v>36872</v>
      </c>
      <c r="H57" s="19">
        <v>29150</v>
      </c>
      <c r="I57" s="19">
        <v>32828</v>
      </c>
      <c r="J57" s="19">
        <v>8678</v>
      </c>
      <c r="K57" s="19">
        <v>23889</v>
      </c>
      <c r="L57" s="19">
        <v>1648</v>
      </c>
      <c r="M57" s="19">
        <v>42758</v>
      </c>
      <c r="N57" s="19">
        <v>38614</v>
      </c>
      <c r="O57" s="24"/>
      <c r="P57" s="22">
        <f t="shared" si="24"/>
        <v>5.3869228176609365</v>
      </c>
      <c r="Q57" s="22">
        <f t="shared" si="25"/>
        <v>6.7838866419503425</v>
      </c>
      <c r="R57" s="22">
        <f t="shared" si="14"/>
        <v>8.2707280080889785</v>
      </c>
      <c r="S57" s="22">
        <f t="shared" si="15"/>
        <v>6.65936411639141E-2</v>
      </c>
      <c r="T57" s="22">
        <f t="shared" si="16"/>
        <v>11.945174699471968</v>
      </c>
      <c r="U57" s="22">
        <f t="shared" si="17"/>
        <v>9.2341029097854168</v>
      </c>
      <c r="V57" s="22">
        <f t="shared" si="18"/>
        <v>10.525390405572407</v>
      </c>
      <c r="W57" s="22">
        <f t="shared" si="19"/>
        <v>2.0467082350297718</v>
      </c>
      <c r="X57" s="22">
        <f t="shared" si="20"/>
        <v>7.3870492079541625</v>
      </c>
      <c r="Y57" s="22">
        <f t="shared" si="21"/>
        <v>-0.42141332434557915</v>
      </c>
      <c r="Z57" s="22">
        <f t="shared" si="22"/>
        <v>14.011655993708571</v>
      </c>
      <c r="AA57" s="22">
        <f t="shared" si="23"/>
        <v>12.556763285024154</v>
      </c>
      <c r="AB57" s="24"/>
      <c r="AC57" s="19">
        <f t="shared" si="26"/>
        <v>2.9620264063458788E-4</v>
      </c>
      <c r="AD57" s="19">
        <f t="shared" si="27"/>
        <v>3.0607383573839968E-4</v>
      </c>
      <c r="AE57" s="19">
        <f t="shared" si="28"/>
        <v>3.1331210055496144E-4</v>
      </c>
      <c r="AF57" s="19">
        <f t="shared" si="29"/>
        <v>2.1920704721349036E-5</v>
      </c>
      <c r="AG57" s="19">
        <f t="shared" si="30"/>
        <v>3.2406828356839202E-4</v>
      </c>
      <c r="AH57" s="19">
        <f t="shared" si="31"/>
        <v>3.1687921115029674E-4</v>
      </c>
      <c r="AI57" s="19">
        <f t="shared" si="32"/>
        <v>3.2072517860637676E-4</v>
      </c>
      <c r="AJ57" s="19">
        <f t="shared" si="33"/>
        <v>2.3590586143109642E-4</v>
      </c>
      <c r="AK57" s="19">
        <f t="shared" si="34"/>
        <v>3.0931952641453253E-4</v>
      </c>
      <c r="AL57" s="19">
        <f t="shared" si="35"/>
        <v>-2.556465967617598E-4</v>
      </c>
      <c r="AM57" s="19">
        <f t="shared" si="36"/>
        <v>3.2780413191539094E-4</v>
      </c>
      <c r="AN57" s="19">
        <f t="shared" si="37"/>
        <v>3.2529258577257143E-4</v>
      </c>
      <c r="AO57" s="24"/>
    </row>
    <row r="58" spans="1:41">
      <c r="A58" s="12" t="s">
        <v>399</v>
      </c>
      <c r="B58" s="12">
        <v>794.96</v>
      </c>
      <c r="C58" s="19">
        <v>9360</v>
      </c>
      <c r="D58" s="19">
        <v>16702</v>
      </c>
      <c r="E58" s="19">
        <v>38098</v>
      </c>
      <c r="F58" s="19">
        <v>1903</v>
      </c>
      <c r="G58" s="19">
        <v>49943</v>
      </c>
      <c r="H58" s="19">
        <v>45184</v>
      </c>
      <c r="I58" s="19">
        <v>22922</v>
      </c>
      <c r="J58" s="19">
        <v>44363</v>
      </c>
      <c r="K58" s="19">
        <v>28009</v>
      </c>
      <c r="L58" s="19">
        <v>17658</v>
      </c>
      <c r="M58" s="19">
        <v>31229</v>
      </c>
      <c r="N58" s="19">
        <v>41437</v>
      </c>
      <c r="O58" s="24"/>
      <c r="P58" s="22">
        <f t="shared" si="24"/>
        <v>10.774177317097717</v>
      </c>
      <c r="Q58" s="22">
        <f t="shared" si="25"/>
        <v>20.009862131427997</v>
      </c>
      <c r="R58" s="22">
        <f t="shared" si="14"/>
        <v>46.924423870383414</v>
      </c>
      <c r="S58" s="22">
        <f t="shared" si="15"/>
        <v>1.393831136157794</v>
      </c>
      <c r="T58" s="22">
        <f t="shared" si="16"/>
        <v>61.824544631176408</v>
      </c>
      <c r="U58" s="22">
        <f t="shared" si="17"/>
        <v>55.838079903391368</v>
      </c>
      <c r="V58" s="22">
        <f t="shared" si="18"/>
        <v>27.834155177618999</v>
      </c>
      <c r="W58" s="22">
        <f t="shared" si="19"/>
        <v>54.805323538291233</v>
      </c>
      <c r="X58" s="22">
        <f t="shared" si="20"/>
        <v>34.233219281473282</v>
      </c>
      <c r="Y58" s="22">
        <f t="shared" si="21"/>
        <v>21.212438361678576</v>
      </c>
      <c r="Z58" s="22">
        <f t="shared" si="22"/>
        <v>38.283737546543222</v>
      </c>
      <c r="AA58" s="22">
        <f t="shared" si="23"/>
        <v>51.124635201771156</v>
      </c>
      <c r="AB58" s="24"/>
      <c r="AC58" s="19">
        <f t="shared" si="26"/>
        <v>1.1524138491721557E-3</v>
      </c>
      <c r="AD58" s="19">
        <f t="shared" si="27"/>
        <v>1.1994889078614827E-3</v>
      </c>
      <c r="AE58" s="19">
        <f t="shared" si="28"/>
        <v>1.2331957286332339E-3</v>
      </c>
      <c r="AF58" s="19">
        <f t="shared" si="29"/>
        <v>7.3297571231090933E-4</v>
      </c>
      <c r="AG58" s="19">
        <f t="shared" si="30"/>
        <v>1.239436401944736E-3</v>
      </c>
      <c r="AH58" s="19">
        <f t="shared" si="31"/>
        <v>1.2373222734455174E-3</v>
      </c>
      <c r="AI58" s="19">
        <f t="shared" si="32"/>
        <v>1.2157750304719584E-3</v>
      </c>
      <c r="AJ58" s="19">
        <f t="shared" si="33"/>
        <v>1.2369116805250027E-3</v>
      </c>
      <c r="AK58" s="19">
        <f t="shared" si="34"/>
        <v>1.2237177721555971E-3</v>
      </c>
      <c r="AL58" s="19">
        <f t="shared" si="35"/>
        <v>1.2027382133817631E-3</v>
      </c>
      <c r="AM58" s="19">
        <f t="shared" si="36"/>
        <v>1.227408092344072E-3</v>
      </c>
      <c r="AN58" s="19">
        <f t="shared" si="37"/>
        <v>1.2353160287448327E-3</v>
      </c>
      <c r="AO58" s="24"/>
    </row>
    <row r="59" spans="1:41">
      <c r="A59" s="12" t="s">
        <v>399</v>
      </c>
      <c r="B59" s="12">
        <v>1109.79</v>
      </c>
      <c r="C59" s="19">
        <v>9193</v>
      </c>
      <c r="D59" s="19">
        <v>37224</v>
      </c>
      <c r="E59" s="19">
        <v>29625</v>
      </c>
      <c r="F59" s="19">
        <v>3173</v>
      </c>
      <c r="G59" s="19">
        <v>18545</v>
      </c>
      <c r="H59" s="19">
        <v>22088</v>
      </c>
      <c r="I59" s="19">
        <v>34294</v>
      </c>
      <c r="J59" s="19">
        <v>39916</v>
      </c>
      <c r="K59" s="19">
        <v>34588</v>
      </c>
      <c r="L59" s="19">
        <v>13537</v>
      </c>
      <c r="M59" s="19">
        <v>5331</v>
      </c>
      <c r="N59" s="19">
        <v>48011</v>
      </c>
      <c r="O59" s="24"/>
      <c r="P59" s="22">
        <f t="shared" si="24"/>
        <v>7.2835491399273735</v>
      </c>
      <c r="Q59" s="22">
        <f t="shared" si="25"/>
        <v>32.54148082069581</v>
      </c>
      <c r="R59" s="22">
        <f t="shared" si="14"/>
        <v>25.694239450706892</v>
      </c>
      <c r="S59" s="22">
        <f t="shared" si="15"/>
        <v>1.8590994692689609</v>
      </c>
      <c r="T59" s="22">
        <f t="shared" si="16"/>
        <v>15.710368628299047</v>
      </c>
      <c r="U59" s="22">
        <f t="shared" si="17"/>
        <v>18.902864505897512</v>
      </c>
      <c r="V59" s="22">
        <f t="shared" si="18"/>
        <v>29.901341695275683</v>
      </c>
      <c r="W59" s="22">
        <f t="shared" si="19"/>
        <v>34.967164959136412</v>
      </c>
      <c r="X59" s="22">
        <f t="shared" si="20"/>
        <v>30.166256679191559</v>
      </c>
      <c r="Y59" s="22">
        <f t="shared" si="21"/>
        <v>11.19780318799052</v>
      </c>
      <c r="Z59" s="22">
        <f t="shared" si="22"/>
        <v>3.8036114940664452</v>
      </c>
      <c r="AA59" s="22">
        <f t="shared" si="23"/>
        <v>42.261337730561635</v>
      </c>
      <c r="AB59" s="24"/>
      <c r="AC59" s="19">
        <f t="shared" si="26"/>
        <v>7.9292118136799271E-4</v>
      </c>
      <c r="AD59" s="19">
        <f t="shared" si="27"/>
        <v>8.7497189183678985E-4</v>
      </c>
      <c r="AE59" s="19">
        <f t="shared" si="28"/>
        <v>8.6806898981234976E-4</v>
      </c>
      <c r="AF59" s="19">
        <f t="shared" si="29"/>
        <v>5.8625571287539342E-4</v>
      </c>
      <c r="AG59" s="19">
        <f t="shared" si="30"/>
        <v>8.4786675263038831E-4</v>
      </c>
      <c r="AH59" s="19">
        <f t="shared" si="31"/>
        <v>8.5653093961400508E-4</v>
      </c>
      <c r="AI59" s="19">
        <f t="shared" si="32"/>
        <v>8.7267264764393198E-4</v>
      </c>
      <c r="AJ59" s="19">
        <f t="shared" si="33"/>
        <v>8.7678684510931321E-4</v>
      </c>
      <c r="AK59" s="19">
        <f t="shared" si="34"/>
        <v>8.7292093894693172E-4</v>
      </c>
      <c r="AL59" s="19">
        <f t="shared" si="35"/>
        <v>8.278845886589859E-4</v>
      </c>
      <c r="AM59" s="19">
        <f t="shared" si="36"/>
        <v>7.1399873717312059E-4</v>
      </c>
      <c r="AN59" s="19">
        <f t="shared" si="37"/>
        <v>8.8101832379017611E-4</v>
      </c>
      <c r="AO59" s="24"/>
    </row>
    <row r="60" spans="1:41">
      <c r="A60" s="12" t="s">
        <v>395</v>
      </c>
      <c r="B60" s="12">
        <v>1169.1099999999999</v>
      </c>
      <c r="C60" s="19">
        <v>4729</v>
      </c>
      <c r="D60" s="19">
        <v>46325</v>
      </c>
      <c r="E60" s="19">
        <v>36430</v>
      </c>
      <c r="F60" s="19">
        <v>11523</v>
      </c>
      <c r="G60" s="19">
        <v>35262</v>
      </c>
      <c r="H60" s="19">
        <v>32165</v>
      </c>
      <c r="I60" s="19">
        <v>1270</v>
      </c>
      <c r="J60" s="19">
        <v>40981</v>
      </c>
      <c r="K60" s="19">
        <v>31711</v>
      </c>
      <c r="L60" s="19">
        <v>5428</v>
      </c>
      <c r="M60" s="19">
        <v>28682</v>
      </c>
      <c r="N60" s="19">
        <v>40371</v>
      </c>
      <c r="O60" s="24"/>
      <c r="P60" s="22">
        <f t="shared" si="24"/>
        <v>3.0449572751922407</v>
      </c>
      <c r="Q60" s="22">
        <f t="shared" si="25"/>
        <v>38.624158547955282</v>
      </c>
      <c r="R60" s="22">
        <f t="shared" si="14"/>
        <v>30.160455389142172</v>
      </c>
      <c r="S60" s="22">
        <f t="shared" si="15"/>
        <v>8.8562154117234488</v>
      </c>
      <c r="T60" s="22">
        <f t="shared" si="16"/>
        <v>29.161404829314609</v>
      </c>
      <c r="U60" s="22">
        <f t="shared" si="17"/>
        <v>26.512381213059509</v>
      </c>
      <c r="V60" s="22">
        <f t="shared" si="18"/>
        <v>8.6296413511132486E-2</v>
      </c>
      <c r="W60" s="22">
        <f t="shared" si="19"/>
        <v>34.053160096141511</v>
      </c>
      <c r="X60" s="22">
        <f t="shared" si="20"/>
        <v>26.124051629016947</v>
      </c>
      <c r="Y60" s="22">
        <f t="shared" si="21"/>
        <v>3.6428479783767145</v>
      </c>
      <c r="Z60" s="22">
        <f t="shared" si="22"/>
        <v>23.533191915217561</v>
      </c>
      <c r="AA60" s="22">
        <f t="shared" si="23"/>
        <v>33.531395677053489</v>
      </c>
      <c r="AB60" s="24"/>
      <c r="AC60" s="19">
        <f t="shared" si="26"/>
        <v>6.4430517168792892E-4</v>
      </c>
      <c r="AD60" s="19">
        <f t="shared" si="27"/>
        <v>8.3446063438315655E-4</v>
      </c>
      <c r="AE60" s="19">
        <f t="shared" si="28"/>
        <v>8.285875917716113E-4</v>
      </c>
      <c r="AF60" s="19">
        <f t="shared" si="29"/>
        <v>7.691597028324003E-4</v>
      </c>
      <c r="AG60" s="19">
        <f t="shared" si="30"/>
        <v>8.2767684898689138E-4</v>
      </c>
      <c r="AH60" s="19">
        <f t="shared" si="31"/>
        <v>8.2494178094308878E-4</v>
      </c>
      <c r="AI60" s="19">
        <f t="shared" si="32"/>
        <v>6.795454940553381E-5</v>
      </c>
      <c r="AJ60" s="19">
        <f t="shared" si="33"/>
        <v>8.3164100681997182E-4</v>
      </c>
      <c r="AK60" s="19">
        <f t="shared" si="34"/>
        <v>8.2449594158376578E-4</v>
      </c>
      <c r="AL60" s="19">
        <f t="shared" si="35"/>
        <v>6.7157229442737706E-4</v>
      </c>
      <c r="AM60" s="19">
        <f t="shared" si="36"/>
        <v>8.2116018532361467E-4</v>
      </c>
      <c r="AN60" s="19">
        <f t="shared" si="37"/>
        <v>8.3127168950458002E-4</v>
      </c>
      <c r="AO60" s="24"/>
    </row>
    <row r="61" spans="1:41">
      <c r="A61" s="12" t="s">
        <v>399</v>
      </c>
      <c r="B61" s="12">
        <v>1836.34</v>
      </c>
      <c r="C61" s="19">
        <v>4267</v>
      </c>
      <c r="D61" s="19">
        <v>49943</v>
      </c>
      <c r="E61" s="19">
        <v>11770</v>
      </c>
      <c r="F61" s="19">
        <v>15271</v>
      </c>
      <c r="G61" s="19">
        <v>10696</v>
      </c>
      <c r="H61" s="19">
        <v>17653</v>
      </c>
      <c r="I61" s="19">
        <v>25309</v>
      </c>
      <c r="J61" s="19">
        <v>33411</v>
      </c>
      <c r="K61" s="19">
        <v>15250</v>
      </c>
      <c r="L61" s="19">
        <v>24994</v>
      </c>
      <c r="M61" s="19">
        <v>10716</v>
      </c>
      <c r="N61" s="19">
        <v>26060</v>
      </c>
      <c r="O61" s="24"/>
      <c r="P61" s="22">
        <f t="shared" si="24"/>
        <v>1.3236437696722829</v>
      </c>
      <c r="Q61" s="22">
        <f t="shared" si="25"/>
        <v>26.197033229140576</v>
      </c>
      <c r="R61" s="22">
        <f t="shared" si="14"/>
        <v>5.4094884389601052</v>
      </c>
      <c r="S61" s="22">
        <f t="shared" si="15"/>
        <v>7.3159981267085614</v>
      </c>
      <c r="T61" s="22">
        <f t="shared" si="16"/>
        <v>4.8246294259233045</v>
      </c>
      <c r="U61" s="22">
        <f t="shared" si="17"/>
        <v>8.6131435355108525</v>
      </c>
      <c r="V61" s="22">
        <f t="shared" si="18"/>
        <v>12.782306108890511</v>
      </c>
      <c r="W61" s="22">
        <f t="shared" si="19"/>
        <v>17.194343095505189</v>
      </c>
      <c r="X61" s="22">
        <f t="shared" si="20"/>
        <v>7.3045623359508589</v>
      </c>
      <c r="Y61" s="22">
        <f t="shared" si="21"/>
        <v>12.610769247524969</v>
      </c>
      <c r="Z61" s="22">
        <f t="shared" si="22"/>
        <v>4.8355206552163548</v>
      </c>
      <c r="AA61" s="22">
        <f t="shared" si="23"/>
        <v>13.191271768844549</v>
      </c>
      <c r="AB61" s="24"/>
      <c r="AC61" s="19">
        <f t="shared" si="26"/>
        <v>3.1030103062999748E-4</v>
      </c>
      <c r="AD61" s="19">
        <f t="shared" si="27"/>
        <v>5.2481392381198151E-4</v>
      </c>
      <c r="AE61" s="19">
        <f t="shared" si="28"/>
        <v>4.5981102645639992E-4</v>
      </c>
      <c r="AF61" s="19">
        <f t="shared" si="29"/>
        <v>4.7930749390584076E-4</v>
      </c>
      <c r="AG61" s="19">
        <f t="shared" si="30"/>
        <v>4.5127212478455857E-4</v>
      </c>
      <c r="AH61" s="19">
        <f t="shared" si="31"/>
        <v>4.8815204549628192E-4</v>
      </c>
      <c r="AI61" s="19">
        <f t="shared" si="32"/>
        <v>5.0530503269575209E-4</v>
      </c>
      <c r="AJ61" s="19">
        <f t="shared" si="33"/>
        <v>5.1489618380617518E-4</v>
      </c>
      <c r="AK61" s="19">
        <f t="shared" si="34"/>
        <v>4.7921723331830125E-4</v>
      </c>
      <c r="AL61" s="19">
        <f t="shared" si="35"/>
        <v>5.0480656343967123E-4</v>
      </c>
      <c r="AM61" s="19">
        <f t="shared" si="36"/>
        <v>4.5144677448853351E-4</v>
      </c>
      <c r="AN61" s="19">
        <f t="shared" si="37"/>
        <v>5.06444835775487E-4</v>
      </c>
      <c r="AO61" s="24"/>
    </row>
    <row r="62" spans="1:41">
      <c r="A62" s="12" t="s">
        <v>399</v>
      </c>
      <c r="B62" s="12">
        <v>1102.3599999999999</v>
      </c>
      <c r="C62" s="19">
        <v>10104</v>
      </c>
      <c r="D62" s="19">
        <v>19515</v>
      </c>
      <c r="E62" s="19">
        <v>32157</v>
      </c>
      <c r="F62" s="19">
        <v>45162</v>
      </c>
      <c r="G62" s="19">
        <v>39952</v>
      </c>
      <c r="H62" s="19">
        <v>6799</v>
      </c>
      <c r="I62" s="19">
        <v>2126</v>
      </c>
      <c r="J62" s="19">
        <v>16844</v>
      </c>
      <c r="K62" s="19">
        <v>6797</v>
      </c>
      <c r="L62" s="19">
        <v>33672</v>
      </c>
      <c r="M62" s="19">
        <v>27680</v>
      </c>
      <c r="N62" s="19">
        <v>19974</v>
      </c>
      <c r="O62" s="24"/>
      <c r="P62" s="22">
        <f t="shared" si="24"/>
        <v>8.1657897601509486</v>
      </c>
      <c r="Q62" s="22">
        <f t="shared" si="25"/>
        <v>16.702928262999386</v>
      </c>
      <c r="R62" s="22">
        <f t="shared" si="14"/>
        <v>28.171051199245259</v>
      </c>
      <c r="S62" s="22">
        <f t="shared" si="15"/>
        <v>39.968467651221019</v>
      </c>
      <c r="T62" s="22">
        <f t="shared" si="16"/>
        <v>35.242243913059255</v>
      </c>
      <c r="U62" s="22">
        <f t="shared" si="17"/>
        <v>5.1676766210675282</v>
      </c>
      <c r="V62" s="22">
        <f t="shared" si="18"/>
        <v>0.92858957146485743</v>
      </c>
      <c r="W62" s="22">
        <f t="shared" si="19"/>
        <v>14.279944845603978</v>
      </c>
      <c r="X62" s="22">
        <f t="shared" si="20"/>
        <v>5.1658623317246644</v>
      </c>
      <c r="Y62" s="22">
        <f t="shared" si="21"/>
        <v>29.545375376465042</v>
      </c>
      <c r="Z62" s="22">
        <f t="shared" si="22"/>
        <v>24.109764505243298</v>
      </c>
      <c r="AA62" s="22">
        <f t="shared" si="23"/>
        <v>17.119307667186764</v>
      </c>
      <c r="AB62" s="24"/>
      <c r="AC62" s="19">
        <f t="shared" si="26"/>
        <v>8.0882764020319148E-4</v>
      </c>
      <c r="AD62" s="19">
        <f t="shared" si="27"/>
        <v>8.5663523340253473E-4</v>
      </c>
      <c r="AE62" s="19">
        <f t="shared" si="28"/>
        <v>8.7681537488146688E-4</v>
      </c>
      <c r="AF62" s="19">
        <f t="shared" si="29"/>
        <v>8.8578608484342998E-4</v>
      </c>
      <c r="AG62" s="19">
        <f t="shared" si="30"/>
        <v>8.8289344862146619E-4</v>
      </c>
      <c r="AH62" s="19">
        <f t="shared" si="31"/>
        <v>7.6064235546180936E-4</v>
      </c>
      <c r="AI62" s="19">
        <f t="shared" si="32"/>
        <v>4.3696864345730429E-4</v>
      </c>
      <c r="AJ62" s="19">
        <f t="shared" si="33"/>
        <v>8.4849568494340429E-4</v>
      </c>
      <c r="AK62" s="19">
        <f t="shared" si="34"/>
        <v>7.6059901155038688E-4</v>
      </c>
      <c r="AL62" s="19">
        <f t="shared" si="35"/>
        <v>8.7821699415595669E-4</v>
      </c>
      <c r="AM62" s="19">
        <f t="shared" si="36"/>
        <v>8.717768366863053E-4</v>
      </c>
      <c r="AN62" s="19">
        <f t="shared" si="37"/>
        <v>8.5781480237859969E-4</v>
      </c>
      <c r="AO62" s="24"/>
    </row>
    <row r="63" spans="1:41">
      <c r="A63" s="12" t="s">
        <v>395</v>
      </c>
      <c r="B63" s="12">
        <v>1623.86</v>
      </c>
      <c r="C63" s="19">
        <v>28932</v>
      </c>
      <c r="D63" s="19">
        <v>22977</v>
      </c>
      <c r="E63" s="19">
        <v>37348</v>
      </c>
      <c r="F63" s="19">
        <v>21176</v>
      </c>
      <c r="G63" s="19">
        <v>41348</v>
      </c>
      <c r="H63" s="19">
        <v>24292</v>
      </c>
      <c r="I63" s="19">
        <v>4838</v>
      </c>
      <c r="J63" s="19">
        <v>6330</v>
      </c>
      <c r="K63" s="19">
        <v>47990</v>
      </c>
      <c r="L63" s="19">
        <v>14435</v>
      </c>
      <c r="M63" s="19">
        <v>36284</v>
      </c>
      <c r="N63" s="19">
        <v>19446</v>
      </c>
      <c r="O63" s="24"/>
      <c r="P63" s="22">
        <f t="shared" si="24"/>
        <v>16.816806867587108</v>
      </c>
      <c r="Q63" s="22">
        <f t="shared" si="25"/>
        <v>13.149618809503282</v>
      </c>
      <c r="R63" s="22">
        <f t="shared" si="14"/>
        <v>21.99951966302514</v>
      </c>
      <c r="S63" s="22">
        <f t="shared" si="15"/>
        <v>12.040533050878771</v>
      </c>
      <c r="T63" s="22">
        <f t="shared" si="16"/>
        <v>24.462786200780858</v>
      </c>
      <c r="U63" s="22">
        <f t="shared" si="17"/>
        <v>13.959417683790475</v>
      </c>
      <c r="V63" s="22">
        <f t="shared" si="18"/>
        <v>1.9793208774155411</v>
      </c>
      <c r="W63" s="22">
        <f t="shared" si="19"/>
        <v>2.8981192959984239</v>
      </c>
      <c r="X63" s="22">
        <f t="shared" si="20"/>
        <v>28.553040286724226</v>
      </c>
      <c r="Y63" s="22">
        <f t="shared" si="21"/>
        <v>7.8893131181259468</v>
      </c>
      <c r="Z63" s="22">
        <f t="shared" si="22"/>
        <v>21.344290763982119</v>
      </c>
      <c r="AA63" s="22">
        <f t="shared" si="23"/>
        <v>10.975170273299423</v>
      </c>
      <c r="AB63" s="24"/>
      <c r="AC63" s="19">
        <f t="shared" si="26"/>
        <v>5.8159088100058227E-4</v>
      </c>
      <c r="AD63" s="19">
        <f t="shared" si="27"/>
        <v>5.7262256073023488E-4</v>
      </c>
      <c r="AE63" s="19">
        <f t="shared" si="28"/>
        <v>5.8938861329689758E-4</v>
      </c>
      <c r="AF63" s="19">
        <f t="shared" si="29"/>
        <v>5.6891684515281626E-4</v>
      </c>
      <c r="AG63" s="19">
        <f t="shared" si="30"/>
        <v>5.9198190305480367E-4</v>
      </c>
      <c r="AH63" s="19">
        <f t="shared" si="31"/>
        <v>5.7498123196804939E-4</v>
      </c>
      <c r="AI63" s="19">
        <f t="shared" si="32"/>
        <v>4.0928709961071875E-4</v>
      </c>
      <c r="AJ63" s="19">
        <f t="shared" si="33"/>
        <v>4.5804846367922828E-4</v>
      </c>
      <c r="AK63" s="19">
        <f t="shared" si="34"/>
        <v>5.9533317063407715E-4</v>
      </c>
      <c r="AL63" s="19">
        <f t="shared" si="35"/>
        <v>5.468394392578866E-4</v>
      </c>
      <c r="AM63" s="19">
        <f t="shared" si="36"/>
        <v>5.8860252638765712E-4</v>
      </c>
      <c r="AN63" s="19">
        <f t="shared" si="37"/>
        <v>5.6471089537855554E-4</v>
      </c>
      <c r="AO63" s="24"/>
    </row>
    <row r="64" spans="1:41">
      <c r="A64" s="12" t="s">
        <v>399</v>
      </c>
      <c r="B64" s="12">
        <v>2356.2800000000002</v>
      </c>
      <c r="C64" s="19">
        <v>41047</v>
      </c>
      <c r="D64" s="19">
        <v>34355</v>
      </c>
      <c r="E64" s="19">
        <v>22763</v>
      </c>
      <c r="F64" s="19">
        <v>43560</v>
      </c>
      <c r="G64" s="19">
        <v>22716</v>
      </c>
      <c r="H64" s="19">
        <v>24584</v>
      </c>
      <c r="I64" s="19">
        <v>29389</v>
      </c>
      <c r="J64" s="19">
        <v>5849</v>
      </c>
      <c r="K64" s="19">
        <v>11660</v>
      </c>
      <c r="L64" s="19">
        <v>10328</v>
      </c>
      <c r="M64" s="19">
        <v>8598</v>
      </c>
      <c r="N64" s="19">
        <v>27559</v>
      </c>
      <c r="O64" s="24"/>
      <c r="P64" s="22">
        <f t="shared" si="24"/>
        <v>16.420255657222402</v>
      </c>
      <c r="Q64" s="22">
        <f t="shared" si="25"/>
        <v>13.58018571646833</v>
      </c>
      <c r="R64" s="22">
        <f t="shared" si="14"/>
        <v>8.6605666559152557</v>
      </c>
      <c r="S64" s="22">
        <f t="shared" si="15"/>
        <v>17.486767277233604</v>
      </c>
      <c r="T64" s="22">
        <f t="shared" si="16"/>
        <v>8.6406199602763678</v>
      </c>
      <c r="U64" s="22">
        <f t="shared" si="17"/>
        <v>9.4333950124772947</v>
      </c>
      <c r="V64" s="22">
        <f t="shared" si="18"/>
        <v>11.472626343218971</v>
      </c>
      <c r="W64" s="22">
        <f t="shared" si="19"/>
        <v>1.4823026125927308</v>
      </c>
      <c r="X64" s="22">
        <f t="shared" si="20"/>
        <v>3.9484781095625303</v>
      </c>
      <c r="Y64" s="22">
        <f t="shared" si="21"/>
        <v>3.3831802672008413</v>
      </c>
      <c r="Z64" s="22">
        <f t="shared" si="22"/>
        <v>2.6489721085779272</v>
      </c>
      <c r="AA64" s="22">
        <f t="shared" si="23"/>
        <v>10.695978406640975</v>
      </c>
      <c r="AB64" s="24"/>
      <c r="AC64" s="19">
        <f t="shared" si="26"/>
        <v>4.0019555559622322E-4</v>
      </c>
      <c r="AD64" s="19">
        <f t="shared" si="27"/>
        <v>3.9544625090952008E-4</v>
      </c>
      <c r="AE64" s="19">
        <f t="shared" si="28"/>
        <v>3.8061164910039571E-4</v>
      </c>
      <c r="AF64" s="19">
        <f t="shared" si="29"/>
        <v>4.0160215795931754E-4</v>
      </c>
      <c r="AG64" s="19">
        <f t="shared" si="30"/>
        <v>3.8052068563602622E-4</v>
      </c>
      <c r="AH64" s="19">
        <f t="shared" si="31"/>
        <v>3.8386821481371493E-4</v>
      </c>
      <c r="AI64" s="19">
        <f t="shared" si="32"/>
        <v>3.9052389254197846E-4</v>
      </c>
      <c r="AJ64" s="19">
        <f t="shared" si="33"/>
        <v>2.5349262529893732E-4</v>
      </c>
      <c r="AK64" s="19">
        <f t="shared" si="34"/>
        <v>3.3874919840111916E-4</v>
      </c>
      <c r="AL64" s="19">
        <f t="shared" si="35"/>
        <v>3.2768095187172262E-4</v>
      </c>
      <c r="AM64" s="19">
        <f t="shared" si="36"/>
        <v>3.0818661157434575E-4</v>
      </c>
      <c r="AN64" s="19">
        <f t="shared" si="37"/>
        <v>3.882626820967665E-4</v>
      </c>
      <c r="AO64" s="24"/>
    </row>
    <row r="65" spans="1:41">
      <c r="A65" s="12" t="s">
        <v>399</v>
      </c>
      <c r="B65" s="12">
        <v>2130.89</v>
      </c>
      <c r="C65" s="19">
        <v>25651</v>
      </c>
      <c r="D65" s="19">
        <v>46043</v>
      </c>
      <c r="E65" s="19">
        <v>2105</v>
      </c>
      <c r="F65" s="19">
        <v>2726</v>
      </c>
      <c r="G65" s="19">
        <v>28463</v>
      </c>
      <c r="H65" s="19">
        <v>38712</v>
      </c>
      <c r="I65" s="19">
        <v>1279</v>
      </c>
      <c r="J65" s="19">
        <v>14311</v>
      </c>
      <c r="K65" s="19">
        <v>45953</v>
      </c>
      <c r="L65" s="19">
        <v>11121</v>
      </c>
      <c r="M65" s="19">
        <v>44911</v>
      </c>
      <c r="N65" s="19">
        <v>23299</v>
      </c>
      <c r="O65" s="24"/>
      <c r="P65" s="22">
        <f t="shared" si="24"/>
        <v>11.037693170459292</v>
      </c>
      <c r="Q65" s="22">
        <f t="shared" si="25"/>
        <v>20.607403479297385</v>
      </c>
      <c r="R65" s="22">
        <f t="shared" si="14"/>
        <v>-1.2149852878374704E-2</v>
      </c>
      <c r="S65" s="22">
        <f t="shared" si="15"/>
        <v>0.27927767270952519</v>
      </c>
      <c r="T65" s="22">
        <f t="shared" si="16"/>
        <v>12.357329566519155</v>
      </c>
      <c r="U65" s="22">
        <f t="shared" si="17"/>
        <v>17.167056957421547</v>
      </c>
      <c r="V65" s="22">
        <f t="shared" si="18"/>
        <v>-0.39978131203393885</v>
      </c>
      <c r="W65" s="22">
        <f t="shared" si="19"/>
        <v>5.7159731379845988</v>
      </c>
      <c r="X65" s="22">
        <f t="shared" si="20"/>
        <v>20.565167606023774</v>
      </c>
      <c r="Y65" s="22">
        <f t="shared" si="21"/>
        <v>4.2189460741755793</v>
      </c>
      <c r="Z65" s="22">
        <f t="shared" si="22"/>
        <v>20.076170051011552</v>
      </c>
      <c r="AA65" s="22">
        <f t="shared" si="23"/>
        <v>9.9339290155756519</v>
      </c>
      <c r="AB65" s="24"/>
      <c r="AC65" s="19">
        <f t="shared" si="26"/>
        <v>4.3048788599502963E-4</v>
      </c>
      <c r="AD65" s="19">
        <f t="shared" si="27"/>
        <v>4.4776906016084239E-4</v>
      </c>
      <c r="AE65" s="19">
        <f t="shared" si="28"/>
        <v>-5.7718682902727528E-6</v>
      </c>
      <c r="AF65" s="19">
        <f t="shared" si="29"/>
        <v>1.0246012015166057E-4</v>
      </c>
      <c r="AG65" s="19">
        <f t="shared" si="30"/>
        <v>4.3434272152175873E-4</v>
      </c>
      <c r="AH65" s="19">
        <f t="shared" si="31"/>
        <v>4.4365243759265856E-4</v>
      </c>
      <c r="AI65" s="19">
        <f t="shared" si="32"/>
        <v>-3.1247567638628183E-4</v>
      </c>
      <c r="AJ65" s="19">
        <f t="shared" si="33"/>
        <v>3.9957075492184029E-4</v>
      </c>
      <c r="AK65" s="19">
        <f t="shared" si="34"/>
        <v>4.4772648524001458E-4</v>
      </c>
      <c r="AL65" s="19">
        <f t="shared" si="35"/>
        <v>3.7951148391878093E-4</v>
      </c>
      <c r="AM65" s="19">
        <f t="shared" si="36"/>
        <v>4.4722113822076728E-4</v>
      </c>
      <c r="AN65" s="19">
        <f t="shared" si="37"/>
        <v>4.2654905032676334E-4</v>
      </c>
      <c r="AO65" s="24"/>
    </row>
    <row r="66" spans="1:41">
      <c r="A66" s="12" t="s">
        <v>399</v>
      </c>
      <c r="B66" s="12">
        <v>1366.79</v>
      </c>
      <c r="C66" s="19">
        <v>2705</v>
      </c>
      <c r="D66" s="19">
        <v>24231</v>
      </c>
      <c r="E66" s="19">
        <v>15896</v>
      </c>
      <c r="F66" s="19">
        <v>31302</v>
      </c>
      <c r="G66" s="19">
        <v>23662</v>
      </c>
      <c r="H66" s="19">
        <v>47001</v>
      </c>
      <c r="I66" s="19">
        <v>43742</v>
      </c>
      <c r="J66" s="19">
        <v>32237</v>
      </c>
      <c r="K66" s="19">
        <v>46966</v>
      </c>
      <c r="L66" s="19">
        <v>7460</v>
      </c>
      <c r="M66" s="19">
        <v>3186</v>
      </c>
      <c r="N66" s="19">
        <v>45595</v>
      </c>
      <c r="O66" s="24"/>
      <c r="P66" s="22">
        <f t="shared" si="24"/>
        <v>0.97908969190585249</v>
      </c>
      <c r="Q66" s="22">
        <f t="shared" si="25"/>
        <v>16.728400119989171</v>
      </c>
      <c r="R66" s="22">
        <f t="shared" si="14"/>
        <v>10.630169960271877</v>
      </c>
      <c r="S66" s="22">
        <f t="shared" si="15"/>
        <v>21.901835687998886</v>
      </c>
      <c r="T66" s="22">
        <f t="shared" si="16"/>
        <v>16.312096225462579</v>
      </c>
      <c r="U66" s="22">
        <f t="shared" si="17"/>
        <v>33.387872313961914</v>
      </c>
      <c r="V66" s="22">
        <f t="shared" si="18"/>
        <v>31.003453346893085</v>
      </c>
      <c r="W66" s="22">
        <f t="shared" si="19"/>
        <v>22.58592029499777</v>
      </c>
      <c r="X66" s="22">
        <f t="shared" si="20"/>
        <v>33.362264868780137</v>
      </c>
      <c r="Y66" s="22">
        <f t="shared" si="21"/>
        <v>4.4580440301728874</v>
      </c>
      <c r="Z66" s="22">
        <f t="shared" si="22"/>
        <v>1.3310091528325494</v>
      </c>
      <c r="AA66" s="22">
        <f t="shared" si="23"/>
        <v>32.359184658945409</v>
      </c>
      <c r="AB66" s="24"/>
      <c r="AC66" s="19">
        <f t="shared" si="26"/>
        <v>3.6208658304875892E-4</v>
      </c>
      <c r="AD66" s="19">
        <f t="shared" si="27"/>
        <v>6.9084878522928869E-4</v>
      </c>
      <c r="AE66" s="19">
        <f t="shared" si="28"/>
        <v>6.6917988526586864E-4</v>
      </c>
      <c r="AF66" s="19">
        <f t="shared" si="29"/>
        <v>7.0018436556529306E-4</v>
      </c>
      <c r="AG66" s="19">
        <f t="shared" si="30"/>
        <v>6.8985500831458975E-4</v>
      </c>
      <c r="AH66" s="19">
        <f t="shared" si="31"/>
        <v>7.1087012520870186E-4</v>
      </c>
      <c r="AI66" s="19">
        <f t="shared" si="32"/>
        <v>7.0928269305877854E-4</v>
      </c>
      <c r="AJ66" s="19">
        <f t="shared" si="33"/>
        <v>7.0111224866966748E-4</v>
      </c>
      <c r="AK66" s="19">
        <f t="shared" si="34"/>
        <v>7.1085424725248207E-4</v>
      </c>
      <c r="AL66" s="19">
        <f t="shared" si="35"/>
        <v>5.9795036450746911E-4</v>
      </c>
      <c r="AM66" s="19">
        <f t="shared" si="36"/>
        <v>4.1794269880414853E-4</v>
      </c>
      <c r="AN66" s="19">
        <f t="shared" si="37"/>
        <v>7.1021310617381931E-4</v>
      </c>
      <c r="AO66" s="24"/>
    </row>
    <row r="67" spans="1:41">
      <c r="A67" s="12" t="s">
        <v>397</v>
      </c>
      <c r="B67" s="12">
        <v>2599.44</v>
      </c>
      <c r="C67" s="19">
        <v>29999</v>
      </c>
      <c r="D67" s="19">
        <v>9738</v>
      </c>
      <c r="E67" s="19">
        <v>34315</v>
      </c>
      <c r="F67" s="19">
        <v>37358</v>
      </c>
      <c r="G67" s="19">
        <v>19644</v>
      </c>
      <c r="H67" s="19">
        <v>43283</v>
      </c>
      <c r="I67" s="19">
        <v>40755</v>
      </c>
      <c r="J67" s="19">
        <v>12695</v>
      </c>
      <c r="K67" s="19">
        <v>48092</v>
      </c>
      <c r="L67" s="19">
        <v>45532</v>
      </c>
      <c r="M67" s="19">
        <v>42193</v>
      </c>
      <c r="N67" s="19">
        <v>32671</v>
      </c>
      <c r="O67" s="24"/>
      <c r="P67" s="22">
        <f t="shared" si="24"/>
        <v>10.540562582710123</v>
      </c>
      <c r="Q67" s="22">
        <f t="shared" si="25"/>
        <v>2.7461914873972852</v>
      </c>
      <c r="R67" s="22">
        <f t="shared" si="14"/>
        <v>12.200920198196535</v>
      </c>
      <c r="S67" s="22">
        <f t="shared" si="15"/>
        <v>13.371556950727848</v>
      </c>
      <c r="T67" s="22">
        <f t="shared" si="16"/>
        <v>6.5570122795679069</v>
      </c>
      <c r="U67" s="22">
        <f t="shared" si="17"/>
        <v>15.65089403871603</v>
      </c>
      <c r="V67" s="22">
        <f t="shared" si="18"/>
        <v>14.678376881174406</v>
      </c>
      <c r="W67" s="22">
        <f t="shared" si="19"/>
        <v>3.8837441910565351</v>
      </c>
      <c r="X67" s="22">
        <f t="shared" si="20"/>
        <v>17.500907887852765</v>
      </c>
      <c r="Y67" s="22">
        <f t="shared" si="21"/>
        <v>16.516080386544793</v>
      </c>
      <c r="Z67" s="22">
        <f t="shared" si="22"/>
        <v>15.231572954174744</v>
      </c>
      <c r="AA67" s="22">
        <f t="shared" si="23"/>
        <v>11.568476287200321</v>
      </c>
      <c r="AB67" s="24"/>
      <c r="AC67" s="19">
        <f t="shared" si="26"/>
        <v>3.5148729812904033E-4</v>
      </c>
      <c r="AD67" s="19">
        <f t="shared" si="27"/>
        <v>2.8208730264392163E-4</v>
      </c>
      <c r="AE67" s="19">
        <f t="shared" si="28"/>
        <v>3.5568293333183674E-4</v>
      </c>
      <c r="AF67" s="19">
        <f t="shared" si="29"/>
        <v>3.5805837434209667E-4</v>
      </c>
      <c r="AG67" s="19">
        <f t="shared" si="30"/>
        <v>3.3390356797817814E-4</v>
      </c>
      <c r="AH67" s="19">
        <f t="shared" si="31"/>
        <v>3.6172528158328243E-4</v>
      </c>
      <c r="AI67" s="19">
        <f t="shared" si="32"/>
        <v>3.602911390087038E-4</v>
      </c>
      <c r="AJ67" s="19">
        <f t="shared" si="33"/>
        <v>3.060206929614153E-4</v>
      </c>
      <c r="AK67" s="19">
        <f t="shared" si="34"/>
        <v>3.6403723841865754E-4</v>
      </c>
      <c r="AL67" s="19">
        <f t="shared" si="35"/>
        <v>3.6286729183665148E-4</v>
      </c>
      <c r="AM67" s="19">
        <f t="shared" si="36"/>
        <v>3.6112799520250909E-4</v>
      </c>
      <c r="AN67" s="19">
        <f t="shared" si="37"/>
        <v>3.5421548225053704E-4</v>
      </c>
      <c r="AO67" s="24"/>
    </row>
    <row r="68" spans="1:41">
      <c r="A68" s="12" t="s">
        <v>397</v>
      </c>
      <c r="B68" s="12">
        <v>1696.51</v>
      </c>
      <c r="C68" s="19">
        <v>22209</v>
      </c>
      <c r="D68" s="19">
        <v>22039</v>
      </c>
      <c r="E68" s="19">
        <v>11005</v>
      </c>
      <c r="F68" s="19">
        <v>39088</v>
      </c>
      <c r="G68" s="19">
        <v>20260</v>
      </c>
      <c r="H68" s="19">
        <v>42258</v>
      </c>
      <c r="I68" s="19">
        <v>29199</v>
      </c>
      <c r="J68" s="19">
        <v>44613</v>
      </c>
      <c r="K68" s="19">
        <v>14361</v>
      </c>
      <c r="L68" s="19">
        <v>27303</v>
      </c>
      <c r="M68" s="19">
        <v>37281</v>
      </c>
      <c r="N68" s="19">
        <v>37347</v>
      </c>
      <c r="O68" s="24"/>
      <c r="P68" s="22">
        <f t="shared" si="24"/>
        <v>12.090992684982702</v>
      </c>
      <c r="Q68" s="22">
        <f t="shared" si="25"/>
        <v>11.9907869685413</v>
      </c>
      <c r="R68" s="22">
        <f t="shared" si="14"/>
        <v>5.486846526103589</v>
      </c>
      <c r="S68" s="22">
        <f t="shared" si="15"/>
        <v>22.040241436832083</v>
      </c>
      <c r="T68" s="22">
        <f t="shared" si="16"/>
        <v>10.942163618251588</v>
      </c>
      <c r="U68" s="22">
        <f t="shared" si="17"/>
        <v>23.908783325768784</v>
      </c>
      <c r="V68" s="22">
        <f t="shared" si="18"/>
        <v>16.211215966896749</v>
      </c>
      <c r="W68" s="22">
        <f t="shared" si="19"/>
        <v>25.296927221177594</v>
      </c>
      <c r="X68" s="22">
        <f t="shared" si="20"/>
        <v>7.4650252577349967</v>
      </c>
      <c r="Y68" s="22">
        <f t="shared" si="21"/>
        <v>15.093627505879718</v>
      </c>
      <c r="Z68" s="22">
        <f t="shared" si="22"/>
        <v>20.975113615599081</v>
      </c>
      <c r="AA68" s="22">
        <f t="shared" si="23"/>
        <v>21.014017011393978</v>
      </c>
      <c r="AB68" s="24"/>
      <c r="AC68" s="19">
        <f t="shared" si="26"/>
        <v>5.4471515295206646E-4</v>
      </c>
      <c r="AD68" s="19">
        <f t="shared" si="27"/>
        <v>5.4436745599794809E-4</v>
      </c>
      <c r="AE68" s="19">
        <f t="shared" si="28"/>
        <v>4.9882630708712034E-4</v>
      </c>
      <c r="AF68" s="19">
        <f t="shared" si="29"/>
        <v>5.641802114435679E-4</v>
      </c>
      <c r="AG68" s="19">
        <f t="shared" si="30"/>
        <v>5.4037890091812861E-4</v>
      </c>
      <c r="AH68" s="19">
        <f t="shared" si="31"/>
        <v>5.6610152218285388E-4</v>
      </c>
      <c r="AI68" s="19">
        <f t="shared" si="32"/>
        <v>5.5550605827522752E-4</v>
      </c>
      <c r="AJ68" s="19">
        <f t="shared" si="33"/>
        <v>5.6735210557687561E-4</v>
      </c>
      <c r="AK68" s="19">
        <f t="shared" si="34"/>
        <v>5.2008270233577358E-4</v>
      </c>
      <c r="AL68" s="19">
        <f t="shared" si="35"/>
        <v>5.5312515734420409E-4</v>
      </c>
      <c r="AM68" s="19">
        <f t="shared" si="36"/>
        <v>5.6293879780160399E-4</v>
      </c>
      <c r="AN68" s="19">
        <f t="shared" si="37"/>
        <v>5.6298625362424879E-4</v>
      </c>
      <c r="AO68" s="24"/>
    </row>
    <row r="69" spans="1:41">
      <c r="A69" s="12" t="s">
        <v>397</v>
      </c>
      <c r="B69" s="12">
        <v>1642.72</v>
      </c>
      <c r="C69" s="19">
        <v>18741</v>
      </c>
      <c r="D69" s="19">
        <v>13378</v>
      </c>
      <c r="E69" s="19">
        <v>36978</v>
      </c>
      <c r="F69" s="19">
        <v>43702</v>
      </c>
      <c r="G69" s="19">
        <v>44418</v>
      </c>
      <c r="H69" s="19">
        <v>35851</v>
      </c>
      <c r="I69" s="19">
        <v>29479</v>
      </c>
      <c r="J69" s="19">
        <v>15317</v>
      </c>
      <c r="K69" s="19">
        <v>25367</v>
      </c>
      <c r="L69" s="19">
        <v>26223</v>
      </c>
      <c r="M69" s="19">
        <v>38113</v>
      </c>
      <c r="N69" s="19">
        <v>4987</v>
      </c>
      <c r="O69" s="24"/>
      <c r="P69" s="22">
        <f t="shared" ref="P69:P100" si="38">(C69-B69)/B69</f>
        <v>10.408517580598032</v>
      </c>
      <c r="Q69" s="22">
        <f t="shared" ref="Q69:Q100" si="39">(D69-B69)/B69</f>
        <v>7.1438102659004583</v>
      </c>
      <c r="R69" s="22">
        <f t="shared" si="14"/>
        <v>21.510226940683744</v>
      </c>
      <c r="S69" s="22">
        <f t="shared" si="15"/>
        <v>25.603438200058438</v>
      </c>
      <c r="T69" s="22">
        <f t="shared" si="16"/>
        <v>26.0393006720561</v>
      </c>
      <c r="U69" s="22">
        <f t="shared" si="17"/>
        <v>20.824169669815912</v>
      </c>
      <c r="V69" s="22">
        <f t="shared" si="18"/>
        <v>16.945237167624427</v>
      </c>
      <c r="W69" s="22">
        <f t="shared" si="19"/>
        <v>8.324169669815916</v>
      </c>
      <c r="X69" s="22">
        <f t="shared" si="20"/>
        <v>14.442071685984221</v>
      </c>
      <c r="Y69" s="22">
        <f t="shared" si="21"/>
        <v>14.963158663679749</v>
      </c>
      <c r="Z69" s="22">
        <f t="shared" si="22"/>
        <v>22.201154183305736</v>
      </c>
      <c r="AA69" s="22">
        <f t="shared" si="23"/>
        <v>2.0358186422518747</v>
      </c>
      <c r="AB69" s="24"/>
      <c r="AC69" s="19">
        <f t="shared" ref="AC69:AC100" si="40">P69 /(C69 - P69)</f>
        <v>5.5569615035208598E-4</v>
      </c>
      <c r="AD69" s="19">
        <f t="shared" ref="AD69:AD100" si="41">Q69 / (D69 - Q69)</f>
        <v>5.3428218541347761E-4</v>
      </c>
      <c r="AE69" s="19">
        <f t="shared" ref="AE69:AE100" si="42">R69 / (E69 - R69)</f>
        <v>5.8204193831104469E-4</v>
      </c>
      <c r="AF69" s="19">
        <f t="shared" ref="AF69:AF100" si="43">S69 / (F69 - S69)</f>
        <v>5.8620765941235192E-4</v>
      </c>
      <c r="AG69" s="19">
        <f t="shared" ref="AG69:AG100" si="44">T69 / (G69 - T69)</f>
        <v>5.8657694460542969E-4</v>
      </c>
      <c r="AH69" s="19">
        <f t="shared" ref="AH69:AH100" si="45">U69 / (H69 - U69)</f>
        <v>5.8119083111471328E-4</v>
      </c>
      <c r="AI69" s="19">
        <f t="shared" ref="AI69:AI100" si="46">V69 / (I69 - V69)</f>
        <v>5.7515462869214265E-4</v>
      </c>
      <c r="AJ69" s="19">
        <f t="shared" ref="AJ69:AJ100" si="47">W69 / (J69 - W69)</f>
        <v>5.437550420477077E-4</v>
      </c>
      <c r="AK69" s="19">
        <f t="shared" ref="AK69:AK100" si="48">X69 / (K69 - X69)</f>
        <v>5.6964948968147937E-4</v>
      </c>
      <c r="AL69" s="19">
        <f t="shared" ref="AL69:AL100" si="49">Y69 / (L69 - Y69)</f>
        <v>5.7093779111601676E-4</v>
      </c>
      <c r="AM69" s="19">
        <f t="shared" ref="AM69:AM100" si="50">Z69 / (M69 - Z69)</f>
        <v>5.8284821678776543E-4</v>
      </c>
      <c r="AN69" s="19">
        <f t="shared" ref="AN69:AN100" si="51">AA69 / (N69 - AA69)</f>
        <v>4.0839182954718472E-4</v>
      </c>
      <c r="AO69" s="24"/>
    </row>
    <row r="70" spans="1:41">
      <c r="A70" s="12" t="s">
        <v>395</v>
      </c>
      <c r="B70" s="12">
        <v>150.85</v>
      </c>
      <c r="C70" s="19">
        <v>40134</v>
      </c>
      <c r="D70" s="19">
        <v>47230</v>
      </c>
      <c r="E70" s="19">
        <v>31954</v>
      </c>
      <c r="F70" s="19">
        <v>45009</v>
      </c>
      <c r="G70" s="19">
        <v>10214</v>
      </c>
      <c r="H70" s="19">
        <v>2196</v>
      </c>
      <c r="I70" s="19">
        <v>29018</v>
      </c>
      <c r="J70" s="19">
        <v>29136</v>
      </c>
      <c r="K70" s="19">
        <v>22107</v>
      </c>
      <c r="L70" s="19">
        <v>2922</v>
      </c>
      <c r="M70" s="19">
        <v>47313</v>
      </c>
      <c r="N70" s="19">
        <v>4897</v>
      </c>
      <c r="O70" s="24"/>
      <c r="P70" s="22">
        <f t="shared" si="38"/>
        <v>265.05236990387806</v>
      </c>
      <c r="Q70" s="22">
        <f t="shared" si="39"/>
        <v>312.09247596950615</v>
      </c>
      <c r="R70" s="22">
        <f t="shared" ref="R70:R133" si="52">(E70-B70)/B70</f>
        <v>210.82631753397416</v>
      </c>
      <c r="S70" s="22">
        <f t="shared" ref="S70:S133" si="53">(F70-B70)/B70</f>
        <v>297.3692409678489</v>
      </c>
      <c r="T70" s="22">
        <f t="shared" ref="T70:T133" si="54">(G70-B70)/B70</f>
        <v>66.70964534305601</v>
      </c>
      <c r="U70" s="22">
        <f t="shared" ref="U70:U133" si="55">(H70-B70)/B70</f>
        <v>13.557507457739478</v>
      </c>
      <c r="V70" s="22">
        <f t="shared" ref="V70:V133" si="56">(I70-B70)/B70</f>
        <v>191.36327477626784</v>
      </c>
      <c r="W70" s="22">
        <f t="shared" ref="W70:W133" si="57">(J70-B70)/B70</f>
        <v>192.14550878355985</v>
      </c>
      <c r="X70" s="22">
        <f t="shared" ref="X70:X133" si="58">(K70-B70)/B70</f>
        <v>145.54955253563145</v>
      </c>
      <c r="Y70" s="22">
        <f t="shared" ref="Y70:Y133" si="59">(L70-B70)/B70</f>
        <v>18.370235333112365</v>
      </c>
      <c r="Z70" s="22">
        <f t="shared" ref="Z70:Z133" si="60">(M70-B70)/B70</f>
        <v>312.64269141531327</v>
      </c>
      <c r="AA70" s="22">
        <f t="shared" ref="AA70:AA133" si="61">(N70-B70)/B70</f>
        <v>31.462711302618494</v>
      </c>
      <c r="AB70" s="24"/>
      <c r="AC70" s="19">
        <f t="shared" si="40"/>
        <v>6.648090447809972E-3</v>
      </c>
      <c r="AD70" s="19">
        <f t="shared" si="41"/>
        <v>6.6518839487813494E-3</v>
      </c>
      <c r="AE70" s="19">
        <f t="shared" si="42"/>
        <v>6.6416269413675007E-3</v>
      </c>
      <c r="AF70" s="19">
        <f t="shared" si="43"/>
        <v>6.650825208556671E-3</v>
      </c>
      <c r="AG70" s="19">
        <f t="shared" si="44"/>
        <v>6.574133883183962E-3</v>
      </c>
      <c r="AH70" s="19">
        <f t="shared" si="45"/>
        <v>6.2120800452096919E-3</v>
      </c>
      <c r="AI70" s="19">
        <f t="shared" si="46"/>
        <v>6.6384183697996979E-3</v>
      </c>
      <c r="AJ70" s="19">
        <f t="shared" si="47"/>
        <v>6.638559796583763E-3</v>
      </c>
      <c r="AK70" s="19">
        <f t="shared" si="48"/>
        <v>6.6275018074881458E-3</v>
      </c>
      <c r="AL70" s="19">
        <f t="shared" si="49"/>
        <v>6.3266452068553745E-3</v>
      </c>
      <c r="AM70" s="19">
        <f t="shared" si="50"/>
        <v>6.6519215878005382E-3</v>
      </c>
      <c r="AN70" s="19">
        <f t="shared" si="51"/>
        <v>6.4664413066376474E-3</v>
      </c>
      <c r="AO70" s="24"/>
    </row>
    <row r="71" spans="1:41">
      <c r="A71" s="12" t="s">
        <v>396</v>
      </c>
      <c r="B71" s="12">
        <v>2960.74</v>
      </c>
      <c r="C71" s="19">
        <v>25717</v>
      </c>
      <c r="D71" s="19">
        <v>37959</v>
      </c>
      <c r="E71" s="19">
        <v>49533</v>
      </c>
      <c r="F71" s="19">
        <v>4508</v>
      </c>
      <c r="G71" s="19">
        <v>35422</v>
      </c>
      <c r="H71" s="19">
        <v>21284</v>
      </c>
      <c r="I71" s="19">
        <v>49664</v>
      </c>
      <c r="J71" s="19">
        <v>47588</v>
      </c>
      <c r="K71" s="19">
        <v>35627</v>
      </c>
      <c r="L71" s="19">
        <v>11465</v>
      </c>
      <c r="M71" s="19">
        <v>3511</v>
      </c>
      <c r="N71" s="19">
        <v>9975</v>
      </c>
      <c r="O71" s="24"/>
      <c r="P71" s="22">
        <f t="shared" si="38"/>
        <v>7.6860041746320187</v>
      </c>
      <c r="Q71" s="22">
        <f t="shared" si="39"/>
        <v>11.820781291163698</v>
      </c>
      <c r="R71" s="22">
        <f t="shared" si="52"/>
        <v>15.729939136837414</v>
      </c>
      <c r="S71" s="22">
        <f t="shared" si="53"/>
        <v>0.52259232489175012</v>
      </c>
      <c r="T71" s="22">
        <f t="shared" si="54"/>
        <v>10.963900916662729</v>
      </c>
      <c r="U71" s="22">
        <f t="shared" si="55"/>
        <v>6.1887433547018667</v>
      </c>
      <c r="V71" s="22">
        <f t="shared" si="56"/>
        <v>15.774184832170338</v>
      </c>
      <c r="W71" s="22">
        <f t="shared" si="57"/>
        <v>15.073008774833321</v>
      </c>
      <c r="X71" s="22">
        <f t="shared" si="58"/>
        <v>11.033140363557761</v>
      </c>
      <c r="Y71" s="22">
        <f t="shared" si="59"/>
        <v>2.8723427251295286</v>
      </c>
      <c r="Z71" s="22">
        <f t="shared" si="60"/>
        <v>0.18585218560224817</v>
      </c>
      <c r="AA71" s="22">
        <f t="shared" si="61"/>
        <v>2.3690901598924596</v>
      </c>
      <c r="AB71" s="24"/>
      <c r="AC71" s="19">
        <f t="shared" si="40"/>
        <v>2.9895796425684709E-4</v>
      </c>
      <c r="AD71" s="19">
        <f t="shared" si="41"/>
        <v>3.1150619188410661E-4</v>
      </c>
      <c r="AE71" s="19">
        <f t="shared" si="42"/>
        <v>3.1766571778903146E-4</v>
      </c>
      <c r="AF71" s="19">
        <f t="shared" si="43"/>
        <v>1.1593897819696353E-4</v>
      </c>
      <c r="AG71" s="19">
        <f t="shared" si="44"/>
        <v>3.0961819038518744E-4</v>
      </c>
      <c r="AH71" s="19">
        <f t="shared" si="45"/>
        <v>2.9085432143632971E-4</v>
      </c>
      <c r="AI71" s="19">
        <f t="shared" si="46"/>
        <v>3.1771900351273437E-4</v>
      </c>
      <c r="AJ71" s="19">
        <f t="shared" si="47"/>
        <v>3.1684005437827145E-4</v>
      </c>
      <c r="AK71" s="19">
        <f t="shared" si="48"/>
        <v>3.097807342150695E-4</v>
      </c>
      <c r="AL71" s="19">
        <f t="shared" si="49"/>
        <v>2.505942012699962E-4</v>
      </c>
      <c r="AM71" s="19">
        <f t="shared" si="50"/>
        <v>5.2937061825943574E-5</v>
      </c>
      <c r="AN71" s="19">
        <f t="shared" si="51"/>
        <v>2.3755919388883146E-4</v>
      </c>
      <c r="AO71" s="24"/>
    </row>
    <row r="72" spans="1:41">
      <c r="A72" s="12" t="s">
        <v>399</v>
      </c>
      <c r="B72" s="12">
        <v>412.76</v>
      </c>
      <c r="C72" s="19">
        <v>45417</v>
      </c>
      <c r="D72" s="19">
        <v>21282</v>
      </c>
      <c r="E72" s="19">
        <v>24049</v>
      </c>
      <c r="F72" s="19">
        <v>39850</v>
      </c>
      <c r="G72" s="19">
        <v>21171</v>
      </c>
      <c r="H72" s="19">
        <v>34448</v>
      </c>
      <c r="I72" s="19">
        <v>13681</v>
      </c>
      <c r="J72" s="19">
        <v>15044</v>
      </c>
      <c r="K72" s="19">
        <v>45637</v>
      </c>
      <c r="L72" s="19">
        <v>8388</v>
      </c>
      <c r="M72" s="19">
        <v>10863</v>
      </c>
      <c r="N72" s="19">
        <v>45125</v>
      </c>
      <c r="O72" s="24"/>
      <c r="P72" s="22">
        <f t="shared" si="38"/>
        <v>109.03246438608392</v>
      </c>
      <c r="Q72" s="22">
        <f t="shared" si="39"/>
        <v>50.56022870433182</v>
      </c>
      <c r="R72" s="22">
        <f t="shared" si="52"/>
        <v>57.263882159123952</v>
      </c>
      <c r="S72" s="22">
        <f t="shared" si="53"/>
        <v>95.545207868979546</v>
      </c>
      <c r="T72" s="22">
        <f t="shared" si="54"/>
        <v>50.291307297218729</v>
      </c>
      <c r="U72" s="22">
        <f t="shared" si="55"/>
        <v>82.457699389475721</v>
      </c>
      <c r="V72" s="22">
        <f t="shared" si="56"/>
        <v>32.145169105533483</v>
      </c>
      <c r="W72" s="22">
        <f t="shared" si="57"/>
        <v>35.447330167651906</v>
      </c>
      <c r="X72" s="22">
        <f t="shared" si="58"/>
        <v>109.56546176955131</v>
      </c>
      <c r="Y72" s="22">
        <f t="shared" si="59"/>
        <v>19.32173660238395</v>
      </c>
      <c r="Z72" s="22">
        <f t="shared" si="60"/>
        <v>25.317957166392091</v>
      </c>
      <c r="AA72" s="22">
        <f t="shared" si="61"/>
        <v>108.32503149529992</v>
      </c>
      <c r="AB72" s="24"/>
      <c r="AC72" s="19">
        <f t="shared" si="40"/>
        <v>2.4064744087313105E-3</v>
      </c>
      <c r="AD72" s="19">
        <f t="shared" si="41"/>
        <v>2.3813848353651402E-3</v>
      </c>
      <c r="AE72" s="19">
        <f t="shared" si="42"/>
        <v>2.3868169388767597E-3</v>
      </c>
      <c r="AF72" s="19">
        <f t="shared" si="43"/>
        <v>2.4033836803590554E-3</v>
      </c>
      <c r="AG72" s="19">
        <f t="shared" si="44"/>
        <v>2.3811373012589494E-3</v>
      </c>
      <c r="AH72" s="19">
        <f t="shared" si="45"/>
        <v>2.3994295992241857E-3</v>
      </c>
      <c r="AI72" s="19">
        <f t="shared" si="46"/>
        <v>2.3551550297664699E-3</v>
      </c>
      <c r="AJ72" s="19">
        <f t="shared" si="47"/>
        <v>2.3618086931794647E-3</v>
      </c>
      <c r="AK72" s="19">
        <f t="shared" si="48"/>
        <v>2.4065810621845306E-3</v>
      </c>
      <c r="AL72" s="19">
        <f t="shared" si="49"/>
        <v>2.3088158003268106E-3</v>
      </c>
      <c r="AM72" s="19">
        <f t="shared" si="50"/>
        <v>2.3361044424747199E-3</v>
      </c>
      <c r="AN72" s="19">
        <f t="shared" si="51"/>
        <v>2.4063312443908407E-3</v>
      </c>
      <c r="AO72" s="24"/>
    </row>
    <row r="73" spans="1:41">
      <c r="A73" s="12" t="s">
        <v>399</v>
      </c>
      <c r="B73" s="12">
        <v>731.84</v>
      </c>
      <c r="C73" s="19">
        <v>33196</v>
      </c>
      <c r="D73" s="19">
        <v>44287</v>
      </c>
      <c r="E73" s="19">
        <v>49368</v>
      </c>
      <c r="F73" s="19">
        <v>41206</v>
      </c>
      <c r="G73" s="19">
        <v>26250</v>
      </c>
      <c r="H73" s="19">
        <v>1146</v>
      </c>
      <c r="I73" s="19">
        <v>29507</v>
      </c>
      <c r="J73" s="19">
        <v>16916</v>
      </c>
      <c r="K73" s="19">
        <v>20003</v>
      </c>
      <c r="L73" s="19">
        <v>41032</v>
      </c>
      <c r="M73" s="19">
        <v>30526</v>
      </c>
      <c r="N73" s="19">
        <v>30425</v>
      </c>
      <c r="O73" s="24"/>
      <c r="P73" s="22">
        <f t="shared" si="38"/>
        <v>44.359641451683423</v>
      </c>
      <c r="Q73" s="22">
        <f t="shared" si="39"/>
        <v>59.514593353738526</v>
      </c>
      <c r="R73" s="22">
        <f t="shared" si="52"/>
        <v>66.457367730651512</v>
      </c>
      <c r="S73" s="22">
        <f t="shared" si="53"/>
        <v>55.304656755574989</v>
      </c>
      <c r="T73" s="22">
        <f t="shared" si="54"/>
        <v>34.868495846086574</v>
      </c>
      <c r="U73" s="22">
        <f t="shared" si="55"/>
        <v>0.5659160472234368</v>
      </c>
      <c r="V73" s="22">
        <f t="shared" si="56"/>
        <v>39.318922168780063</v>
      </c>
      <c r="W73" s="22">
        <f t="shared" si="57"/>
        <v>22.114341932662875</v>
      </c>
      <c r="X73" s="22">
        <f t="shared" si="58"/>
        <v>26.332477044162658</v>
      </c>
      <c r="Y73" s="22">
        <f t="shared" si="59"/>
        <v>55.066899868823789</v>
      </c>
      <c r="Z73" s="22">
        <f t="shared" si="60"/>
        <v>40.711303017052906</v>
      </c>
      <c r="AA73" s="22">
        <f t="shared" si="61"/>
        <v>40.573294709226062</v>
      </c>
      <c r="AB73" s="24"/>
      <c r="AC73" s="19">
        <f t="shared" si="40"/>
        <v>1.3380828511625994E-3</v>
      </c>
      <c r="AD73" s="19">
        <f t="shared" si="41"/>
        <v>1.3456472328583935E-3</v>
      </c>
      <c r="AE73" s="19">
        <f t="shared" si="42"/>
        <v>1.3479774502462153E-3</v>
      </c>
      <c r="AF73" s="19">
        <f t="shared" si="43"/>
        <v>1.343954368067663E-3</v>
      </c>
      <c r="AG73" s="19">
        <f t="shared" si="44"/>
        <v>1.3300904418717676E-3</v>
      </c>
      <c r="AH73" s="19">
        <f t="shared" si="45"/>
        <v>4.9406251756584552E-4</v>
      </c>
      <c r="AI73" s="19">
        <f t="shared" si="46"/>
        <v>1.3343066278248821E-3</v>
      </c>
      <c r="AJ73" s="19">
        <f t="shared" si="47"/>
        <v>1.3090145381742069E-3</v>
      </c>
      <c r="AK73" s="19">
        <f t="shared" si="48"/>
        <v>1.318161651031292E-3</v>
      </c>
      <c r="AL73" s="19">
        <f t="shared" si="49"/>
        <v>1.343851179254006E-3</v>
      </c>
      <c r="AM73" s="19">
        <f t="shared" si="50"/>
        <v>1.3354409538880961E-3</v>
      </c>
      <c r="AN73" s="19">
        <f t="shared" si="51"/>
        <v>1.3353319153512652E-3</v>
      </c>
      <c r="AO73" s="24"/>
    </row>
    <row r="74" spans="1:41">
      <c r="A74" s="12" t="s">
        <v>395</v>
      </c>
      <c r="B74" s="12">
        <v>202.51</v>
      </c>
      <c r="C74" s="19">
        <v>27613</v>
      </c>
      <c r="D74" s="19">
        <v>5157</v>
      </c>
      <c r="E74" s="19">
        <v>17646</v>
      </c>
      <c r="F74" s="19">
        <v>43933</v>
      </c>
      <c r="G74" s="19">
        <v>7605</v>
      </c>
      <c r="H74" s="19">
        <v>45063</v>
      </c>
      <c r="I74" s="19">
        <v>17454</v>
      </c>
      <c r="J74" s="19">
        <v>16367</v>
      </c>
      <c r="K74" s="19">
        <v>10850</v>
      </c>
      <c r="L74" s="19">
        <v>11807</v>
      </c>
      <c r="M74" s="19">
        <v>36304</v>
      </c>
      <c r="N74" s="19">
        <v>11678</v>
      </c>
      <c r="O74" s="24"/>
      <c r="P74" s="22">
        <f t="shared" si="38"/>
        <v>135.35376030813293</v>
      </c>
      <c r="Q74" s="22">
        <f t="shared" si="39"/>
        <v>24.465409115599229</v>
      </c>
      <c r="R74" s="22">
        <f t="shared" si="52"/>
        <v>86.13643770677993</v>
      </c>
      <c r="S74" s="22">
        <f t="shared" si="53"/>
        <v>215.94237321613747</v>
      </c>
      <c r="T74" s="22">
        <f t="shared" si="54"/>
        <v>36.553701051799912</v>
      </c>
      <c r="U74" s="22">
        <f t="shared" si="55"/>
        <v>221.52234457557651</v>
      </c>
      <c r="V74" s="22">
        <f t="shared" si="56"/>
        <v>85.188336378450458</v>
      </c>
      <c r="W74" s="22">
        <f t="shared" si="57"/>
        <v>79.820700212335197</v>
      </c>
      <c r="X74" s="22">
        <f t="shared" si="58"/>
        <v>52.577601106118216</v>
      </c>
      <c r="Y74" s="22">
        <f t="shared" si="59"/>
        <v>57.303293664510399</v>
      </c>
      <c r="Z74" s="22">
        <f t="shared" si="60"/>
        <v>178.27015949829638</v>
      </c>
      <c r="AA74" s="22">
        <f t="shared" si="61"/>
        <v>56.666288084539033</v>
      </c>
      <c r="AB74" s="24"/>
      <c r="AC74" s="19">
        <f t="shared" si="40"/>
        <v>4.9259590551323281E-3</v>
      </c>
      <c r="AD74" s="19">
        <f t="shared" si="41"/>
        <v>4.7667304881005247E-3</v>
      </c>
      <c r="AE74" s="19">
        <f t="shared" si="42"/>
        <v>4.9053022195310837E-3</v>
      </c>
      <c r="AF74" s="19">
        <f t="shared" si="43"/>
        <v>4.9395449954490389E-3</v>
      </c>
      <c r="AG74" s="19">
        <f t="shared" si="44"/>
        <v>4.8297496748942832E-3</v>
      </c>
      <c r="AH74" s="19">
        <f t="shared" si="45"/>
        <v>4.9401214268142927E-3</v>
      </c>
      <c r="AI74" s="19">
        <f t="shared" si="46"/>
        <v>4.9046726988740894E-3</v>
      </c>
      <c r="AJ74" s="19">
        <f t="shared" si="47"/>
        <v>4.9008302016651717E-3</v>
      </c>
      <c r="AK74" s="19">
        <f t="shared" si="48"/>
        <v>4.8694585766603351E-3</v>
      </c>
      <c r="AL74" s="19">
        <f t="shared" si="49"/>
        <v>4.8770019428341672E-3</v>
      </c>
      <c r="AM74" s="19">
        <f t="shared" si="50"/>
        <v>4.9347144067503936E-3</v>
      </c>
      <c r="AN74" s="19">
        <f t="shared" si="51"/>
        <v>4.8760572141938038E-3</v>
      </c>
      <c r="AO74" s="24"/>
    </row>
    <row r="75" spans="1:41">
      <c r="A75" s="12" t="s">
        <v>399</v>
      </c>
      <c r="B75" s="12">
        <v>1938.01</v>
      </c>
      <c r="C75" s="19">
        <v>27585</v>
      </c>
      <c r="D75" s="19">
        <v>1037</v>
      </c>
      <c r="E75" s="19">
        <v>11419</v>
      </c>
      <c r="F75" s="19">
        <v>35534</v>
      </c>
      <c r="G75" s="19">
        <v>38007</v>
      </c>
      <c r="H75" s="19">
        <v>21506</v>
      </c>
      <c r="I75" s="19">
        <v>49225</v>
      </c>
      <c r="J75" s="19">
        <v>44160</v>
      </c>
      <c r="K75" s="19">
        <v>9200</v>
      </c>
      <c r="L75" s="19">
        <v>16007</v>
      </c>
      <c r="M75" s="19">
        <v>16029</v>
      </c>
      <c r="N75" s="19">
        <v>42581</v>
      </c>
      <c r="O75" s="24"/>
      <c r="P75" s="22">
        <f t="shared" si="38"/>
        <v>13.233672684867468</v>
      </c>
      <c r="Q75" s="22">
        <f t="shared" si="39"/>
        <v>-0.46491504171805098</v>
      </c>
      <c r="R75" s="22">
        <f t="shared" si="52"/>
        <v>4.892126459615791</v>
      </c>
      <c r="S75" s="22">
        <f t="shared" si="53"/>
        <v>17.335302707416368</v>
      </c>
      <c r="T75" s="22">
        <f t="shared" si="54"/>
        <v>18.611353914582484</v>
      </c>
      <c r="U75" s="22">
        <f t="shared" si="55"/>
        <v>10.096949964138473</v>
      </c>
      <c r="V75" s="22">
        <f t="shared" si="56"/>
        <v>24.399765739082873</v>
      </c>
      <c r="W75" s="22">
        <f t="shared" si="57"/>
        <v>21.786260132816651</v>
      </c>
      <c r="X75" s="22">
        <f t="shared" si="58"/>
        <v>3.747137527670136</v>
      </c>
      <c r="Y75" s="22">
        <f t="shared" si="59"/>
        <v>7.2595033049365068</v>
      </c>
      <c r="Z75" s="22">
        <f t="shared" si="60"/>
        <v>7.2708551555461529</v>
      </c>
      <c r="AA75" s="22">
        <f t="shared" si="61"/>
        <v>20.971506854969789</v>
      </c>
      <c r="AB75" s="24"/>
      <c r="AC75" s="19">
        <f t="shared" si="40"/>
        <v>4.7997188601431643E-4</v>
      </c>
      <c r="AD75" s="19">
        <f t="shared" si="41"/>
        <v>-4.4812603778447393E-4</v>
      </c>
      <c r="AE75" s="19">
        <f t="shared" si="42"/>
        <v>4.2860348910460838E-4</v>
      </c>
      <c r="AF75" s="19">
        <f t="shared" si="43"/>
        <v>4.8808926331243683E-4</v>
      </c>
      <c r="AG75" s="19">
        <f t="shared" si="44"/>
        <v>4.8992217300852336E-4</v>
      </c>
      <c r="AH75" s="19">
        <f t="shared" si="45"/>
        <v>4.697150866672535E-4</v>
      </c>
      <c r="AI75" s="19">
        <f t="shared" si="46"/>
        <v>4.9592414773208515E-4</v>
      </c>
      <c r="AJ75" s="19">
        <f t="shared" si="47"/>
        <v>4.9359179465703065E-4</v>
      </c>
      <c r="AK75" s="19">
        <f t="shared" si="48"/>
        <v>4.0746351625032981E-4</v>
      </c>
      <c r="AL75" s="19">
        <f t="shared" si="49"/>
        <v>4.5372631552593264E-4</v>
      </c>
      <c r="AM75" s="19">
        <f t="shared" si="50"/>
        <v>4.53812137866892E-4</v>
      </c>
      <c r="AN75" s="19">
        <f t="shared" si="51"/>
        <v>4.9275124095247221E-4</v>
      </c>
      <c r="AO75" s="24"/>
    </row>
    <row r="76" spans="1:41">
      <c r="A76" s="12" t="s">
        <v>397</v>
      </c>
      <c r="B76" s="12">
        <v>712.87</v>
      </c>
      <c r="C76" s="19">
        <v>41735</v>
      </c>
      <c r="D76" s="19">
        <v>43648</v>
      </c>
      <c r="E76" s="19">
        <v>48705</v>
      </c>
      <c r="F76" s="19">
        <v>41332</v>
      </c>
      <c r="G76" s="19">
        <v>44113</v>
      </c>
      <c r="H76" s="19">
        <v>20407</v>
      </c>
      <c r="I76" s="19">
        <v>40706</v>
      </c>
      <c r="J76" s="19">
        <v>35388</v>
      </c>
      <c r="K76" s="19">
        <v>47277</v>
      </c>
      <c r="L76" s="19">
        <v>39567</v>
      </c>
      <c r="M76" s="19">
        <v>16183</v>
      </c>
      <c r="N76" s="19">
        <v>29844</v>
      </c>
      <c r="O76" s="24"/>
      <c r="P76" s="22">
        <f t="shared" si="38"/>
        <v>57.545036261871026</v>
      </c>
      <c r="Q76" s="22">
        <f t="shared" si="39"/>
        <v>60.228554996002075</v>
      </c>
      <c r="R76" s="22">
        <f t="shared" si="52"/>
        <v>67.322415026582689</v>
      </c>
      <c r="S76" s="22">
        <f t="shared" si="53"/>
        <v>56.979715796709073</v>
      </c>
      <c r="T76" s="22">
        <f t="shared" si="54"/>
        <v>60.880847840419705</v>
      </c>
      <c r="U76" s="22">
        <f t="shared" si="55"/>
        <v>27.626537797915471</v>
      </c>
      <c r="V76" s="22">
        <f t="shared" si="56"/>
        <v>56.101575322288774</v>
      </c>
      <c r="W76" s="22">
        <f t="shared" si="57"/>
        <v>48.641589630647942</v>
      </c>
      <c r="X76" s="22">
        <f t="shared" si="58"/>
        <v>65.319244743080787</v>
      </c>
      <c r="Y76" s="22">
        <f t="shared" si="59"/>
        <v>54.503808548543212</v>
      </c>
      <c r="Z76" s="22">
        <f t="shared" si="60"/>
        <v>21.701193766044298</v>
      </c>
      <c r="AA76" s="22">
        <f t="shared" si="61"/>
        <v>40.86457558881704</v>
      </c>
      <c r="AB76" s="24"/>
      <c r="AC76" s="19">
        <f t="shared" si="40"/>
        <v>1.3807233745903784E-3</v>
      </c>
      <c r="AD76" s="19">
        <f t="shared" si="41"/>
        <v>1.3817764248854579E-3</v>
      </c>
      <c r="AE76" s="19">
        <f t="shared" si="42"/>
        <v>1.3841617932715995E-3</v>
      </c>
      <c r="AF76" s="19">
        <f t="shared" si="43"/>
        <v>1.3804891046538446E-3</v>
      </c>
      <c r="AG76" s="19">
        <f t="shared" si="44"/>
        <v>1.382018595521644E-3</v>
      </c>
      <c r="AH76" s="19">
        <f t="shared" si="45"/>
        <v>1.3556127154328275E-3</v>
      </c>
      <c r="AI76" s="19">
        <f t="shared" si="46"/>
        <v>1.3801160026572334E-3</v>
      </c>
      <c r="AJ76" s="19">
        <f t="shared" si="47"/>
        <v>1.3764140555640484E-3</v>
      </c>
      <c r="AK76" s="19">
        <f t="shared" si="48"/>
        <v>1.3835399142363223E-3</v>
      </c>
      <c r="AL76" s="19">
        <f t="shared" si="49"/>
        <v>1.3794068662342607E-3</v>
      </c>
      <c r="AM76" s="19">
        <f t="shared" si="50"/>
        <v>1.342787731743034E-3</v>
      </c>
      <c r="AN76" s="19">
        <f t="shared" si="51"/>
        <v>1.371150216475064E-3</v>
      </c>
      <c r="AO76" s="24"/>
    </row>
    <row r="77" spans="1:41">
      <c r="A77" s="12" t="s">
        <v>396</v>
      </c>
      <c r="B77" s="12">
        <v>581.03</v>
      </c>
      <c r="C77" s="19">
        <v>12443</v>
      </c>
      <c r="D77" s="19">
        <v>9788</v>
      </c>
      <c r="E77" s="19">
        <v>38501</v>
      </c>
      <c r="F77" s="19">
        <v>26694</v>
      </c>
      <c r="G77" s="19">
        <v>18094</v>
      </c>
      <c r="H77" s="19">
        <v>17644</v>
      </c>
      <c r="I77" s="19">
        <v>15022</v>
      </c>
      <c r="J77" s="19">
        <v>12048</v>
      </c>
      <c r="K77" s="19">
        <v>25491</v>
      </c>
      <c r="L77" s="19">
        <v>25016</v>
      </c>
      <c r="M77" s="19">
        <v>23603</v>
      </c>
      <c r="N77" s="19">
        <v>21031</v>
      </c>
      <c r="O77" s="24"/>
      <c r="P77" s="22">
        <f t="shared" si="38"/>
        <v>20.415417448324526</v>
      </c>
      <c r="Q77" s="22">
        <f t="shared" si="39"/>
        <v>15.845945992461662</v>
      </c>
      <c r="R77" s="22">
        <f t="shared" si="52"/>
        <v>65.263359895358249</v>
      </c>
      <c r="S77" s="22">
        <f t="shared" si="53"/>
        <v>44.942550298607649</v>
      </c>
      <c r="T77" s="22">
        <f t="shared" si="54"/>
        <v>30.141249160972759</v>
      </c>
      <c r="U77" s="22">
        <f t="shared" si="55"/>
        <v>29.366762473538376</v>
      </c>
      <c r="V77" s="22">
        <f t="shared" si="56"/>
        <v>24.854086708087362</v>
      </c>
      <c r="W77" s="22">
        <f t="shared" si="57"/>
        <v>19.735590244909901</v>
      </c>
      <c r="X77" s="22">
        <f t="shared" si="58"/>
        <v>42.8720892208664</v>
      </c>
      <c r="Y77" s="22">
        <f t="shared" si="59"/>
        <v>42.054575495241217</v>
      </c>
      <c r="Z77" s="22">
        <f t="shared" si="60"/>
        <v>39.622687296697251</v>
      </c>
      <c r="AA77" s="22">
        <f t="shared" si="61"/>
        <v>35.196065607627837</v>
      </c>
      <c r="AB77" s="24"/>
      <c r="AC77" s="19">
        <f t="shared" si="40"/>
        <v>1.6434114263950597E-3</v>
      </c>
      <c r="AD77" s="19">
        <f t="shared" si="41"/>
        <v>1.6215407478112028E-3</v>
      </c>
      <c r="AE77" s="19">
        <f t="shared" si="42"/>
        <v>1.6979864469999807E-3</v>
      </c>
      <c r="AF77" s="19">
        <f t="shared" si="43"/>
        <v>1.6864592822254298E-3</v>
      </c>
      <c r="AG77" s="19">
        <f t="shared" si="44"/>
        <v>1.668594156803444E-3</v>
      </c>
      <c r="AH77" s="19">
        <f t="shared" si="45"/>
        <v>1.6671798996629129E-3</v>
      </c>
      <c r="AI77" s="19">
        <f t="shared" si="46"/>
        <v>1.657254443731142E-3</v>
      </c>
      <c r="AJ77" s="19">
        <f t="shared" si="47"/>
        <v>1.640767909034662E-3</v>
      </c>
      <c r="AK77" s="19">
        <f t="shared" si="48"/>
        <v>1.6846853871206357E-3</v>
      </c>
      <c r="AL77" s="19">
        <f t="shared" si="49"/>
        <v>1.6839379913906882E-3</v>
      </c>
      <c r="AM77" s="19">
        <f t="shared" si="50"/>
        <v>1.6815368514824986E-3</v>
      </c>
      <c r="AN77" s="19">
        <f t="shared" si="51"/>
        <v>1.6763380777229774E-3</v>
      </c>
      <c r="AO77" s="24"/>
    </row>
    <row r="78" spans="1:41">
      <c r="A78" s="12" t="s">
        <v>398</v>
      </c>
      <c r="B78" s="12">
        <v>311.24</v>
      </c>
      <c r="C78" s="19">
        <v>36856</v>
      </c>
      <c r="D78" s="19">
        <v>44086</v>
      </c>
      <c r="E78" s="19">
        <v>6549</v>
      </c>
      <c r="F78" s="19">
        <v>34671</v>
      </c>
      <c r="G78" s="19">
        <v>15800</v>
      </c>
      <c r="H78" s="19">
        <v>43313</v>
      </c>
      <c r="I78" s="19">
        <v>18618</v>
      </c>
      <c r="J78" s="19">
        <v>39346</v>
      </c>
      <c r="K78" s="19">
        <v>42976</v>
      </c>
      <c r="L78" s="19">
        <v>49063</v>
      </c>
      <c r="M78" s="19">
        <v>9787</v>
      </c>
      <c r="N78" s="19">
        <v>31647</v>
      </c>
      <c r="O78" s="24"/>
      <c r="P78" s="22">
        <f t="shared" si="38"/>
        <v>117.41665595681789</v>
      </c>
      <c r="Q78" s="22">
        <f t="shared" si="39"/>
        <v>140.64631795399049</v>
      </c>
      <c r="R78" s="22">
        <f t="shared" si="52"/>
        <v>20.041639892044724</v>
      </c>
      <c r="S78" s="22">
        <f t="shared" si="53"/>
        <v>110.39635008353683</v>
      </c>
      <c r="T78" s="22">
        <f t="shared" si="54"/>
        <v>49.764683202673176</v>
      </c>
      <c r="U78" s="22">
        <f t="shared" si="55"/>
        <v>138.16270402261921</v>
      </c>
      <c r="V78" s="22">
        <f t="shared" si="56"/>
        <v>58.818789358694247</v>
      </c>
      <c r="W78" s="22">
        <f t="shared" si="57"/>
        <v>125.41691299318853</v>
      </c>
      <c r="X78" s="22">
        <f t="shared" si="58"/>
        <v>137.07993831127104</v>
      </c>
      <c r="Y78" s="22">
        <f t="shared" si="59"/>
        <v>156.63719316283255</v>
      </c>
      <c r="Z78" s="22">
        <f t="shared" si="60"/>
        <v>30.445186993959645</v>
      </c>
      <c r="AA78" s="22">
        <f t="shared" si="61"/>
        <v>100.68037527310113</v>
      </c>
      <c r="AB78" s="24"/>
      <c r="AC78" s="19">
        <f t="shared" si="40"/>
        <v>3.1960039084048108E-3</v>
      </c>
      <c r="AD78" s="19">
        <f t="shared" si="41"/>
        <v>3.2004821026494984E-3</v>
      </c>
      <c r="AE78" s="19">
        <f t="shared" si="42"/>
        <v>3.0696535016212509E-3</v>
      </c>
      <c r="AF78" s="19">
        <f t="shared" si="43"/>
        <v>3.1942830397814442E-3</v>
      </c>
      <c r="AG78" s="19">
        <f t="shared" si="44"/>
        <v>3.159615218548518E-3</v>
      </c>
      <c r="AH78" s="19">
        <f t="shared" si="45"/>
        <v>3.2000746887699766E-3</v>
      </c>
      <c r="AI78" s="19">
        <f t="shared" si="46"/>
        <v>3.1692556202301226E-3</v>
      </c>
      <c r="AJ78" s="19">
        <f t="shared" si="47"/>
        <v>3.1977319846307251E-3</v>
      </c>
      <c r="AK78" s="19">
        <f t="shared" si="48"/>
        <v>3.1998924836077504E-3</v>
      </c>
      <c r="AL78" s="19">
        <f t="shared" si="49"/>
        <v>3.2027978400580317E-3</v>
      </c>
      <c r="AM78" s="19">
        <f t="shared" si="50"/>
        <v>3.1204854149309434E-3</v>
      </c>
      <c r="AN78" s="19">
        <f t="shared" si="51"/>
        <v>3.1915093890757702E-3</v>
      </c>
      <c r="AO78" s="24"/>
    </row>
    <row r="79" spans="1:41">
      <c r="A79" s="12" t="s">
        <v>399</v>
      </c>
      <c r="B79" s="12">
        <v>354.76</v>
      </c>
      <c r="C79" s="19">
        <v>20341</v>
      </c>
      <c r="D79" s="19">
        <v>28979</v>
      </c>
      <c r="E79" s="19">
        <v>43719</v>
      </c>
      <c r="F79" s="19">
        <v>48426</v>
      </c>
      <c r="G79" s="19">
        <v>23728</v>
      </c>
      <c r="H79" s="19">
        <v>30387</v>
      </c>
      <c r="I79" s="19">
        <v>38751</v>
      </c>
      <c r="J79" s="19">
        <v>39717</v>
      </c>
      <c r="K79" s="19">
        <v>40972</v>
      </c>
      <c r="L79" s="19">
        <v>25446</v>
      </c>
      <c r="M79" s="19">
        <v>29171</v>
      </c>
      <c r="N79" s="19">
        <v>31921</v>
      </c>
      <c r="O79" s="24"/>
      <c r="P79" s="22">
        <f t="shared" si="38"/>
        <v>56.337354831435341</v>
      </c>
      <c r="Q79" s="22">
        <f t="shared" si="39"/>
        <v>80.686210395760526</v>
      </c>
      <c r="R79" s="22">
        <f t="shared" si="52"/>
        <v>122.23542676739204</v>
      </c>
      <c r="S79" s="22">
        <f t="shared" si="53"/>
        <v>135.50355169692185</v>
      </c>
      <c r="T79" s="22">
        <f t="shared" si="54"/>
        <v>65.884654414251898</v>
      </c>
      <c r="U79" s="22">
        <f t="shared" si="55"/>
        <v>84.655090765588014</v>
      </c>
      <c r="V79" s="22">
        <f t="shared" si="56"/>
        <v>108.23159318976209</v>
      </c>
      <c r="W79" s="22">
        <f t="shared" si="57"/>
        <v>110.9545608298568</v>
      </c>
      <c r="X79" s="22">
        <f t="shared" si="58"/>
        <v>114.49216371631525</v>
      </c>
      <c r="Y79" s="22">
        <f t="shared" si="59"/>
        <v>70.72736497914083</v>
      </c>
      <c r="Z79" s="22">
        <f t="shared" si="60"/>
        <v>81.227421355282445</v>
      </c>
      <c r="AA79" s="22">
        <f t="shared" si="61"/>
        <v>88.979140827601768</v>
      </c>
      <c r="AB79" s="24"/>
      <c r="AC79" s="19">
        <f t="shared" si="40"/>
        <v>2.7773375291924741E-3</v>
      </c>
      <c r="AD79" s="19">
        <f t="shared" si="41"/>
        <v>2.792073301688151E-3</v>
      </c>
      <c r="AE79" s="19">
        <f t="shared" si="42"/>
        <v>2.8037728937904197E-3</v>
      </c>
      <c r="AF79" s="19">
        <f t="shared" si="43"/>
        <v>2.8060086696765243E-3</v>
      </c>
      <c r="AG79" s="19">
        <f t="shared" si="44"/>
        <v>2.7843941022180382E-3</v>
      </c>
      <c r="AH79" s="19">
        <f t="shared" si="45"/>
        <v>2.7936811827321659E-3</v>
      </c>
      <c r="AI79" s="19">
        <f t="shared" si="46"/>
        <v>2.8008240002465198E-3</v>
      </c>
      <c r="AJ79" s="19">
        <f t="shared" si="47"/>
        <v>2.8014551717936323E-3</v>
      </c>
      <c r="AK79" s="19">
        <f t="shared" si="48"/>
        <v>2.8022307228107533E-3</v>
      </c>
      <c r="AL79" s="19">
        <f t="shared" si="49"/>
        <v>2.7872553724419399E-3</v>
      </c>
      <c r="AM79" s="19">
        <f t="shared" si="50"/>
        <v>2.7923016976390126E-3</v>
      </c>
      <c r="AN79" s="19">
        <f t="shared" si="51"/>
        <v>2.7952715041640978E-3</v>
      </c>
      <c r="AO79" s="24"/>
    </row>
    <row r="80" spans="1:41">
      <c r="A80" s="12" t="s">
        <v>397</v>
      </c>
      <c r="B80" s="12">
        <v>1774.78</v>
      </c>
      <c r="C80" s="19">
        <v>18201</v>
      </c>
      <c r="D80" s="19">
        <v>30533</v>
      </c>
      <c r="E80" s="19">
        <v>2852</v>
      </c>
      <c r="F80" s="19">
        <v>49965</v>
      </c>
      <c r="G80" s="19">
        <v>21585</v>
      </c>
      <c r="H80" s="19">
        <v>27651</v>
      </c>
      <c r="I80" s="19">
        <v>3343</v>
      </c>
      <c r="J80" s="19">
        <v>21416</v>
      </c>
      <c r="K80" s="19">
        <v>43642</v>
      </c>
      <c r="L80" s="19">
        <v>14492</v>
      </c>
      <c r="M80" s="19">
        <v>20884</v>
      </c>
      <c r="N80" s="19">
        <v>44670</v>
      </c>
      <c r="O80" s="24"/>
      <c r="P80" s="22">
        <f t="shared" si="38"/>
        <v>9.2553555933693197</v>
      </c>
      <c r="Q80" s="22">
        <f t="shared" si="39"/>
        <v>16.203822445598892</v>
      </c>
      <c r="R80" s="22">
        <f t="shared" si="52"/>
        <v>0.60695973585458485</v>
      </c>
      <c r="S80" s="22">
        <f t="shared" si="53"/>
        <v>27.152785133932095</v>
      </c>
      <c r="T80" s="22">
        <f t="shared" si="54"/>
        <v>11.162070791872797</v>
      </c>
      <c r="U80" s="22">
        <f t="shared" si="55"/>
        <v>14.579959206211475</v>
      </c>
      <c r="V80" s="22">
        <f t="shared" si="56"/>
        <v>0.88361374367527246</v>
      </c>
      <c r="W80" s="22">
        <f t="shared" si="57"/>
        <v>11.066847721971175</v>
      </c>
      <c r="X80" s="22">
        <f t="shared" si="58"/>
        <v>23.590090039328818</v>
      </c>
      <c r="Y80" s="22">
        <f t="shared" si="59"/>
        <v>7.1655191065934929</v>
      </c>
      <c r="Z80" s="22">
        <f t="shared" si="60"/>
        <v>10.767092259322283</v>
      </c>
      <c r="AA80" s="22">
        <f t="shared" si="61"/>
        <v>24.169316760387204</v>
      </c>
      <c r="AB80" s="24"/>
      <c r="AC80" s="19">
        <f t="shared" si="40"/>
        <v>5.0876679363543289E-4</v>
      </c>
      <c r="AD80" s="19">
        <f t="shared" si="41"/>
        <v>5.3098045913211114E-4</v>
      </c>
      <c r="AE80" s="19">
        <f t="shared" si="42"/>
        <v>2.1286428327620444E-4</v>
      </c>
      <c r="AF80" s="19">
        <f t="shared" si="43"/>
        <v>5.4373159133397613E-4</v>
      </c>
      <c r="AG80" s="19">
        <f t="shared" si="44"/>
        <v>5.1738920207427847E-4</v>
      </c>
      <c r="AH80" s="19">
        <f t="shared" si="45"/>
        <v>5.2756323665258272E-4</v>
      </c>
      <c r="AI80" s="19">
        <f t="shared" si="46"/>
        <v>2.6438748432248743E-4</v>
      </c>
      <c r="AJ80" s="19">
        <f t="shared" si="47"/>
        <v>5.1702323213251333E-4</v>
      </c>
      <c r="AK80" s="19">
        <f t="shared" si="48"/>
        <v>5.4082874841207367E-4</v>
      </c>
      <c r="AL80" s="19">
        <f t="shared" si="49"/>
        <v>4.9469112788588332E-4</v>
      </c>
      <c r="AM80" s="19">
        <f t="shared" si="50"/>
        <v>5.1583251654943151E-4</v>
      </c>
      <c r="AN80" s="19">
        <f t="shared" si="51"/>
        <v>5.4135663712626472E-4</v>
      </c>
      <c r="AO80" s="24"/>
    </row>
    <row r="81" spans="1:41">
      <c r="A81" s="12" t="s">
        <v>398</v>
      </c>
      <c r="B81" s="12">
        <v>2080.21</v>
      </c>
      <c r="C81" s="19">
        <v>8383</v>
      </c>
      <c r="D81" s="19">
        <v>15247</v>
      </c>
      <c r="E81" s="19">
        <v>43585</v>
      </c>
      <c r="F81" s="19">
        <v>5712</v>
      </c>
      <c r="G81" s="19">
        <v>25895</v>
      </c>
      <c r="H81" s="19">
        <v>22519</v>
      </c>
      <c r="I81" s="19">
        <v>18114</v>
      </c>
      <c r="J81" s="19">
        <v>44669</v>
      </c>
      <c r="K81" s="19">
        <v>26326</v>
      </c>
      <c r="L81" s="19">
        <v>47150</v>
      </c>
      <c r="M81" s="19">
        <v>47709</v>
      </c>
      <c r="N81" s="19">
        <v>37663</v>
      </c>
      <c r="O81" s="24"/>
      <c r="P81" s="22">
        <f t="shared" si="38"/>
        <v>3.0298815984924596</v>
      </c>
      <c r="Q81" s="22">
        <f t="shared" si="39"/>
        <v>6.3295484590498079</v>
      </c>
      <c r="R81" s="22">
        <f t="shared" si="52"/>
        <v>19.952211555564102</v>
      </c>
      <c r="S81" s="22">
        <f t="shared" si="53"/>
        <v>1.7458766182260443</v>
      </c>
      <c r="T81" s="22">
        <f t="shared" si="54"/>
        <v>11.448262435042617</v>
      </c>
      <c r="U81" s="22">
        <f t="shared" si="55"/>
        <v>9.8253493637661578</v>
      </c>
      <c r="V81" s="22">
        <f t="shared" si="56"/>
        <v>7.7077746958239794</v>
      </c>
      <c r="W81" s="22">
        <f t="shared" si="57"/>
        <v>20.473312790535569</v>
      </c>
      <c r="X81" s="22">
        <f t="shared" si="58"/>
        <v>11.655453055220386</v>
      </c>
      <c r="Y81" s="22">
        <f t="shared" si="59"/>
        <v>21.66598083847304</v>
      </c>
      <c r="Z81" s="22">
        <f t="shared" si="60"/>
        <v>21.934703707798732</v>
      </c>
      <c r="AA81" s="22">
        <f t="shared" si="61"/>
        <v>17.105383591079747</v>
      </c>
      <c r="AB81" s="24"/>
      <c r="AC81" s="19">
        <f t="shared" si="40"/>
        <v>3.6156233920681499E-4</v>
      </c>
      <c r="AD81" s="19">
        <f t="shared" si="41"/>
        <v>4.1530643151002855E-4</v>
      </c>
      <c r="AE81" s="19">
        <f t="shared" si="42"/>
        <v>4.5798667896460786E-4</v>
      </c>
      <c r="AF81" s="19">
        <f t="shared" si="43"/>
        <v>3.0574411935139708E-4</v>
      </c>
      <c r="AG81" s="19">
        <f t="shared" si="44"/>
        <v>4.4229874443497193E-4</v>
      </c>
      <c r="AH81" s="19">
        <f t="shared" si="45"/>
        <v>4.3650420400858367E-4</v>
      </c>
      <c r="AI81" s="19">
        <f t="shared" si="46"/>
        <v>4.2569591829806516E-4</v>
      </c>
      <c r="AJ81" s="19">
        <f t="shared" si="47"/>
        <v>4.5854397243527841E-4</v>
      </c>
      <c r="AK81" s="19">
        <f t="shared" si="48"/>
        <v>4.4293153623595156E-4</v>
      </c>
      <c r="AL81" s="19">
        <f t="shared" si="49"/>
        <v>4.5972303688189027E-4</v>
      </c>
      <c r="AM81" s="19">
        <f t="shared" si="50"/>
        <v>4.5997176742818382E-4</v>
      </c>
      <c r="AN81" s="19">
        <f t="shared" si="51"/>
        <v>4.5437580286972196E-4</v>
      </c>
      <c r="AO81" s="24"/>
    </row>
    <row r="82" spans="1:41">
      <c r="A82" s="12" t="s">
        <v>396</v>
      </c>
      <c r="B82" s="12">
        <v>1222.27</v>
      </c>
      <c r="C82" s="19">
        <v>28601</v>
      </c>
      <c r="D82" s="19">
        <v>11220</v>
      </c>
      <c r="E82" s="19">
        <v>23199</v>
      </c>
      <c r="F82" s="19">
        <v>16508</v>
      </c>
      <c r="G82" s="19">
        <v>30673</v>
      </c>
      <c r="H82" s="19">
        <v>26620</v>
      </c>
      <c r="I82" s="19">
        <v>31733</v>
      </c>
      <c r="J82" s="19">
        <v>47251</v>
      </c>
      <c r="K82" s="19">
        <v>21546</v>
      </c>
      <c r="L82" s="19">
        <v>40117</v>
      </c>
      <c r="M82" s="19">
        <v>19245</v>
      </c>
      <c r="N82" s="19">
        <v>31568</v>
      </c>
      <c r="O82" s="24"/>
      <c r="P82" s="22">
        <f t="shared" si="38"/>
        <v>22.399903458319358</v>
      </c>
      <c r="Q82" s="22">
        <f t="shared" si="39"/>
        <v>8.1796411594819478</v>
      </c>
      <c r="R82" s="22">
        <f t="shared" si="52"/>
        <v>17.98025804445826</v>
      </c>
      <c r="S82" s="22">
        <f t="shared" si="53"/>
        <v>12.506017492043492</v>
      </c>
      <c r="T82" s="22">
        <f t="shared" si="54"/>
        <v>24.095109918430463</v>
      </c>
      <c r="U82" s="22">
        <f t="shared" si="55"/>
        <v>20.779148633280698</v>
      </c>
      <c r="V82" s="22">
        <f t="shared" si="56"/>
        <v>24.962348744549075</v>
      </c>
      <c r="W82" s="22">
        <f t="shared" si="57"/>
        <v>37.658397898991225</v>
      </c>
      <c r="X82" s="22">
        <f t="shared" si="58"/>
        <v>16.6278563656148</v>
      </c>
      <c r="Y82" s="22">
        <f t="shared" si="59"/>
        <v>31.821716969245752</v>
      </c>
      <c r="Z82" s="22">
        <f t="shared" si="60"/>
        <v>14.745293593068634</v>
      </c>
      <c r="AA82" s="22">
        <f t="shared" si="61"/>
        <v>24.82735402161552</v>
      </c>
      <c r="AB82" s="24"/>
      <c r="AC82" s="19">
        <f t="shared" si="40"/>
        <v>7.8379988462170993E-4</v>
      </c>
      <c r="AD82" s="19">
        <f t="shared" si="41"/>
        <v>7.2955513892374339E-4</v>
      </c>
      <c r="AE82" s="19">
        <f t="shared" si="42"/>
        <v>7.7564568964650098E-4</v>
      </c>
      <c r="AF82" s="19">
        <f t="shared" si="43"/>
        <v>7.5814749805644139E-4</v>
      </c>
      <c r="AG82" s="19">
        <f t="shared" si="44"/>
        <v>7.8616544391535469E-4</v>
      </c>
      <c r="AH82" s="19">
        <f t="shared" si="45"/>
        <v>7.8119388343711666E-4</v>
      </c>
      <c r="AI82" s="19">
        <f t="shared" si="46"/>
        <v>7.8725618466523781E-4</v>
      </c>
      <c r="AJ82" s="19">
        <f t="shared" si="47"/>
        <v>7.9762195644536669E-4</v>
      </c>
      <c r="AK82" s="19">
        <f t="shared" si="48"/>
        <v>7.7233354761491169E-4</v>
      </c>
      <c r="AL82" s="19">
        <f t="shared" si="49"/>
        <v>7.9385244951540672E-4</v>
      </c>
      <c r="AM82" s="19">
        <f t="shared" si="50"/>
        <v>7.6677578213022596E-4</v>
      </c>
      <c r="AN82" s="19">
        <f t="shared" si="51"/>
        <v>7.870912130578246E-4</v>
      </c>
      <c r="AO82" s="24"/>
    </row>
    <row r="83" spans="1:41">
      <c r="A83" s="12" t="s">
        <v>398</v>
      </c>
      <c r="B83" s="12">
        <v>1465.7</v>
      </c>
      <c r="C83" s="19">
        <v>47319</v>
      </c>
      <c r="D83" s="19">
        <v>14856</v>
      </c>
      <c r="E83" s="19">
        <v>14098</v>
      </c>
      <c r="F83" s="19">
        <v>37899</v>
      </c>
      <c r="G83" s="19">
        <v>12190</v>
      </c>
      <c r="H83" s="19">
        <v>25292</v>
      </c>
      <c r="I83" s="19">
        <v>25733</v>
      </c>
      <c r="J83" s="19">
        <v>42475</v>
      </c>
      <c r="K83" s="19">
        <v>15469</v>
      </c>
      <c r="L83" s="19">
        <v>9977</v>
      </c>
      <c r="M83" s="19">
        <v>20490</v>
      </c>
      <c r="N83" s="19">
        <v>40465</v>
      </c>
      <c r="O83" s="24"/>
      <c r="P83" s="22">
        <f t="shared" si="38"/>
        <v>31.284232789793275</v>
      </c>
      <c r="Q83" s="22">
        <f t="shared" si="39"/>
        <v>9.1357713038138773</v>
      </c>
      <c r="R83" s="22">
        <f t="shared" si="52"/>
        <v>8.6186122671760934</v>
      </c>
      <c r="S83" s="22">
        <f t="shared" si="53"/>
        <v>24.85726956403084</v>
      </c>
      <c r="T83" s="22">
        <f t="shared" si="54"/>
        <v>7.316845193422937</v>
      </c>
      <c r="U83" s="22">
        <f t="shared" si="55"/>
        <v>16.255918673671282</v>
      </c>
      <c r="V83" s="22">
        <f t="shared" si="56"/>
        <v>16.556798799208568</v>
      </c>
      <c r="W83" s="22">
        <f t="shared" si="57"/>
        <v>27.979327283891656</v>
      </c>
      <c r="X83" s="22">
        <f t="shared" si="58"/>
        <v>9.5540015009892869</v>
      </c>
      <c r="Y83" s="22">
        <f t="shared" si="59"/>
        <v>5.8069864228696177</v>
      </c>
      <c r="Z83" s="22">
        <f t="shared" si="60"/>
        <v>12.979668417820836</v>
      </c>
      <c r="AA83" s="22">
        <f t="shared" si="61"/>
        <v>26.60796888858566</v>
      </c>
      <c r="AB83" s="24"/>
      <c r="AC83" s="19">
        <f t="shared" si="40"/>
        <v>6.6157208658165062E-4</v>
      </c>
      <c r="AD83" s="19">
        <f t="shared" si="41"/>
        <v>6.1533339047825035E-4</v>
      </c>
      <c r="AE83" s="19">
        <f t="shared" si="42"/>
        <v>6.1170977135163967E-4</v>
      </c>
      <c r="AF83" s="19">
        <f t="shared" si="43"/>
        <v>6.5631240133800671E-4</v>
      </c>
      <c r="AG83" s="19">
        <f t="shared" si="44"/>
        <v>6.0059390041151451E-4</v>
      </c>
      <c r="AH83" s="19">
        <f t="shared" si="45"/>
        <v>6.4314303157077474E-4</v>
      </c>
      <c r="AI83" s="19">
        <f t="shared" si="46"/>
        <v>6.438214907742558E-4</v>
      </c>
      <c r="AJ83" s="19">
        <f t="shared" si="47"/>
        <v>6.5915880173602096E-4</v>
      </c>
      <c r="AK83" s="19">
        <f t="shared" si="48"/>
        <v>6.1800413170801235E-4</v>
      </c>
      <c r="AL83" s="19">
        <f t="shared" si="49"/>
        <v>5.8237629288317042E-4</v>
      </c>
      <c r="AM83" s="19">
        <f t="shared" si="50"/>
        <v>6.3386509402454396E-4</v>
      </c>
      <c r="AN83" s="19">
        <f t="shared" si="51"/>
        <v>6.5798780693640665E-4</v>
      </c>
      <c r="AO83" s="24"/>
    </row>
    <row r="84" spans="1:41">
      <c r="A84" s="12" t="s">
        <v>397</v>
      </c>
      <c r="B84" s="12">
        <v>2073.6</v>
      </c>
      <c r="C84" s="19">
        <v>12951</v>
      </c>
      <c r="D84" s="19">
        <v>14553</v>
      </c>
      <c r="E84" s="19">
        <v>28680</v>
      </c>
      <c r="F84" s="19">
        <v>32975</v>
      </c>
      <c r="G84" s="19">
        <v>25331</v>
      </c>
      <c r="H84" s="19">
        <v>34166</v>
      </c>
      <c r="I84" s="19">
        <v>24880</v>
      </c>
      <c r="J84" s="19">
        <v>43466</v>
      </c>
      <c r="K84" s="19">
        <v>33014</v>
      </c>
      <c r="L84" s="19">
        <v>40991</v>
      </c>
      <c r="M84" s="19">
        <v>9390</v>
      </c>
      <c r="N84" s="19">
        <v>6791</v>
      </c>
      <c r="O84" s="24"/>
      <c r="P84" s="22">
        <f t="shared" si="38"/>
        <v>5.2456597222222223</v>
      </c>
      <c r="Q84" s="22">
        <f t="shared" si="39"/>
        <v>6.018229166666667</v>
      </c>
      <c r="R84" s="22">
        <f t="shared" si="52"/>
        <v>12.831018518518519</v>
      </c>
      <c r="S84" s="22">
        <f t="shared" si="53"/>
        <v>14.902295524691359</v>
      </c>
      <c r="T84" s="22">
        <f t="shared" si="54"/>
        <v>11.215952932098766</v>
      </c>
      <c r="U84" s="22">
        <f t="shared" si="55"/>
        <v>15.476658950617285</v>
      </c>
      <c r="V84" s="22">
        <f t="shared" si="56"/>
        <v>10.998456790123457</v>
      </c>
      <c r="W84" s="22">
        <f t="shared" si="57"/>
        <v>19.961612654320991</v>
      </c>
      <c r="X84" s="22">
        <f t="shared" si="58"/>
        <v>14.92110339506173</v>
      </c>
      <c r="Y84" s="22">
        <f t="shared" si="59"/>
        <v>18.768036265432102</v>
      </c>
      <c r="Z84" s="22">
        <f t="shared" si="60"/>
        <v>3.5283564814814814</v>
      </c>
      <c r="AA84" s="22">
        <f t="shared" si="61"/>
        <v>2.2749807098765431</v>
      </c>
      <c r="AB84" s="24"/>
      <c r="AC84" s="19">
        <f t="shared" si="40"/>
        <v>4.0520309472438716E-4</v>
      </c>
      <c r="AD84" s="19">
        <f t="shared" si="41"/>
        <v>4.1370981702425745E-4</v>
      </c>
      <c r="AE84" s="19">
        <f t="shared" si="42"/>
        <v>4.4758582637884981E-4</v>
      </c>
      <c r="AF84" s="19">
        <f t="shared" si="43"/>
        <v>4.5213141230063562E-4</v>
      </c>
      <c r="AG84" s="19">
        <f t="shared" si="44"/>
        <v>4.4297190336414435E-4</v>
      </c>
      <c r="AH84" s="19">
        <f t="shared" si="45"/>
        <v>4.5318951033509157E-4</v>
      </c>
      <c r="AI84" s="19">
        <f t="shared" si="46"/>
        <v>4.4225566398448465E-4</v>
      </c>
      <c r="AJ84" s="19">
        <f t="shared" si="47"/>
        <v>4.5945760293152792E-4</v>
      </c>
      <c r="AK84" s="19">
        <f t="shared" si="48"/>
        <v>4.5216726932935288E-4</v>
      </c>
      <c r="AL84" s="19">
        <f t="shared" si="49"/>
        <v>4.5806721689079833E-4</v>
      </c>
      <c r="AM84" s="19">
        <f t="shared" si="50"/>
        <v>3.7589806004664788E-4</v>
      </c>
      <c r="AN84" s="19">
        <f t="shared" si="51"/>
        <v>3.3511163044786733E-4</v>
      </c>
      <c r="AO84" s="24"/>
    </row>
    <row r="85" spans="1:41">
      <c r="A85" s="12" t="s">
        <v>398</v>
      </c>
      <c r="B85" s="12">
        <v>101.27</v>
      </c>
      <c r="C85" s="19">
        <v>44718</v>
      </c>
      <c r="D85" s="19">
        <v>20681</v>
      </c>
      <c r="E85" s="19">
        <v>20383</v>
      </c>
      <c r="F85" s="19">
        <v>47910</v>
      </c>
      <c r="G85" s="19">
        <v>46464</v>
      </c>
      <c r="H85" s="19">
        <v>6670</v>
      </c>
      <c r="I85" s="19">
        <v>21312</v>
      </c>
      <c r="J85" s="19">
        <v>25829</v>
      </c>
      <c r="K85" s="19">
        <v>49224</v>
      </c>
      <c r="L85" s="19">
        <v>40787</v>
      </c>
      <c r="M85" s="19">
        <v>37074</v>
      </c>
      <c r="N85" s="19">
        <v>3958</v>
      </c>
      <c r="O85" s="24"/>
      <c r="P85" s="22">
        <f t="shared" si="38"/>
        <v>440.57203515354996</v>
      </c>
      <c r="Q85" s="22">
        <f t="shared" si="39"/>
        <v>203.21645107139332</v>
      </c>
      <c r="R85" s="22">
        <f t="shared" si="52"/>
        <v>200.27382245482374</v>
      </c>
      <c r="S85" s="22">
        <f t="shared" si="53"/>
        <v>472.09173496593269</v>
      </c>
      <c r="T85" s="22">
        <f t="shared" si="54"/>
        <v>457.81307396069917</v>
      </c>
      <c r="U85" s="22">
        <f t="shared" si="55"/>
        <v>64.863533129258414</v>
      </c>
      <c r="V85" s="22">
        <f t="shared" si="56"/>
        <v>209.44731904808927</v>
      </c>
      <c r="W85" s="22">
        <f t="shared" si="57"/>
        <v>254.05085415226623</v>
      </c>
      <c r="X85" s="22">
        <f t="shared" si="58"/>
        <v>485.06694973832333</v>
      </c>
      <c r="Y85" s="22">
        <f t="shared" si="59"/>
        <v>401.75501135578162</v>
      </c>
      <c r="Z85" s="22">
        <f t="shared" si="60"/>
        <v>365.09064876073865</v>
      </c>
      <c r="AA85" s="22">
        <f t="shared" si="61"/>
        <v>38.083637799940753</v>
      </c>
      <c r="AB85" s="24"/>
      <c r="AC85" s="19">
        <f t="shared" si="40"/>
        <v>9.9502625921121038E-3</v>
      </c>
      <c r="AD85" s="19">
        <f t="shared" si="41"/>
        <v>9.9237522745485585E-3</v>
      </c>
      <c r="AE85" s="19">
        <f t="shared" si="42"/>
        <v>9.9230312442946216E-3</v>
      </c>
      <c r="AF85" s="19">
        <f t="shared" si="43"/>
        <v>9.9517822819752376E-3</v>
      </c>
      <c r="AG85" s="19">
        <f t="shared" si="44"/>
        <v>9.9511197199779015E-3</v>
      </c>
      <c r="AH85" s="19">
        <f t="shared" si="45"/>
        <v>9.8201654810000077E-3</v>
      </c>
      <c r="AI85" s="19">
        <f t="shared" si="46"/>
        <v>9.9252124714345868E-3</v>
      </c>
      <c r="AJ85" s="19">
        <f t="shared" si="47"/>
        <v>9.9335819869465145E-3</v>
      </c>
      <c r="AK85" s="19">
        <f t="shared" si="48"/>
        <v>9.9523506031225888E-3</v>
      </c>
      <c r="AL85" s="19">
        <f t="shared" si="49"/>
        <v>9.9480642365485129E-3</v>
      </c>
      <c r="AM85" s="19">
        <f t="shared" si="50"/>
        <v>9.9455596805524127E-3</v>
      </c>
      <c r="AN85" s="19">
        <f t="shared" si="51"/>
        <v>9.7154210143826254E-3</v>
      </c>
      <c r="AO85" s="24"/>
    </row>
    <row r="86" spans="1:41">
      <c r="A86" s="12" t="s">
        <v>395</v>
      </c>
      <c r="B86" s="12">
        <v>1003.24</v>
      </c>
      <c r="C86" s="19">
        <v>11590</v>
      </c>
      <c r="D86" s="19">
        <v>48048</v>
      </c>
      <c r="E86" s="19">
        <v>13520</v>
      </c>
      <c r="F86" s="19">
        <v>1161</v>
      </c>
      <c r="G86" s="19">
        <v>48013</v>
      </c>
      <c r="H86" s="19">
        <v>46171</v>
      </c>
      <c r="I86" s="19">
        <v>23692</v>
      </c>
      <c r="J86" s="19">
        <v>40585</v>
      </c>
      <c r="K86" s="19">
        <v>19048</v>
      </c>
      <c r="L86" s="19">
        <v>39746</v>
      </c>
      <c r="M86" s="19">
        <v>21332</v>
      </c>
      <c r="N86" s="19">
        <v>38982</v>
      </c>
      <c r="O86" s="24"/>
      <c r="P86" s="22">
        <f t="shared" si="38"/>
        <v>10.552569674255412</v>
      </c>
      <c r="Q86" s="22">
        <f t="shared" si="39"/>
        <v>46.892827239743234</v>
      </c>
      <c r="R86" s="22">
        <f t="shared" si="52"/>
        <v>12.476336669191818</v>
      </c>
      <c r="S86" s="22">
        <f t="shared" si="53"/>
        <v>0.15725050835293647</v>
      </c>
      <c r="T86" s="22">
        <f t="shared" si="54"/>
        <v>46.857940273513819</v>
      </c>
      <c r="U86" s="22">
        <f t="shared" si="55"/>
        <v>45.021889079382802</v>
      </c>
      <c r="V86" s="22">
        <f t="shared" si="56"/>
        <v>22.615485825924004</v>
      </c>
      <c r="W86" s="22">
        <f t="shared" si="57"/>
        <v>39.453929269167901</v>
      </c>
      <c r="X86" s="22">
        <f t="shared" si="58"/>
        <v>17.98648379251226</v>
      </c>
      <c r="Y86" s="22">
        <f t="shared" si="59"/>
        <v>38.617638850125594</v>
      </c>
      <c r="Z86" s="22">
        <f t="shared" si="60"/>
        <v>20.263107531597623</v>
      </c>
      <c r="AA86" s="22">
        <f t="shared" si="61"/>
        <v>37.856106215860613</v>
      </c>
      <c r="AB86" s="24"/>
      <c r="AC86" s="19">
        <f t="shared" si="40"/>
        <v>9.1131893276867311E-4</v>
      </c>
      <c r="AD86" s="19">
        <f t="shared" si="41"/>
        <v>9.7691136729350378E-4</v>
      </c>
      <c r="AE86" s="19">
        <f t="shared" si="42"/>
        <v>9.236583240688019E-4</v>
      </c>
      <c r="AF86" s="19">
        <f t="shared" si="43"/>
        <v>1.354623685437146E-4</v>
      </c>
      <c r="AG86" s="19">
        <f t="shared" si="44"/>
        <v>9.7689616594904042E-4</v>
      </c>
      <c r="AH86" s="19">
        <f t="shared" si="45"/>
        <v>9.7606361801406624E-4</v>
      </c>
      <c r="AI86" s="19">
        <f t="shared" si="46"/>
        <v>9.5547418279427765E-4</v>
      </c>
      <c r="AJ86" s="19">
        <f t="shared" si="47"/>
        <v>9.7307677643165477E-4</v>
      </c>
      <c r="AK86" s="19">
        <f t="shared" si="48"/>
        <v>9.4516400512240973E-4</v>
      </c>
      <c r="AL86" s="19">
        <f t="shared" si="49"/>
        <v>9.7255564466293062E-4</v>
      </c>
      <c r="AM86" s="19">
        <f t="shared" si="50"/>
        <v>9.5079568755180319E-4</v>
      </c>
      <c r="AN86" s="19">
        <f t="shared" si="51"/>
        <v>9.7206158438375154E-4</v>
      </c>
      <c r="AO86" s="24"/>
    </row>
    <row r="87" spans="1:41">
      <c r="A87" s="12" t="s">
        <v>398</v>
      </c>
      <c r="B87" s="12">
        <v>2920.64</v>
      </c>
      <c r="C87" s="19">
        <v>10473</v>
      </c>
      <c r="D87" s="19">
        <v>35913</v>
      </c>
      <c r="E87" s="19">
        <v>14170</v>
      </c>
      <c r="F87" s="19">
        <v>22520</v>
      </c>
      <c r="G87" s="19">
        <v>49837</v>
      </c>
      <c r="H87" s="19">
        <v>46836</v>
      </c>
      <c r="I87" s="19">
        <v>49609</v>
      </c>
      <c r="J87" s="19">
        <v>24331</v>
      </c>
      <c r="K87" s="19">
        <v>47658</v>
      </c>
      <c r="L87" s="19">
        <v>18264</v>
      </c>
      <c r="M87" s="19">
        <v>23016</v>
      </c>
      <c r="N87" s="19">
        <v>20811</v>
      </c>
      <c r="O87" s="24"/>
      <c r="P87" s="22">
        <f t="shared" si="38"/>
        <v>2.5858578941601844</v>
      </c>
      <c r="Q87" s="22">
        <f t="shared" si="39"/>
        <v>11.296277528212995</v>
      </c>
      <c r="R87" s="22">
        <f t="shared" si="52"/>
        <v>3.8516763449107048</v>
      </c>
      <c r="S87" s="22">
        <f t="shared" si="53"/>
        <v>6.7106387641064975</v>
      </c>
      <c r="T87" s="22">
        <f t="shared" si="54"/>
        <v>16.06372575873781</v>
      </c>
      <c r="U87" s="22">
        <f t="shared" si="55"/>
        <v>15.036211241371754</v>
      </c>
      <c r="V87" s="22">
        <f t="shared" si="56"/>
        <v>15.985660677111866</v>
      </c>
      <c r="W87" s="22">
        <f t="shared" si="57"/>
        <v>7.3307083378985434</v>
      </c>
      <c r="X87" s="22">
        <f t="shared" si="58"/>
        <v>15.317656404075819</v>
      </c>
      <c r="Y87" s="22">
        <f t="shared" si="59"/>
        <v>5.253423907088858</v>
      </c>
      <c r="Z87" s="22">
        <f t="shared" si="60"/>
        <v>6.8804645557138162</v>
      </c>
      <c r="AA87" s="22">
        <f t="shared" si="61"/>
        <v>6.1254930426207963</v>
      </c>
      <c r="AB87" s="24"/>
      <c r="AC87" s="19">
        <f t="shared" si="40"/>
        <v>2.4696806249156723E-4</v>
      </c>
      <c r="AD87" s="19">
        <f t="shared" si="41"/>
        <v>3.1464460894490556E-4</v>
      </c>
      <c r="AE87" s="19">
        <f t="shared" si="42"/>
        <v>2.718929843815804E-4</v>
      </c>
      <c r="AF87" s="19">
        <f t="shared" si="43"/>
        <v>2.9807455749496524E-4</v>
      </c>
      <c r="AG87" s="19">
        <f t="shared" si="44"/>
        <v>3.2242922273307775E-4</v>
      </c>
      <c r="AH87" s="19">
        <f t="shared" si="45"/>
        <v>3.2114271097046144E-4</v>
      </c>
      <c r="AI87" s="19">
        <f t="shared" si="46"/>
        <v>3.2233694382308696E-4</v>
      </c>
      <c r="AJ87" s="19">
        <f t="shared" si="47"/>
        <v>3.0138168094611583E-4</v>
      </c>
      <c r="AK87" s="19">
        <f t="shared" si="48"/>
        <v>3.2151120907941076E-4</v>
      </c>
      <c r="AL87" s="19">
        <f t="shared" si="49"/>
        <v>2.8772094980317149E-4</v>
      </c>
      <c r="AM87" s="19">
        <f t="shared" si="50"/>
        <v>2.9903206618205611E-4</v>
      </c>
      <c r="AN87" s="19">
        <f t="shared" si="51"/>
        <v>2.944258587367285E-4</v>
      </c>
      <c r="AO87" s="24"/>
    </row>
    <row r="88" spans="1:41">
      <c r="A88" s="12" t="s">
        <v>399</v>
      </c>
      <c r="B88" s="12">
        <v>1761.33</v>
      </c>
      <c r="C88" s="19">
        <v>49196</v>
      </c>
      <c r="D88" s="19">
        <v>49346</v>
      </c>
      <c r="E88" s="19">
        <v>22074</v>
      </c>
      <c r="F88" s="19">
        <v>42449</v>
      </c>
      <c r="G88" s="19">
        <v>40366</v>
      </c>
      <c r="H88" s="19">
        <v>28704</v>
      </c>
      <c r="I88" s="19">
        <v>22129</v>
      </c>
      <c r="J88" s="19">
        <v>48616</v>
      </c>
      <c r="K88" s="19">
        <v>35645</v>
      </c>
      <c r="L88" s="19">
        <v>19794</v>
      </c>
      <c r="M88" s="19">
        <v>48617</v>
      </c>
      <c r="N88" s="19">
        <v>16498</v>
      </c>
      <c r="O88" s="24"/>
      <c r="P88" s="22">
        <f t="shared" si="38"/>
        <v>26.931165653227957</v>
      </c>
      <c r="Q88" s="22">
        <f t="shared" si="39"/>
        <v>27.016328569887527</v>
      </c>
      <c r="R88" s="22">
        <f t="shared" si="52"/>
        <v>11.532574815622285</v>
      </c>
      <c r="S88" s="22">
        <f t="shared" si="53"/>
        <v>23.100537661880512</v>
      </c>
      <c r="T88" s="22">
        <f t="shared" si="54"/>
        <v>21.917908625867952</v>
      </c>
      <c r="U88" s="22">
        <f t="shared" si="55"/>
        <v>15.296775731975268</v>
      </c>
      <c r="V88" s="22">
        <f t="shared" si="56"/>
        <v>11.56380121839746</v>
      </c>
      <c r="W88" s="22">
        <f t="shared" si="57"/>
        <v>26.60186904214429</v>
      </c>
      <c r="X88" s="22">
        <f t="shared" si="58"/>
        <v>19.237547762202425</v>
      </c>
      <c r="Y88" s="22">
        <f t="shared" si="59"/>
        <v>10.238098482396824</v>
      </c>
      <c r="Z88" s="22">
        <f t="shared" si="60"/>
        <v>26.602436794922021</v>
      </c>
      <c r="AA88" s="22">
        <f t="shared" si="61"/>
        <v>8.3667853269972134</v>
      </c>
      <c r="AB88" s="24"/>
      <c r="AC88" s="19">
        <f t="shared" si="40"/>
        <v>5.477257611682763E-4</v>
      </c>
      <c r="AD88" s="19">
        <f t="shared" si="41"/>
        <v>5.4778761764179978E-4</v>
      </c>
      <c r="AE88" s="19">
        <f t="shared" si="42"/>
        <v>5.2272370960909891E-4</v>
      </c>
      <c r="AF88" s="19">
        <f t="shared" si="43"/>
        <v>5.4449140630211221E-4</v>
      </c>
      <c r="AG88" s="19">
        <f t="shared" si="44"/>
        <v>5.4327444050472433E-4</v>
      </c>
      <c r="AH88" s="19">
        <f t="shared" si="45"/>
        <v>5.3319857688916353E-4</v>
      </c>
      <c r="AI88" s="19">
        <f t="shared" si="46"/>
        <v>5.2283642256124082E-4</v>
      </c>
      <c r="AJ88" s="19">
        <f t="shared" si="47"/>
        <v>5.4748299146342781E-4</v>
      </c>
      <c r="AK88" s="19">
        <f t="shared" si="48"/>
        <v>5.3998978374128915E-4</v>
      </c>
      <c r="AL88" s="19">
        <f t="shared" si="49"/>
        <v>5.1750008584623458E-4</v>
      </c>
      <c r="AM88" s="19">
        <f t="shared" si="50"/>
        <v>5.4748341501668701E-4</v>
      </c>
      <c r="AN88" s="19">
        <f t="shared" si="51"/>
        <v>5.0739669088286212E-4</v>
      </c>
      <c r="AO88" s="24"/>
    </row>
    <row r="89" spans="1:41">
      <c r="A89" s="12" t="s">
        <v>399</v>
      </c>
      <c r="B89" s="12">
        <v>799.96</v>
      </c>
      <c r="C89" s="19">
        <v>35350</v>
      </c>
      <c r="D89" s="19">
        <v>46262</v>
      </c>
      <c r="E89" s="19">
        <v>37325</v>
      </c>
      <c r="F89" s="19">
        <v>18905</v>
      </c>
      <c r="G89" s="19">
        <v>44772</v>
      </c>
      <c r="H89" s="19">
        <v>4272</v>
      </c>
      <c r="I89" s="19">
        <v>35797</v>
      </c>
      <c r="J89" s="19">
        <v>48553</v>
      </c>
      <c r="K89" s="19">
        <v>12314</v>
      </c>
      <c r="L89" s="19">
        <v>25422</v>
      </c>
      <c r="M89" s="19">
        <v>9825</v>
      </c>
      <c r="N89" s="19">
        <v>44906</v>
      </c>
      <c r="O89" s="24"/>
      <c r="P89" s="22">
        <f t="shared" si="38"/>
        <v>43.189709485474275</v>
      </c>
      <c r="Q89" s="22">
        <f t="shared" si="39"/>
        <v>56.830391519575976</v>
      </c>
      <c r="R89" s="22">
        <f t="shared" si="52"/>
        <v>45.658582929146455</v>
      </c>
      <c r="S89" s="22">
        <f t="shared" si="53"/>
        <v>22.63243162158108</v>
      </c>
      <c r="T89" s="22">
        <f t="shared" si="54"/>
        <v>54.967798389919494</v>
      </c>
      <c r="U89" s="22">
        <f t="shared" si="55"/>
        <v>4.3402670133506671</v>
      </c>
      <c r="V89" s="22">
        <f t="shared" si="56"/>
        <v>43.74848742437122</v>
      </c>
      <c r="W89" s="22">
        <f t="shared" si="57"/>
        <v>59.694284714235707</v>
      </c>
      <c r="X89" s="22">
        <f t="shared" si="58"/>
        <v>14.393269663483174</v>
      </c>
      <c r="Y89" s="22">
        <f t="shared" si="59"/>
        <v>30.779088954447722</v>
      </c>
      <c r="Z89" s="22">
        <f t="shared" si="60"/>
        <v>11.281864093204661</v>
      </c>
      <c r="AA89" s="22">
        <f t="shared" si="61"/>
        <v>55.135306765338264</v>
      </c>
      <c r="AB89" s="24"/>
      <c r="AC89" s="19">
        <f t="shared" si="40"/>
        <v>1.2232685176060086E-3</v>
      </c>
      <c r="AD89" s="19">
        <f t="shared" si="41"/>
        <v>1.2299574268664825E-3</v>
      </c>
      <c r="AE89" s="19">
        <f t="shared" si="42"/>
        <v>1.2247690327554606E-3</v>
      </c>
      <c r="AF89" s="19">
        <f t="shared" si="43"/>
        <v>1.1986013692203911E-3</v>
      </c>
      <c r="AG89" s="19">
        <f t="shared" si="44"/>
        <v>1.229236281649754E-3</v>
      </c>
      <c r="AH89" s="19">
        <f t="shared" si="45"/>
        <v>1.0170133714744885E-3</v>
      </c>
      <c r="AI89" s="19">
        <f t="shared" si="46"/>
        <v>1.2236226237768444E-3</v>
      </c>
      <c r="AJ89" s="19">
        <f t="shared" si="47"/>
        <v>1.2309799019417898E-3</v>
      </c>
      <c r="AK89" s="19">
        <f t="shared" si="48"/>
        <v>1.1702219411603395E-3</v>
      </c>
      <c r="AL89" s="19">
        <f t="shared" si="49"/>
        <v>1.2121941304940704E-3</v>
      </c>
      <c r="AM89" s="19">
        <f t="shared" si="50"/>
        <v>1.1496013984675349E-3</v>
      </c>
      <c r="AN89" s="19">
        <f t="shared" si="51"/>
        <v>1.2293030946548265E-3</v>
      </c>
      <c r="AO89" s="24"/>
    </row>
    <row r="90" spans="1:41">
      <c r="A90" s="12" t="s">
        <v>395</v>
      </c>
      <c r="B90" s="12">
        <v>1589.1</v>
      </c>
      <c r="C90" s="19">
        <v>20668</v>
      </c>
      <c r="D90" s="19">
        <v>32532</v>
      </c>
      <c r="E90" s="19">
        <v>2688</v>
      </c>
      <c r="F90" s="19">
        <v>39074</v>
      </c>
      <c r="G90" s="19">
        <v>27499</v>
      </c>
      <c r="H90" s="19">
        <v>25064</v>
      </c>
      <c r="I90" s="19">
        <v>18763</v>
      </c>
      <c r="J90" s="19">
        <v>2404</v>
      </c>
      <c r="K90" s="19">
        <v>30976</v>
      </c>
      <c r="L90" s="19">
        <v>44707</v>
      </c>
      <c r="M90" s="19">
        <v>48121</v>
      </c>
      <c r="N90" s="19">
        <v>4469</v>
      </c>
      <c r="O90" s="24"/>
      <c r="P90" s="22">
        <f t="shared" si="38"/>
        <v>12.006104084072748</v>
      </c>
      <c r="Q90" s="22">
        <f t="shared" si="39"/>
        <v>19.471965263356619</v>
      </c>
      <c r="R90" s="22">
        <f t="shared" si="52"/>
        <v>0.6915235038701153</v>
      </c>
      <c r="S90" s="22">
        <f t="shared" si="53"/>
        <v>23.588760933861938</v>
      </c>
      <c r="T90" s="22">
        <f t="shared" si="54"/>
        <v>16.304763702724813</v>
      </c>
      <c r="U90" s="22">
        <f t="shared" si="55"/>
        <v>14.772449814360332</v>
      </c>
      <c r="V90" s="22">
        <f t="shared" si="56"/>
        <v>10.807312315146939</v>
      </c>
      <c r="W90" s="22">
        <f t="shared" si="57"/>
        <v>0.51280599081240963</v>
      </c>
      <c r="X90" s="22">
        <f t="shared" si="58"/>
        <v>18.492794663646091</v>
      </c>
      <c r="Y90" s="22">
        <f t="shared" si="59"/>
        <v>27.133534705179034</v>
      </c>
      <c r="Z90" s="22">
        <f t="shared" si="60"/>
        <v>29.281920583978355</v>
      </c>
      <c r="AA90" s="22">
        <f t="shared" si="61"/>
        <v>1.8122836825876283</v>
      </c>
      <c r="AB90" s="24"/>
      <c r="AC90" s="19">
        <f t="shared" si="40"/>
        <v>5.8124068706500625E-4</v>
      </c>
      <c r="AD90" s="19">
        <f t="shared" si="41"/>
        <v>5.9890652743313641E-4</v>
      </c>
      <c r="AE90" s="19">
        <f t="shared" si="42"/>
        <v>2.5732940967453208E-4</v>
      </c>
      <c r="AF90" s="19">
        <f t="shared" si="43"/>
        <v>6.0405921949072019E-4</v>
      </c>
      <c r="AG90" s="19">
        <f t="shared" si="44"/>
        <v>5.9327382422050766E-4</v>
      </c>
      <c r="AH90" s="19">
        <f t="shared" si="45"/>
        <v>5.8973674077430203E-4</v>
      </c>
      <c r="AI90" s="19">
        <f t="shared" si="46"/>
        <v>5.7632259305038169E-4</v>
      </c>
      <c r="AJ90" s="19">
        <f t="shared" si="47"/>
        <v>2.1335915252246998E-4</v>
      </c>
      <c r="AK90" s="19">
        <f t="shared" si="48"/>
        <v>5.9736058659330172E-4</v>
      </c>
      <c r="AL90" s="19">
        <f t="shared" si="49"/>
        <v>6.0728773050955874E-4</v>
      </c>
      <c r="AM90" s="19">
        <f t="shared" si="50"/>
        <v>6.088765748735323E-4</v>
      </c>
      <c r="AN90" s="19">
        <f t="shared" si="51"/>
        <v>4.0568782815368442E-4</v>
      </c>
      <c r="AO90" s="24"/>
    </row>
    <row r="91" spans="1:41">
      <c r="A91" s="12" t="s">
        <v>397</v>
      </c>
      <c r="B91" s="12">
        <v>1060.83</v>
      </c>
      <c r="C91" s="19">
        <v>26578</v>
      </c>
      <c r="D91" s="19">
        <v>27952</v>
      </c>
      <c r="E91" s="19">
        <v>27654</v>
      </c>
      <c r="F91" s="19">
        <v>37203</v>
      </c>
      <c r="G91" s="19">
        <v>17033</v>
      </c>
      <c r="H91" s="19">
        <v>6948</v>
      </c>
      <c r="I91" s="19">
        <v>17365</v>
      </c>
      <c r="J91" s="19">
        <v>16931</v>
      </c>
      <c r="K91" s="19">
        <v>37670</v>
      </c>
      <c r="L91" s="19">
        <v>42499</v>
      </c>
      <c r="M91" s="19">
        <v>16067</v>
      </c>
      <c r="N91" s="19">
        <v>16567</v>
      </c>
      <c r="O91" s="24"/>
      <c r="P91" s="22">
        <f t="shared" si="38"/>
        <v>24.053967176644704</v>
      </c>
      <c r="Q91" s="22">
        <f t="shared" si="39"/>
        <v>25.349179416117568</v>
      </c>
      <c r="R91" s="22">
        <f t="shared" si="52"/>
        <v>25.068267300132916</v>
      </c>
      <c r="S91" s="22">
        <f t="shared" si="53"/>
        <v>34.06970956703713</v>
      </c>
      <c r="T91" s="22">
        <f t="shared" si="54"/>
        <v>15.056295542169812</v>
      </c>
      <c r="U91" s="22">
        <f t="shared" si="55"/>
        <v>5.54958852973615</v>
      </c>
      <c r="V91" s="22">
        <f t="shared" si="56"/>
        <v>15.369258033803721</v>
      </c>
      <c r="W91" s="22">
        <f t="shared" si="57"/>
        <v>14.960144415222045</v>
      </c>
      <c r="X91" s="22">
        <f t="shared" si="58"/>
        <v>34.509930903160736</v>
      </c>
      <c r="Y91" s="22">
        <f t="shared" si="59"/>
        <v>39.062026903462382</v>
      </c>
      <c r="Z91" s="22">
        <f t="shared" si="60"/>
        <v>14.145687810488015</v>
      </c>
      <c r="AA91" s="22">
        <f t="shared" si="61"/>
        <v>14.617016864153541</v>
      </c>
      <c r="AB91" s="24"/>
      <c r="AC91" s="19">
        <f t="shared" si="40"/>
        <v>9.0585283057032558E-4</v>
      </c>
      <c r="AD91" s="19">
        <f t="shared" si="41"/>
        <v>9.0770567437443875E-4</v>
      </c>
      <c r="AE91" s="19">
        <f t="shared" si="42"/>
        <v>9.0731945565827616E-4</v>
      </c>
      <c r="AF91" s="19">
        <f t="shared" si="43"/>
        <v>9.1661797368988176E-4</v>
      </c>
      <c r="AG91" s="19">
        <f t="shared" si="44"/>
        <v>8.8473059986829276E-4</v>
      </c>
      <c r="AH91" s="19">
        <f t="shared" si="45"/>
        <v>7.9937028006237714E-4</v>
      </c>
      <c r="AI91" s="19">
        <f t="shared" si="46"/>
        <v>8.8585505146387663E-4</v>
      </c>
      <c r="AJ91" s="19">
        <f t="shared" si="47"/>
        <v>8.8437628091086573E-4</v>
      </c>
      <c r="AK91" s="19">
        <f t="shared" si="48"/>
        <v>9.1695181435932579E-4</v>
      </c>
      <c r="AL91" s="19">
        <f t="shared" si="49"/>
        <v>9.1997371565198378E-4</v>
      </c>
      <c r="AM91" s="19">
        <f t="shared" si="50"/>
        <v>8.8119455489898036E-4</v>
      </c>
      <c r="AN91" s="19">
        <f t="shared" si="51"/>
        <v>8.8307628448700568E-4</v>
      </c>
      <c r="AO91" s="24"/>
    </row>
    <row r="92" spans="1:41">
      <c r="A92" s="12" t="s">
        <v>399</v>
      </c>
      <c r="B92" s="12">
        <v>1620.12</v>
      </c>
      <c r="C92" s="19">
        <v>12619</v>
      </c>
      <c r="D92" s="19">
        <v>40306</v>
      </c>
      <c r="E92" s="19">
        <v>47454</v>
      </c>
      <c r="F92" s="19">
        <v>49813</v>
      </c>
      <c r="G92" s="19">
        <v>27761</v>
      </c>
      <c r="H92" s="19">
        <v>25493</v>
      </c>
      <c r="I92" s="19">
        <v>1287</v>
      </c>
      <c r="J92" s="19">
        <v>48606</v>
      </c>
      <c r="K92" s="19">
        <v>48567</v>
      </c>
      <c r="L92" s="19">
        <v>23304</v>
      </c>
      <c r="M92" s="19">
        <v>42306</v>
      </c>
      <c r="N92" s="19">
        <v>32951</v>
      </c>
      <c r="O92" s="24"/>
      <c r="P92" s="22">
        <f t="shared" si="38"/>
        <v>6.788929215119869</v>
      </c>
      <c r="Q92" s="22">
        <f t="shared" si="39"/>
        <v>23.878404068834406</v>
      </c>
      <c r="R92" s="22">
        <f t="shared" si="52"/>
        <v>28.290422931634694</v>
      </c>
      <c r="S92" s="22">
        <f t="shared" si="53"/>
        <v>29.74648791447547</v>
      </c>
      <c r="T92" s="22">
        <f t="shared" si="54"/>
        <v>16.135150482680299</v>
      </c>
      <c r="U92" s="22">
        <f t="shared" si="55"/>
        <v>14.735254178702814</v>
      </c>
      <c r="V92" s="22">
        <f t="shared" si="56"/>
        <v>-0.2056143989334123</v>
      </c>
      <c r="W92" s="22">
        <f t="shared" si="57"/>
        <v>29.001481371750241</v>
      </c>
      <c r="X92" s="22">
        <f t="shared" si="58"/>
        <v>28.97740908080883</v>
      </c>
      <c r="Y92" s="22">
        <f t="shared" si="59"/>
        <v>13.384119694837421</v>
      </c>
      <c r="Z92" s="22">
        <f t="shared" si="60"/>
        <v>25.112880527368343</v>
      </c>
      <c r="AA92" s="22">
        <f t="shared" si="61"/>
        <v>19.33861689257586</v>
      </c>
      <c r="AB92" s="24"/>
      <c r="AC92" s="19">
        <f t="shared" si="40"/>
        <v>5.3828223909492361E-4</v>
      </c>
      <c r="AD92" s="19">
        <f t="shared" si="41"/>
        <v>5.927792063277602E-4</v>
      </c>
      <c r="AE92" s="19">
        <f t="shared" si="42"/>
        <v>5.9652081505837693E-4</v>
      </c>
      <c r="AF92" s="19">
        <f t="shared" si="43"/>
        <v>5.9751996536855769E-4</v>
      </c>
      <c r="AG92" s="19">
        <f t="shared" si="44"/>
        <v>5.8155448116954894E-4</v>
      </c>
      <c r="AH92" s="19">
        <f t="shared" si="45"/>
        <v>5.783460657821899E-4</v>
      </c>
      <c r="AI92" s="19">
        <f t="shared" si="46"/>
        <v>-1.5973702773929002E-4</v>
      </c>
      <c r="AJ92" s="19">
        <f t="shared" si="47"/>
        <v>5.9702085876361401E-4</v>
      </c>
      <c r="AK92" s="19">
        <f t="shared" si="48"/>
        <v>5.9700431814109609E-4</v>
      </c>
      <c r="AL92" s="19">
        <f t="shared" si="49"/>
        <v>5.7465718225833615E-4</v>
      </c>
      <c r="AM92" s="19">
        <f t="shared" si="50"/>
        <v>5.9395349147729933E-4</v>
      </c>
      <c r="AN92" s="19">
        <f t="shared" si="51"/>
        <v>5.872347789442463E-4</v>
      </c>
      <c r="AO92" s="24"/>
    </row>
    <row r="93" spans="1:41">
      <c r="A93" s="12" t="s">
        <v>396</v>
      </c>
      <c r="B93" s="12">
        <v>420.94</v>
      </c>
      <c r="C93" s="19">
        <v>35432</v>
      </c>
      <c r="D93" s="19">
        <v>30484</v>
      </c>
      <c r="E93" s="19">
        <v>29338</v>
      </c>
      <c r="F93" s="19">
        <v>12200</v>
      </c>
      <c r="G93" s="19">
        <v>10371</v>
      </c>
      <c r="H93" s="19">
        <v>34414</v>
      </c>
      <c r="I93" s="19">
        <v>13807</v>
      </c>
      <c r="J93" s="19">
        <v>39944</v>
      </c>
      <c r="K93" s="19">
        <v>28572</v>
      </c>
      <c r="L93" s="19">
        <v>28497</v>
      </c>
      <c r="M93" s="19">
        <v>18955</v>
      </c>
      <c r="N93" s="19">
        <v>23196</v>
      </c>
      <c r="O93" s="24"/>
      <c r="P93" s="22">
        <f t="shared" si="38"/>
        <v>83.173516415641174</v>
      </c>
      <c r="Q93" s="22">
        <f t="shared" si="39"/>
        <v>71.418872048272917</v>
      </c>
      <c r="R93" s="22">
        <f t="shared" si="52"/>
        <v>68.696393785337577</v>
      </c>
      <c r="S93" s="22">
        <f t="shared" si="53"/>
        <v>27.982752886397112</v>
      </c>
      <c r="T93" s="22">
        <f t="shared" si="54"/>
        <v>23.637715588920035</v>
      </c>
      <c r="U93" s="22">
        <f t="shared" si="55"/>
        <v>80.755119494464765</v>
      </c>
      <c r="V93" s="22">
        <f t="shared" si="56"/>
        <v>31.800399106761059</v>
      </c>
      <c r="W93" s="22">
        <f t="shared" si="57"/>
        <v>93.892383712643124</v>
      </c>
      <c r="X93" s="22">
        <f t="shared" si="58"/>
        <v>66.876657005749038</v>
      </c>
      <c r="Y93" s="22">
        <f t="shared" si="59"/>
        <v>66.698484344562175</v>
      </c>
      <c r="Z93" s="22">
        <f t="shared" si="60"/>
        <v>44.030170570627646</v>
      </c>
      <c r="AA93" s="22">
        <f t="shared" si="61"/>
        <v>54.105240651874382</v>
      </c>
      <c r="AB93" s="24"/>
      <c r="AC93" s="19">
        <f t="shared" si="40"/>
        <v>2.3529357178028562E-3</v>
      </c>
      <c r="AD93" s="19">
        <f t="shared" si="41"/>
        <v>2.3483331371250485E-3</v>
      </c>
      <c r="AE93" s="19">
        <f t="shared" si="42"/>
        <v>2.3470457209904877E-3</v>
      </c>
      <c r="AF93" s="19">
        <f t="shared" si="43"/>
        <v>2.2989412780394119E-3</v>
      </c>
      <c r="AG93" s="19">
        <f t="shared" si="44"/>
        <v>2.2844194432557626E-3</v>
      </c>
      <c r="AH93" s="19">
        <f t="shared" si="45"/>
        <v>2.3520969187598591E-3</v>
      </c>
      <c r="AI93" s="19">
        <f t="shared" si="46"/>
        <v>2.3085254680955038E-3</v>
      </c>
      <c r="AJ93" s="19">
        <f t="shared" si="47"/>
        <v>2.3561387742468192E-3</v>
      </c>
      <c r="AK93" s="19">
        <f t="shared" si="48"/>
        <v>2.3461276136588064E-3</v>
      </c>
      <c r="AL93" s="19">
        <f t="shared" si="49"/>
        <v>2.3460350678248688E-3</v>
      </c>
      <c r="AM93" s="19">
        <f t="shared" si="50"/>
        <v>2.3282872834003263E-3</v>
      </c>
      <c r="AN93" s="19">
        <f t="shared" si="51"/>
        <v>2.3379779924899481E-3</v>
      </c>
      <c r="AO93" s="24"/>
    </row>
    <row r="94" spans="1:41">
      <c r="A94" s="12" t="s">
        <v>399</v>
      </c>
      <c r="B94" s="12">
        <v>441.51</v>
      </c>
      <c r="C94" s="19">
        <v>8177</v>
      </c>
      <c r="D94" s="19">
        <v>37647</v>
      </c>
      <c r="E94" s="19">
        <v>43526</v>
      </c>
      <c r="F94" s="19">
        <v>20918</v>
      </c>
      <c r="G94" s="19">
        <v>13069</v>
      </c>
      <c r="H94" s="19">
        <v>30560</v>
      </c>
      <c r="I94" s="19">
        <v>29056</v>
      </c>
      <c r="J94" s="19">
        <v>29074</v>
      </c>
      <c r="K94" s="19">
        <v>17662</v>
      </c>
      <c r="L94" s="19">
        <v>42532</v>
      </c>
      <c r="M94" s="19">
        <v>1049</v>
      </c>
      <c r="N94" s="19">
        <v>40104</v>
      </c>
      <c r="O94" s="24"/>
      <c r="P94" s="22">
        <f t="shared" si="38"/>
        <v>17.520531811284002</v>
      </c>
      <c r="Q94" s="22">
        <f t="shared" si="39"/>
        <v>84.268736834952776</v>
      </c>
      <c r="R94" s="22">
        <f t="shared" si="52"/>
        <v>97.584403524268978</v>
      </c>
      <c r="S94" s="22">
        <f t="shared" si="53"/>
        <v>46.378315326946165</v>
      </c>
      <c r="T94" s="22">
        <f t="shared" si="54"/>
        <v>28.600688546125795</v>
      </c>
      <c r="U94" s="22">
        <f t="shared" si="55"/>
        <v>68.217005277343659</v>
      </c>
      <c r="V94" s="22">
        <f t="shared" si="56"/>
        <v>64.810513918144551</v>
      </c>
      <c r="W94" s="22">
        <f t="shared" si="57"/>
        <v>64.851283096645602</v>
      </c>
      <c r="X94" s="22">
        <f t="shared" si="58"/>
        <v>39.003623926977873</v>
      </c>
      <c r="Y94" s="22">
        <f t="shared" si="59"/>
        <v>95.333038889266376</v>
      </c>
      <c r="Z94" s="22">
        <f t="shared" si="60"/>
        <v>1.3759371248669339</v>
      </c>
      <c r="AA94" s="22">
        <f t="shared" si="61"/>
        <v>89.833729700346538</v>
      </c>
      <c r="AB94" s="24"/>
      <c r="AC94" s="19">
        <f t="shared" si="40"/>
        <v>2.1472609716822171E-3</v>
      </c>
      <c r="AD94" s="19">
        <f t="shared" si="41"/>
        <v>2.2434134579981621E-3</v>
      </c>
      <c r="AE94" s="19">
        <f t="shared" si="42"/>
        <v>2.2470173545126541E-3</v>
      </c>
      <c r="AF94" s="19">
        <f t="shared" si="43"/>
        <v>2.2220753148761698E-3</v>
      </c>
      <c r="AG94" s="19">
        <f t="shared" si="44"/>
        <v>2.1932371749540471E-3</v>
      </c>
      <c r="AH94" s="19">
        <f t="shared" si="45"/>
        <v>2.2372258548852414E-3</v>
      </c>
      <c r="AI94" s="19">
        <f t="shared" si="46"/>
        <v>2.2355244840595073E-3</v>
      </c>
      <c r="AJ94" s="19">
        <f t="shared" si="47"/>
        <v>2.2355458869035127E-3</v>
      </c>
      <c r="AK94" s="19">
        <f t="shared" si="48"/>
        <v>2.2132231712839491E-3</v>
      </c>
      <c r="AL94" s="19">
        <f t="shared" si="49"/>
        <v>2.2464780039542281E-3</v>
      </c>
      <c r="AM94" s="19">
        <f t="shared" si="50"/>
        <v>1.3133882407118139E-3</v>
      </c>
      <c r="AN94" s="19">
        <f t="shared" si="51"/>
        <v>2.2450481435377363E-3</v>
      </c>
      <c r="AO94" s="24"/>
    </row>
    <row r="95" spans="1:41">
      <c r="A95" s="12" t="s">
        <v>399</v>
      </c>
      <c r="B95" s="12">
        <v>473.45</v>
      </c>
      <c r="C95" s="19">
        <v>26398</v>
      </c>
      <c r="D95" s="19">
        <v>27605</v>
      </c>
      <c r="E95" s="19">
        <v>3873</v>
      </c>
      <c r="F95" s="19">
        <v>16694</v>
      </c>
      <c r="G95" s="19">
        <v>27888</v>
      </c>
      <c r="H95" s="19">
        <v>27887</v>
      </c>
      <c r="I95" s="19">
        <v>46517</v>
      </c>
      <c r="J95" s="19">
        <v>12142</v>
      </c>
      <c r="K95" s="19">
        <v>30475</v>
      </c>
      <c r="L95" s="19">
        <v>4257</v>
      </c>
      <c r="M95" s="19">
        <v>46051</v>
      </c>
      <c r="N95" s="19">
        <v>1861</v>
      </c>
      <c r="O95" s="24"/>
      <c r="P95" s="22">
        <f t="shared" si="38"/>
        <v>54.756679691625301</v>
      </c>
      <c r="Q95" s="22">
        <f t="shared" si="39"/>
        <v>57.306051325377545</v>
      </c>
      <c r="R95" s="22">
        <f t="shared" si="52"/>
        <v>7.1803780758263818</v>
      </c>
      <c r="S95" s="22">
        <f t="shared" si="53"/>
        <v>34.260323159784562</v>
      </c>
      <c r="T95" s="22">
        <f t="shared" si="54"/>
        <v>57.903791319041083</v>
      </c>
      <c r="U95" s="22">
        <f t="shared" si="55"/>
        <v>57.901679163586437</v>
      </c>
      <c r="V95" s="22">
        <f t="shared" si="56"/>
        <v>97.251135283556877</v>
      </c>
      <c r="W95" s="22">
        <f t="shared" si="57"/>
        <v>24.645791530256627</v>
      </c>
      <c r="X95" s="22">
        <f t="shared" si="58"/>
        <v>63.367937480198542</v>
      </c>
      <c r="Y95" s="22">
        <f t="shared" si="59"/>
        <v>7.9914457704087027</v>
      </c>
      <c r="Z95" s="22">
        <f t="shared" si="60"/>
        <v>96.266870841693958</v>
      </c>
      <c r="AA95" s="22">
        <f t="shared" si="61"/>
        <v>2.9307213010877602</v>
      </c>
      <c r="AB95" s="24"/>
      <c r="AC95" s="19">
        <f t="shared" si="40"/>
        <v>2.0785853520706244E-3</v>
      </c>
      <c r="AD95" s="19">
        <f t="shared" si="41"/>
        <v>2.0802485838613965E-3</v>
      </c>
      <c r="AE95" s="19">
        <f t="shared" si="42"/>
        <v>1.857401218387013E-3</v>
      </c>
      <c r="AF95" s="19">
        <f t="shared" si="43"/>
        <v>2.0564741000972581E-3</v>
      </c>
      <c r="AG95" s="19">
        <f t="shared" si="44"/>
        <v>2.0806177199265063E-3</v>
      </c>
      <c r="AH95" s="19">
        <f t="shared" si="45"/>
        <v>2.0806164287483888E-3</v>
      </c>
      <c r="AI95" s="19">
        <f t="shared" si="46"/>
        <v>2.0950379453146344E-3</v>
      </c>
      <c r="AJ95" s="19">
        <f t="shared" si="47"/>
        <v>2.0339251544722364E-3</v>
      </c>
      <c r="AK95" s="19">
        <f t="shared" si="48"/>
        <v>2.083674343748722E-3</v>
      </c>
      <c r="AL95" s="19">
        <f t="shared" si="49"/>
        <v>1.8807789319354928E-3</v>
      </c>
      <c r="AM95" s="19">
        <f t="shared" si="50"/>
        <v>2.094819494895784E-3</v>
      </c>
      <c r="AN95" s="19">
        <f t="shared" si="51"/>
        <v>1.5772938795586555E-3</v>
      </c>
      <c r="AO95" s="24"/>
    </row>
    <row r="96" spans="1:41">
      <c r="A96" s="12" t="s">
        <v>397</v>
      </c>
      <c r="B96" s="12">
        <v>2822.47</v>
      </c>
      <c r="C96" s="19">
        <v>30655</v>
      </c>
      <c r="D96" s="19">
        <v>27441</v>
      </c>
      <c r="E96" s="19">
        <v>22170</v>
      </c>
      <c r="F96" s="19">
        <v>4890</v>
      </c>
      <c r="G96" s="19">
        <v>15591</v>
      </c>
      <c r="H96" s="19">
        <v>30242</v>
      </c>
      <c r="I96" s="19">
        <v>45043</v>
      </c>
      <c r="J96" s="19">
        <v>36228</v>
      </c>
      <c r="K96" s="19">
        <v>19664</v>
      </c>
      <c r="L96" s="19">
        <v>34087</v>
      </c>
      <c r="M96" s="19">
        <v>41957</v>
      </c>
      <c r="N96" s="19">
        <v>42046</v>
      </c>
      <c r="O96" s="24"/>
      <c r="P96" s="22">
        <f t="shared" si="38"/>
        <v>9.8610543247581024</v>
      </c>
      <c r="Q96" s="22">
        <f t="shared" si="39"/>
        <v>8.7223354012620149</v>
      </c>
      <c r="R96" s="22">
        <f t="shared" si="52"/>
        <v>6.8548221947443198</v>
      </c>
      <c r="S96" s="22">
        <f t="shared" si="53"/>
        <v>0.73252505783941024</v>
      </c>
      <c r="T96" s="22">
        <f t="shared" si="54"/>
        <v>4.5238851077247944</v>
      </c>
      <c r="U96" s="22">
        <f t="shared" si="55"/>
        <v>9.7147285887892529</v>
      </c>
      <c r="V96" s="22">
        <f t="shared" si="56"/>
        <v>14.958717010278232</v>
      </c>
      <c r="W96" s="22">
        <f t="shared" si="57"/>
        <v>11.835566011330501</v>
      </c>
      <c r="X96" s="22">
        <f t="shared" si="58"/>
        <v>5.9669473900519758</v>
      </c>
      <c r="Y96" s="22">
        <f t="shared" si="59"/>
        <v>11.077010561671161</v>
      </c>
      <c r="Z96" s="22">
        <f t="shared" si="60"/>
        <v>13.865348435944403</v>
      </c>
      <c r="AA96" s="22">
        <f t="shared" si="61"/>
        <v>13.896881100596287</v>
      </c>
      <c r="AB96" s="24"/>
      <c r="AC96" s="19">
        <f t="shared" si="40"/>
        <v>3.2178200732712724E-4</v>
      </c>
      <c r="AD96" s="19">
        <f t="shared" si="41"/>
        <v>3.1795884789100683E-4</v>
      </c>
      <c r="AE96" s="19">
        <f t="shared" si="42"/>
        <v>3.0928923398511668E-4</v>
      </c>
      <c r="AF96" s="19">
        <f t="shared" si="43"/>
        <v>1.4982306891444427E-4</v>
      </c>
      <c r="AG96" s="19">
        <f t="shared" si="44"/>
        <v>2.9024425241330829E-4</v>
      </c>
      <c r="AH96" s="19">
        <f t="shared" si="45"/>
        <v>3.2133623050904016E-4</v>
      </c>
      <c r="AI96" s="19">
        <f t="shared" si="46"/>
        <v>3.3220892102027092E-4</v>
      </c>
      <c r="AJ96" s="19">
        <f t="shared" si="47"/>
        <v>3.2680340936995766E-4</v>
      </c>
      <c r="AK96" s="19">
        <f t="shared" si="48"/>
        <v>3.0353735666650323E-4</v>
      </c>
      <c r="AL96" s="19">
        <f t="shared" si="49"/>
        <v>3.2506854077303868E-4</v>
      </c>
      <c r="AM96" s="19">
        <f t="shared" si="50"/>
        <v>3.3057492128636993E-4</v>
      </c>
      <c r="AN96" s="19">
        <f t="shared" si="51"/>
        <v>3.3062540461715952E-4</v>
      </c>
      <c r="AO96" s="24"/>
    </row>
    <row r="97" spans="1:41">
      <c r="A97" s="12" t="s">
        <v>398</v>
      </c>
      <c r="B97" s="12">
        <v>2212.0500000000002</v>
      </c>
      <c r="C97" s="19">
        <v>45551</v>
      </c>
      <c r="D97" s="19">
        <v>27139</v>
      </c>
      <c r="E97" s="19">
        <v>23840</v>
      </c>
      <c r="F97" s="19">
        <v>12576</v>
      </c>
      <c r="G97" s="19">
        <v>25975</v>
      </c>
      <c r="H97" s="19">
        <v>23550</v>
      </c>
      <c r="I97" s="19">
        <v>5925</v>
      </c>
      <c r="J97" s="19">
        <v>30431</v>
      </c>
      <c r="K97" s="19">
        <v>7697</v>
      </c>
      <c r="L97" s="19">
        <v>40869</v>
      </c>
      <c r="M97" s="19">
        <v>2380</v>
      </c>
      <c r="N97" s="19">
        <v>35451</v>
      </c>
      <c r="O97" s="24"/>
      <c r="P97" s="22">
        <f t="shared" si="38"/>
        <v>19.592210845143644</v>
      </c>
      <c r="Q97" s="22">
        <f t="shared" si="39"/>
        <v>11.268710020117085</v>
      </c>
      <c r="R97" s="22">
        <f t="shared" si="52"/>
        <v>9.7773332429194628</v>
      </c>
      <c r="S97" s="22">
        <f t="shared" si="53"/>
        <v>4.6852241133789923</v>
      </c>
      <c r="T97" s="22">
        <f t="shared" si="54"/>
        <v>10.742501299699374</v>
      </c>
      <c r="U97" s="22">
        <f t="shared" si="55"/>
        <v>9.6462331321624735</v>
      </c>
      <c r="V97" s="22">
        <f t="shared" si="56"/>
        <v>1.6785108835695393</v>
      </c>
      <c r="W97" s="22">
        <f t="shared" si="57"/>
        <v>12.756922311882642</v>
      </c>
      <c r="X97" s="22">
        <f t="shared" si="58"/>
        <v>2.4795777672294927</v>
      </c>
      <c r="Y97" s="22">
        <f t="shared" si="59"/>
        <v>17.475622160439407</v>
      </c>
      <c r="Z97" s="22">
        <f t="shared" si="60"/>
        <v>7.5925046902194704E-2</v>
      </c>
      <c r="AA97" s="22">
        <f t="shared" si="61"/>
        <v>15.026310436020884</v>
      </c>
      <c r="AB97" s="24"/>
      <c r="AC97" s="19">
        <f t="shared" si="40"/>
        <v>4.30301011905244E-4</v>
      </c>
      <c r="AD97" s="19">
        <f t="shared" si="41"/>
        <v>4.1539448690570697E-4</v>
      </c>
      <c r="AE97" s="19">
        <f t="shared" si="42"/>
        <v>4.1029130863131817E-4</v>
      </c>
      <c r="AF97" s="19">
        <f t="shared" si="43"/>
        <v>3.7269165532040029E-4</v>
      </c>
      <c r="AG97" s="19">
        <f t="shared" si="44"/>
        <v>4.1374190269978311E-4</v>
      </c>
      <c r="AH97" s="19">
        <f t="shared" si="45"/>
        <v>4.0977434866502237E-4</v>
      </c>
      <c r="AI97" s="19">
        <f t="shared" si="46"/>
        <v>2.833732537822996E-4</v>
      </c>
      <c r="AJ97" s="19">
        <f t="shared" si="47"/>
        <v>4.193839295485112E-4</v>
      </c>
      <c r="AK97" s="19">
        <f t="shared" si="48"/>
        <v>3.2225241225755007E-4</v>
      </c>
      <c r="AL97" s="19">
        <f t="shared" si="49"/>
        <v>4.27783844705665E-4</v>
      </c>
      <c r="AM97" s="19">
        <f t="shared" si="50"/>
        <v>3.1902297935151987E-5</v>
      </c>
      <c r="AN97" s="19">
        <f t="shared" si="51"/>
        <v>4.24041133105542E-4</v>
      </c>
      <c r="AO97" s="24"/>
    </row>
    <row r="98" spans="1:41">
      <c r="A98" s="12" t="s">
        <v>399</v>
      </c>
      <c r="B98" s="12">
        <v>529.03</v>
      </c>
      <c r="C98" s="19">
        <v>19378</v>
      </c>
      <c r="D98" s="19">
        <v>21157</v>
      </c>
      <c r="E98" s="19">
        <v>1897</v>
      </c>
      <c r="F98" s="19">
        <v>34879</v>
      </c>
      <c r="G98" s="19">
        <v>23638</v>
      </c>
      <c r="H98" s="19">
        <v>49836</v>
      </c>
      <c r="I98" s="19">
        <v>13988</v>
      </c>
      <c r="J98" s="19">
        <v>45662</v>
      </c>
      <c r="K98" s="19">
        <v>17075</v>
      </c>
      <c r="L98" s="19">
        <v>43201</v>
      </c>
      <c r="M98" s="19">
        <v>21733</v>
      </c>
      <c r="N98" s="19">
        <v>21967</v>
      </c>
      <c r="O98" s="24"/>
      <c r="P98" s="22">
        <f t="shared" si="38"/>
        <v>35.629302686048057</v>
      </c>
      <c r="Q98" s="22">
        <f t="shared" si="39"/>
        <v>38.992060941723537</v>
      </c>
      <c r="R98" s="22">
        <f t="shared" si="52"/>
        <v>2.5858079882048277</v>
      </c>
      <c r="S98" s="22">
        <f t="shared" si="53"/>
        <v>64.930098482127676</v>
      </c>
      <c r="T98" s="22">
        <f t="shared" si="54"/>
        <v>43.681776080751568</v>
      </c>
      <c r="U98" s="22">
        <f t="shared" si="55"/>
        <v>93.202597206207599</v>
      </c>
      <c r="V98" s="22">
        <f t="shared" si="56"/>
        <v>25.440844564580459</v>
      </c>
      <c r="W98" s="22">
        <f t="shared" si="57"/>
        <v>85.312685480974622</v>
      </c>
      <c r="X98" s="22">
        <f t="shared" si="58"/>
        <v>31.276052397784628</v>
      </c>
      <c r="Y98" s="22">
        <f t="shared" si="59"/>
        <v>80.660775381358334</v>
      </c>
      <c r="Z98" s="22">
        <f t="shared" si="60"/>
        <v>40.080846076782038</v>
      </c>
      <c r="AA98" s="22">
        <f t="shared" si="61"/>
        <v>40.52316503789956</v>
      </c>
      <c r="AB98" s="24"/>
      <c r="AC98" s="19">
        <f t="shared" si="40"/>
        <v>1.8420339080253408E-3</v>
      </c>
      <c r="AD98" s="19">
        <f t="shared" si="41"/>
        <v>1.8463891601066577E-3</v>
      </c>
      <c r="AE98" s="19">
        <f t="shared" si="42"/>
        <v>1.3649644302225158E-3</v>
      </c>
      <c r="AF98" s="19">
        <f t="shared" si="43"/>
        <v>1.8650533725531691E-3</v>
      </c>
      <c r="AG98" s="19">
        <f t="shared" si="44"/>
        <v>1.85136843820595E-3</v>
      </c>
      <c r="AH98" s="19">
        <f t="shared" si="45"/>
        <v>1.8736903043770695E-3</v>
      </c>
      <c r="AI98" s="19">
        <f t="shared" si="46"/>
        <v>1.8220760450405476E-3</v>
      </c>
      <c r="AJ98" s="19">
        <f t="shared" si="47"/>
        <v>1.8718491954503502E-3</v>
      </c>
      <c r="AK98" s="19">
        <f t="shared" si="48"/>
        <v>1.8350480501759523E-3</v>
      </c>
      <c r="AL98" s="19">
        <f t="shared" si="49"/>
        <v>1.8705969579967214E-3</v>
      </c>
      <c r="AM98" s="19">
        <f t="shared" si="50"/>
        <v>1.847646496646502E-3</v>
      </c>
      <c r="AN98" s="19">
        <f t="shared" si="51"/>
        <v>1.8481384557543124E-3</v>
      </c>
      <c r="AO98" s="24"/>
    </row>
    <row r="99" spans="1:41">
      <c r="A99" s="12" t="s">
        <v>395</v>
      </c>
      <c r="B99" s="12">
        <v>605.63</v>
      </c>
      <c r="C99" s="19">
        <v>23805</v>
      </c>
      <c r="D99" s="19">
        <v>13550</v>
      </c>
      <c r="E99" s="19">
        <v>11260</v>
      </c>
      <c r="F99" s="19">
        <v>14755</v>
      </c>
      <c r="G99" s="19">
        <v>31197</v>
      </c>
      <c r="H99" s="19">
        <v>44336</v>
      </c>
      <c r="I99" s="19">
        <v>16799</v>
      </c>
      <c r="J99" s="19">
        <v>3077</v>
      </c>
      <c r="K99" s="19">
        <v>32775</v>
      </c>
      <c r="L99" s="19">
        <v>2368</v>
      </c>
      <c r="M99" s="19">
        <v>12029</v>
      </c>
      <c r="N99" s="19">
        <v>45899</v>
      </c>
      <c r="O99" s="24"/>
      <c r="P99" s="22">
        <f t="shared" si="38"/>
        <v>38.306177038786053</v>
      </c>
      <c r="Q99" s="22">
        <f t="shared" si="39"/>
        <v>21.373396298069782</v>
      </c>
      <c r="R99" s="22">
        <f t="shared" si="52"/>
        <v>17.59220976503806</v>
      </c>
      <c r="S99" s="22">
        <f t="shared" si="53"/>
        <v>23.363059954097388</v>
      </c>
      <c r="T99" s="22">
        <f t="shared" si="54"/>
        <v>50.511649026633421</v>
      </c>
      <c r="U99" s="22">
        <f t="shared" si="55"/>
        <v>72.206413156547725</v>
      </c>
      <c r="V99" s="22">
        <f t="shared" si="56"/>
        <v>26.738057890130939</v>
      </c>
      <c r="W99" s="22">
        <f t="shared" si="57"/>
        <v>4.0806598087941479</v>
      </c>
      <c r="X99" s="22">
        <f t="shared" si="58"/>
        <v>53.117200270792395</v>
      </c>
      <c r="Y99" s="22">
        <f t="shared" si="59"/>
        <v>2.9099780393969916</v>
      </c>
      <c r="Z99" s="22">
        <f t="shared" si="60"/>
        <v>18.861961923946964</v>
      </c>
      <c r="AA99" s="22">
        <f t="shared" si="61"/>
        <v>74.787196803328769</v>
      </c>
      <c r="AB99" s="24"/>
      <c r="AC99" s="19">
        <f t="shared" si="40"/>
        <v>1.6117587630879529E-3</v>
      </c>
      <c r="AD99" s="19">
        <f t="shared" si="41"/>
        <v>1.5798644551414578E-3</v>
      </c>
      <c r="AE99" s="19">
        <f t="shared" si="42"/>
        <v>1.5648080102839243E-3</v>
      </c>
      <c r="AF99" s="19">
        <f t="shared" si="43"/>
        <v>1.5859106526436423E-3</v>
      </c>
      <c r="AG99" s="19">
        <f t="shared" si="44"/>
        <v>1.6217445914751051E-3</v>
      </c>
      <c r="AH99" s="19">
        <f t="shared" si="45"/>
        <v>1.6312748480286081E-3</v>
      </c>
      <c r="AI99" s="19">
        <f t="shared" si="46"/>
        <v>1.5941831806835843E-3</v>
      </c>
      <c r="AJ99" s="19">
        <f t="shared" si="47"/>
        <v>1.3279423756499375E-3</v>
      </c>
      <c r="AK99" s="19">
        <f t="shared" si="48"/>
        <v>1.6232929075594626E-3</v>
      </c>
      <c r="AL99" s="19">
        <f t="shared" si="49"/>
        <v>1.2303878551670052E-3</v>
      </c>
      <c r="AM99" s="19">
        <f t="shared" si="50"/>
        <v>1.5705033417724589E-3</v>
      </c>
      <c r="AN99" s="19">
        <f t="shared" si="51"/>
        <v>1.6320454237701964E-3</v>
      </c>
      <c r="AO99" s="24"/>
    </row>
    <row r="100" spans="1:41">
      <c r="A100" s="12" t="s">
        <v>398</v>
      </c>
      <c r="B100" s="12">
        <v>2205.9499999999998</v>
      </c>
      <c r="C100" s="19">
        <v>13246</v>
      </c>
      <c r="D100" s="19">
        <v>11745</v>
      </c>
      <c r="E100" s="19">
        <v>11893</v>
      </c>
      <c r="F100" s="19">
        <v>11407</v>
      </c>
      <c r="G100" s="19">
        <v>17010</v>
      </c>
      <c r="H100" s="19">
        <v>46758</v>
      </c>
      <c r="I100" s="19">
        <v>10384</v>
      </c>
      <c r="J100" s="19">
        <v>12796</v>
      </c>
      <c r="K100" s="19">
        <v>5768</v>
      </c>
      <c r="L100" s="19">
        <v>28708</v>
      </c>
      <c r="M100" s="19">
        <v>20728</v>
      </c>
      <c r="N100" s="19">
        <v>20007</v>
      </c>
      <c r="O100" s="24"/>
      <c r="P100" s="22">
        <f t="shared" si="38"/>
        <v>5.0046691901448357</v>
      </c>
      <c r="Q100" s="22">
        <f t="shared" si="39"/>
        <v>4.3242367234071493</v>
      </c>
      <c r="R100" s="22">
        <f t="shared" si="52"/>
        <v>4.3913279992746892</v>
      </c>
      <c r="S100" s="22">
        <f t="shared" si="53"/>
        <v>4.1710147555474961</v>
      </c>
      <c r="T100" s="22">
        <f t="shared" si="54"/>
        <v>6.7109635304517328</v>
      </c>
      <c r="U100" s="22">
        <f t="shared" si="55"/>
        <v>20.196309979827287</v>
      </c>
      <c r="V100" s="22">
        <f t="shared" si="56"/>
        <v>3.7072689770847029</v>
      </c>
      <c r="W100" s="22">
        <f t="shared" si="57"/>
        <v>4.800675445952991</v>
      </c>
      <c r="X100" s="22">
        <f t="shared" si="58"/>
        <v>1.6147464811079129</v>
      </c>
      <c r="Y100" s="22">
        <f t="shared" si="59"/>
        <v>12.013894240576622</v>
      </c>
      <c r="Z100" s="22">
        <f t="shared" si="60"/>
        <v>8.3964051769079084</v>
      </c>
      <c r="AA100" s="22">
        <f t="shared" si="61"/>
        <v>8.0695618667694191</v>
      </c>
      <c r="AB100" s="24"/>
      <c r="AC100" s="19">
        <f t="shared" si="40"/>
        <v>3.7796774827793375E-4</v>
      </c>
      <c r="AD100" s="19">
        <f t="shared" si="41"/>
        <v>3.6831242175453275E-4</v>
      </c>
      <c r="AE100" s="19">
        <f t="shared" si="42"/>
        <v>3.6937274330652817E-4</v>
      </c>
      <c r="AF100" s="19">
        <f t="shared" si="43"/>
        <v>3.6578771469298487E-4</v>
      </c>
      <c r="AG100" s="19">
        <f t="shared" si="44"/>
        <v>3.9468619959689592E-4</v>
      </c>
      <c r="AH100" s="19">
        <f t="shared" si="45"/>
        <v>4.3211936345523581E-4</v>
      </c>
      <c r="AI100" s="19">
        <f t="shared" si="46"/>
        <v>3.5714493542219922E-4</v>
      </c>
      <c r="AJ100" s="19">
        <f t="shared" si="47"/>
        <v>3.7531081520538823E-4</v>
      </c>
      <c r="AK100" s="19">
        <f t="shared" si="48"/>
        <v>2.8002750598783293E-4</v>
      </c>
      <c r="AL100" s="19">
        <f t="shared" si="49"/>
        <v>4.1866113944644595E-4</v>
      </c>
      <c r="AM100" s="19">
        <f t="shared" si="50"/>
        <v>4.0523966293475793E-4</v>
      </c>
      <c r="AN100" s="19">
        <f t="shared" si="51"/>
        <v>4.0349967173157789E-4</v>
      </c>
      <c r="AO100" s="24"/>
    </row>
    <row r="101" spans="1:41">
      <c r="A101" s="12" t="s">
        <v>396</v>
      </c>
      <c r="B101" s="12">
        <v>510.68</v>
      </c>
      <c r="C101" s="19">
        <v>11937</v>
      </c>
      <c r="D101" s="19">
        <v>1082</v>
      </c>
      <c r="E101" s="19">
        <v>14122</v>
      </c>
      <c r="F101" s="19">
        <v>41374</v>
      </c>
      <c r="G101" s="19">
        <v>32657</v>
      </c>
      <c r="H101" s="19">
        <v>37582</v>
      </c>
      <c r="I101" s="19">
        <v>5492</v>
      </c>
      <c r="J101" s="19">
        <v>17948</v>
      </c>
      <c r="K101" s="19">
        <v>33473</v>
      </c>
      <c r="L101" s="19">
        <v>1058</v>
      </c>
      <c r="M101" s="19">
        <v>49157</v>
      </c>
      <c r="N101" s="19">
        <v>21329</v>
      </c>
      <c r="O101" s="24"/>
      <c r="P101" s="22">
        <f t="shared" ref="P101:P132" si="62">(C101-B101)/B101</f>
        <v>22.374716064854702</v>
      </c>
      <c r="Q101" s="22">
        <f t="shared" ref="Q101:Q132" si="63">(D101-B101)/B101</f>
        <v>1.1187436359363985</v>
      </c>
      <c r="R101" s="22">
        <f t="shared" si="52"/>
        <v>26.653324978460091</v>
      </c>
      <c r="S101" s="22">
        <f t="shared" si="53"/>
        <v>80.017466906869274</v>
      </c>
      <c r="T101" s="22">
        <f t="shared" si="54"/>
        <v>62.948069241011986</v>
      </c>
      <c r="U101" s="22">
        <f t="shared" si="55"/>
        <v>72.592073314012694</v>
      </c>
      <c r="V101" s="22">
        <f t="shared" si="56"/>
        <v>9.754288399780684</v>
      </c>
      <c r="W101" s="22">
        <f t="shared" si="57"/>
        <v>34.145296467455154</v>
      </c>
      <c r="X101" s="22">
        <f t="shared" si="58"/>
        <v>64.545938748335544</v>
      </c>
      <c r="Y101" s="22">
        <f t="shared" si="59"/>
        <v>1.0717474739562933</v>
      </c>
      <c r="Z101" s="22">
        <f t="shared" si="60"/>
        <v>95.257930602334142</v>
      </c>
      <c r="AA101" s="22">
        <f t="shared" si="61"/>
        <v>40.765880786402441</v>
      </c>
      <c r="AB101" s="24"/>
      <c r="AC101" s="19">
        <f t="shared" ref="AC101:AC132" si="64">P101 /(C101 - P101)</f>
        <v>1.8779202477331133E-3</v>
      </c>
      <c r="AD101" s="19">
        <f t="shared" ref="AD101:AD132" si="65">Q101 / (D101 - Q101)</f>
        <v>1.0350291758224198E-3</v>
      </c>
      <c r="AE101" s="19">
        <f t="shared" ref="AE101:AE132" si="66">R101 / (E101 - R101)</f>
        <v>1.8909307868030399E-3</v>
      </c>
      <c r="AF101" s="19">
        <f t="shared" ref="AF101:AF132" si="67">S101 / (F101 - S101)</f>
        <v>1.9377512653990935E-3</v>
      </c>
      <c r="AG101" s="19">
        <f t="shared" ref="AG101:AG132" si="68">T101 / (G101 - T101)</f>
        <v>1.9312747422362644E-3</v>
      </c>
      <c r="AH101" s="19">
        <f t="shared" ref="AH101:AH132" si="69">U101 / (H101 - U101)</f>
        <v>1.9353030966497134E-3</v>
      </c>
      <c r="AI101" s="19">
        <f t="shared" ref="AI101:AI132" si="70">V101 / (I101 - V101)</f>
        <v>1.7792504956757023E-3</v>
      </c>
      <c r="AJ101" s="19">
        <f t="shared" ref="AJ101:AJ132" si="71">W101 / (J101 - W101)</f>
        <v>1.9060831424920414E-3</v>
      </c>
      <c r="AK101" s="19">
        <f t="shared" ref="AK101:AK132" si="72">X101 / (K101 - X101)</f>
        <v>1.9320241107234669E-3</v>
      </c>
      <c r="AL101" s="19">
        <f t="shared" ref="AL101:AL132" si="73">Y101 / (L101 - Y101)</f>
        <v>1.0140210287640924E-3</v>
      </c>
      <c r="AM101" s="19">
        <f t="shared" ref="AM101:AM132" si="74">Z101 / (M101 - Z101)</f>
        <v>1.9415929109812718E-3</v>
      </c>
      <c r="AN101" s="19">
        <f t="shared" ref="AN101:AN132" si="75">AA101 / (N101 - AA101)</f>
        <v>1.9149489130058648E-3</v>
      </c>
      <c r="AO101" s="24"/>
    </row>
    <row r="102" spans="1:41">
      <c r="A102" s="12" t="s">
        <v>397</v>
      </c>
      <c r="B102" s="12">
        <v>741.96</v>
      </c>
      <c r="C102" s="19">
        <v>29338</v>
      </c>
      <c r="D102" s="19">
        <v>19983</v>
      </c>
      <c r="E102" s="19">
        <v>38100</v>
      </c>
      <c r="F102" s="19">
        <v>49602</v>
      </c>
      <c r="G102" s="19">
        <v>27273</v>
      </c>
      <c r="H102" s="19">
        <v>43779</v>
      </c>
      <c r="I102" s="19">
        <v>29603</v>
      </c>
      <c r="J102" s="19">
        <v>45300</v>
      </c>
      <c r="K102" s="19">
        <v>29506</v>
      </c>
      <c r="L102" s="19">
        <v>42414</v>
      </c>
      <c r="M102" s="19">
        <v>15730</v>
      </c>
      <c r="N102" s="19">
        <v>33922</v>
      </c>
      <c r="O102" s="24"/>
      <c r="P102" s="22">
        <f t="shared" si="62"/>
        <v>38.541215159846892</v>
      </c>
      <c r="Q102" s="22">
        <f t="shared" si="63"/>
        <v>25.93271874494582</v>
      </c>
      <c r="R102" s="22">
        <f t="shared" si="52"/>
        <v>50.350477114669253</v>
      </c>
      <c r="S102" s="22">
        <f t="shared" si="53"/>
        <v>65.852660520782791</v>
      </c>
      <c r="T102" s="22">
        <f t="shared" si="54"/>
        <v>35.758046255862851</v>
      </c>
      <c r="U102" s="22">
        <f t="shared" si="55"/>
        <v>58.004528546013262</v>
      </c>
      <c r="V102" s="22">
        <f t="shared" si="56"/>
        <v>38.898377271011917</v>
      </c>
      <c r="W102" s="22">
        <f t="shared" si="57"/>
        <v>60.054504285945335</v>
      </c>
      <c r="X102" s="22">
        <f t="shared" si="58"/>
        <v>38.767642460509997</v>
      </c>
      <c r="Y102" s="22">
        <f t="shared" si="59"/>
        <v>56.164806728125505</v>
      </c>
      <c r="Z102" s="22">
        <f t="shared" si="60"/>
        <v>20.200603806135103</v>
      </c>
      <c r="AA102" s="22">
        <f t="shared" si="61"/>
        <v>44.719445792225997</v>
      </c>
      <c r="AB102" s="24"/>
      <c r="AC102" s="19">
        <f t="shared" si="64"/>
        <v>1.315424132673349E-3</v>
      </c>
      <c r="AD102" s="19">
        <f t="shared" si="65"/>
        <v>1.2994253303592095E-3</v>
      </c>
      <c r="AE102" s="19">
        <f t="shared" si="66"/>
        <v>1.3232835977736266E-3</v>
      </c>
      <c r="AF102" s="19">
        <f t="shared" si="67"/>
        <v>1.3293859950287185E-3</v>
      </c>
      <c r="AG102" s="19">
        <f t="shared" si="68"/>
        <v>1.3128365315617945E-3</v>
      </c>
      <c r="AH102" s="19">
        <f t="shared" si="69"/>
        <v>1.3266973434739194E-3</v>
      </c>
      <c r="AI102" s="19">
        <f t="shared" si="70"/>
        <v>1.3157300623370441E-3</v>
      </c>
      <c r="AJ102" s="19">
        <f t="shared" si="71"/>
        <v>1.3274663271120603E-3</v>
      </c>
      <c r="AK102" s="19">
        <f t="shared" si="72"/>
        <v>1.3156187181111666E-3</v>
      </c>
      <c r="AL102" s="19">
        <f t="shared" si="73"/>
        <v>1.325960273273048E-3</v>
      </c>
      <c r="AM102" s="19">
        <f t="shared" si="74"/>
        <v>1.2858600734920434E-3</v>
      </c>
      <c r="AN102" s="19">
        <f t="shared" si="75"/>
        <v>1.3200423723701623E-3</v>
      </c>
      <c r="AO102" s="24"/>
    </row>
    <row r="103" spans="1:41">
      <c r="A103" s="12" t="s">
        <v>396</v>
      </c>
      <c r="B103" s="12">
        <v>2891.87</v>
      </c>
      <c r="C103" s="19">
        <v>19339</v>
      </c>
      <c r="D103" s="19">
        <v>28953</v>
      </c>
      <c r="E103" s="19">
        <v>25006</v>
      </c>
      <c r="F103" s="19">
        <v>34321</v>
      </c>
      <c r="G103" s="19">
        <v>6509</v>
      </c>
      <c r="H103" s="19">
        <v>10081</v>
      </c>
      <c r="I103" s="19">
        <v>47521</v>
      </c>
      <c r="J103" s="19">
        <v>11518</v>
      </c>
      <c r="K103" s="19">
        <v>15799</v>
      </c>
      <c r="L103" s="19">
        <v>13811</v>
      </c>
      <c r="M103" s="19">
        <v>39750</v>
      </c>
      <c r="N103" s="19">
        <v>18616</v>
      </c>
      <c r="O103" s="24"/>
      <c r="P103" s="22">
        <f t="shared" si="62"/>
        <v>5.6873683810129787</v>
      </c>
      <c r="Q103" s="22">
        <f t="shared" si="63"/>
        <v>9.0118608374512004</v>
      </c>
      <c r="R103" s="22">
        <f t="shared" si="52"/>
        <v>7.6470000380376719</v>
      </c>
      <c r="S103" s="22">
        <f t="shared" si="53"/>
        <v>10.868099188414417</v>
      </c>
      <c r="T103" s="22">
        <f t="shared" si="54"/>
        <v>1.250792739645973</v>
      </c>
      <c r="U103" s="22">
        <f t="shared" si="55"/>
        <v>2.4859796602198578</v>
      </c>
      <c r="V103" s="22">
        <f t="shared" si="56"/>
        <v>15.43261972356987</v>
      </c>
      <c r="W103" s="22">
        <f t="shared" si="57"/>
        <v>2.9828899639333724</v>
      </c>
      <c r="X103" s="22">
        <f t="shared" si="58"/>
        <v>4.4632469647667428</v>
      </c>
      <c r="Y103" s="22">
        <f t="shared" si="59"/>
        <v>3.7758025084115125</v>
      </c>
      <c r="Z103" s="22">
        <f t="shared" si="60"/>
        <v>12.745431157002216</v>
      </c>
      <c r="AA103" s="22">
        <f t="shared" si="61"/>
        <v>5.4373571426101455</v>
      </c>
      <c r="AB103" s="24"/>
      <c r="AC103" s="19">
        <f t="shared" si="64"/>
        <v>2.9417454159984344E-4</v>
      </c>
      <c r="AD103" s="19">
        <f t="shared" si="65"/>
        <v>3.1135518692594188E-4</v>
      </c>
      <c r="AE103" s="19">
        <f t="shared" si="66"/>
        <v>3.0590015422413255E-4</v>
      </c>
      <c r="AF103" s="19">
        <f t="shared" si="67"/>
        <v>3.1676063559981065E-4</v>
      </c>
      <c r="AG103" s="19">
        <f t="shared" si="68"/>
        <v>1.9220051354322773E-4</v>
      </c>
      <c r="AH103" s="19">
        <f t="shared" si="69"/>
        <v>2.4666132876362729E-4</v>
      </c>
      <c r="AI103" s="19">
        <f t="shared" si="70"/>
        <v>3.2485918124150758E-4</v>
      </c>
      <c r="AJ103" s="19">
        <f t="shared" si="71"/>
        <v>2.5904346779768089E-4</v>
      </c>
      <c r="AK103" s="19">
        <f t="shared" si="72"/>
        <v>2.8258169483248952E-4</v>
      </c>
      <c r="AL103" s="19">
        <f t="shared" si="73"/>
        <v>2.7346572014796987E-4</v>
      </c>
      <c r="AM103" s="19">
        <f t="shared" si="74"/>
        <v>3.2074262037709052E-4</v>
      </c>
      <c r="AN103" s="19">
        <f t="shared" si="75"/>
        <v>2.9216511327221842E-4</v>
      </c>
      <c r="AO103" s="24"/>
    </row>
    <row r="104" spans="1:41">
      <c r="A104" s="12" t="s">
        <v>398</v>
      </c>
      <c r="B104" s="12">
        <v>803.15</v>
      </c>
      <c r="C104" s="19">
        <v>43427</v>
      </c>
      <c r="D104" s="19">
        <v>39587</v>
      </c>
      <c r="E104" s="19">
        <v>34862</v>
      </c>
      <c r="F104" s="19">
        <v>37925</v>
      </c>
      <c r="G104" s="19">
        <v>32414</v>
      </c>
      <c r="H104" s="19">
        <v>17523</v>
      </c>
      <c r="I104" s="19">
        <v>12522</v>
      </c>
      <c r="J104" s="19">
        <v>5660</v>
      </c>
      <c r="K104" s="19">
        <v>25330</v>
      </c>
      <c r="L104" s="19">
        <v>41523</v>
      </c>
      <c r="M104" s="19">
        <v>32658</v>
      </c>
      <c r="N104" s="19">
        <v>11385</v>
      </c>
      <c r="O104" s="24"/>
      <c r="P104" s="22">
        <f t="shared" si="62"/>
        <v>53.070846043702922</v>
      </c>
      <c r="Q104" s="22">
        <f t="shared" si="63"/>
        <v>48.289671916827494</v>
      </c>
      <c r="R104" s="22">
        <f t="shared" si="52"/>
        <v>42.40658656539874</v>
      </c>
      <c r="S104" s="22">
        <f t="shared" si="53"/>
        <v>46.220319990039222</v>
      </c>
      <c r="T104" s="22">
        <f t="shared" si="54"/>
        <v>39.358588059515654</v>
      </c>
      <c r="U104" s="22">
        <f t="shared" si="55"/>
        <v>20.81784224615576</v>
      </c>
      <c r="V104" s="22">
        <f t="shared" si="56"/>
        <v>14.591110004357843</v>
      </c>
      <c r="W104" s="22">
        <f t="shared" si="57"/>
        <v>6.0472514474257615</v>
      </c>
      <c r="X104" s="22">
        <f t="shared" si="58"/>
        <v>30.53831787337359</v>
      </c>
      <c r="Y104" s="22">
        <f t="shared" si="59"/>
        <v>50.700180539127189</v>
      </c>
      <c r="Z104" s="22">
        <f t="shared" si="60"/>
        <v>39.662391832160864</v>
      </c>
      <c r="AA104" s="22">
        <f t="shared" si="61"/>
        <v>13.175434227728321</v>
      </c>
      <c r="AB104" s="24"/>
      <c r="AC104" s="19">
        <f t="shared" si="64"/>
        <v>1.2235655629751064E-3</v>
      </c>
      <c r="AD104" s="19">
        <f t="shared" si="65"/>
        <v>1.2213264296212711E-3</v>
      </c>
      <c r="AE104" s="19">
        <f t="shared" si="66"/>
        <v>1.2178943637244429E-3</v>
      </c>
      <c r="AF104" s="19">
        <f t="shared" si="67"/>
        <v>1.2202167118501815E-3</v>
      </c>
      <c r="AG104" s="19">
        <f t="shared" si="68"/>
        <v>1.2157227491328857E-3</v>
      </c>
      <c r="AH104" s="19">
        <f t="shared" si="69"/>
        <v>1.1894426682636833E-3</v>
      </c>
      <c r="AI104" s="19">
        <f t="shared" si="70"/>
        <v>1.1665973450367406E-3</v>
      </c>
      <c r="AJ104" s="19">
        <f t="shared" si="71"/>
        <v>1.0695617236939012E-3</v>
      </c>
      <c r="AK104" s="19">
        <f t="shared" si="72"/>
        <v>1.2070738206634677E-3</v>
      </c>
      <c r="AL104" s="19">
        <f t="shared" si="73"/>
        <v>1.2225070893062972E-3</v>
      </c>
      <c r="AM104" s="19">
        <f t="shared" si="74"/>
        <v>1.215953808210911E-3</v>
      </c>
      <c r="AN104" s="19">
        <f t="shared" si="75"/>
        <v>1.1586033667266274E-3</v>
      </c>
      <c r="AO104" s="24"/>
    </row>
    <row r="105" spans="1:41">
      <c r="A105" s="12" t="s">
        <v>398</v>
      </c>
      <c r="B105" s="12">
        <v>2001.82</v>
      </c>
      <c r="C105" s="19">
        <v>30634</v>
      </c>
      <c r="D105" s="19">
        <v>14343</v>
      </c>
      <c r="E105" s="19">
        <v>10749</v>
      </c>
      <c r="F105" s="19">
        <v>9332</v>
      </c>
      <c r="G105" s="19">
        <v>42775</v>
      </c>
      <c r="H105" s="19">
        <v>25918</v>
      </c>
      <c r="I105" s="19">
        <v>35843</v>
      </c>
      <c r="J105" s="19">
        <v>48674</v>
      </c>
      <c r="K105" s="19">
        <v>36723</v>
      </c>
      <c r="L105" s="19">
        <v>28197</v>
      </c>
      <c r="M105" s="19">
        <v>16684</v>
      </c>
      <c r="N105" s="19">
        <v>20385</v>
      </c>
      <c r="O105" s="24"/>
      <c r="P105" s="22">
        <f t="shared" si="62"/>
        <v>14.303074202475747</v>
      </c>
      <c r="Q105" s="22">
        <f t="shared" si="63"/>
        <v>6.1649798683198291</v>
      </c>
      <c r="R105" s="22">
        <f t="shared" si="52"/>
        <v>4.3696136515770654</v>
      </c>
      <c r="S105" s="22">
        <f t="shared" si="53"/>
        <v>3.6617578004016349</v>
      </c>
      <c r="T105" s="22">
        <f t="shared" si="54"/>
        <v>20.368055069886402</v>
      </c>
      <c r="U105" s="22">
        <f t="shared" si="55"/>
        <v>11.947218031591252</v>
      </c>
      <c r="V105" s="22">
        <f t="shared" si="56"/>
        <v>16.905206262301306</v>
      </c>
      <c r="W105" s="22">
        <f t="shared" si="57"/>
        <v>23.314873465146718</v>
      </c>
      <c r="X105" s="22">
        <f t="shared" si="58"/>
        <v>17.344806226334036</v>
      </c>
      <c r="Y105" s="22">
        <f t="shared" si="59"/>
        <v>13.08568202935329</v>
      </c>
      <c r="Z105" s="22">
        <f t="shared" si="60"/>
        <v>7.3344156817296264</v>
      </c>
      <c r="AA105" s="22">
        <f t="shared" si="61"/>
        <v>9.183233257735461</v>
      </c>
      <c r="AB105" s="24"/>
      <c r="AC105" s="19">
        <f t="shared" si="64"/>
        <v>4.6712004488931456E-4</v>
      </c>
      <c r="AD105" s="19">
        <f t="shared" si="65"/>
        <v>4.300098215305546E-4</v>
      </c>
      <c r="AE105" s="19">
        <f t="shared" si="66"/>
        <v>4.0667882416214825E-4</v>
      </c>
      <c r="AF105" s="19">
        <f t="shared" si="67"/>
        <v>3.9254127641261453E-4</v>
      </c>
      <c r="AG105" s="19">
        <f t="shared" si="68"/>
        <v>4.7639411552229875E-4</v>
      </c>
      <c r="AH105" s="19">
        <f t="shared" si="69"/>
        <v>4.6117477379290162E-4</v>
      </c>
      <c r="AI105" s="19">
        <f t="shared" si="70"/>
        <v>4.7186851817453151E-4</v>
      </c>
      <c r="AJ105" s="19">
        <f t="shared" si="71"/>
        <v>4.7923011576316769E-4</v>
      </c>
      <c r="AK105" s="19">
        <f t="shared" si="72"/>
        <v>4.7253770937390091E-4</v>
      </c>
      <c r="AL105" s="19">
        <f t="shared" si="73"/>
        <v>4.6429611876195595E-4</v>
      </c>
      <c r="AM105" s="19">
        <f t="shared" si="74"/>
        <v>4.3980108881157081E-4</v>
      </c>
      <c r="AN105" s="19">
        <f t="shared" si="75"/>
        <v>4.5069276794461961E-4</v>
      </c>
      <c r="AO105" s="24"/>
    </row>
    <row r="106" spans="1:41">
      <c r="A106" s="12" t="s">
        <v>398</v>
      </c>
      <c r="B106" s="12">
        <v>2936.96</v>
      </c>
      <c r="C106" s="19">
        <v>23582</v>
      </c>
      <c r="D106" s="19">
        <v>6628</v>
      </c>
      <c r="E106" s="19">
        <v>47147</v>
      </c>
      <c r="F106" s="19">
        <v>48146</v>
      </c>
      <c r="G106" s="19">
        <v>22506</v>
      </c>
      <c r="H106" s="19">
        <v>5108</v>
      </c>
      <c r="I106" s="19">
        <v>34910</v>
      </c>
      <c r="J106" s="19">
        <v>5118</v>
      </c>
      <c r="K106" s="19">
        <v>37970</v>
      </c>
      <c r="L106" s="19">
        <v>39256</v>
      </c>
      <c r="M106" s="19">
        <v>5833</v>
      </c>
      <c r="N106" s="19">
        <v>28344</v>
      </c>
      <c r="O106" s="24"/>
      <c r="P106" s="22">
        <f t="shared" si="62"/>
        <v>7.0293909348441925</v>
      </c>
      <c r="Q106" s="22">
        <f t="shared" si="63"/>
        <v>1.2567552843756808</v>
      </c>
      <c r="R106" s="22">
        <f t="shared" si="52"/>
        <v>15.052993571584222</v>
      </c>
      <c r="S106" s="22">
        <f t="shared" si="53"/>
        <v>15.393141207234692</v>
      </c>
      <c r="T106" s="22">
        <f t="shared" si="54"/>
        <v>6.6630257136631075</v>
      </c>
      <c r="U106" s="22">
        <f t="shared" si="55"/>
        <v>0.73921333623883201</v>
      </c>
      <c r="V106" s="22">
        <f t="shared" si="56"/>
        <v>10.886440400958815</v>
      </c>
      <c r="W106" s="22">
        <f t="shared" si="57"/>
        <v>0.74261821747657442</v>
      </c>
      <c r="X106" s="22">
        <f t="shared" si="58"/>
        <v>11.928334059707998</v>
      </c>
      <c r="Y106" s="22">
        <f t="shared" si="59"/>
        <v>12.366201786881673</v>
      </c>
      <c r="Z106" s="22">
        <f t="shared" si="60"/>
        <v>0.98606722597515795</v>
      </c>
      <c r="AA106" s="22">
        <f t="shared" si="61"/>
        <v>8.6507953802571365</v>
      </c>
      <c r="AB106" s="24"/>
      <c r="AC106" s="19">
        <f t="shared" si="64"/>
        <v>2.9817177935913177E-4</v>
      </c>
      <c r="AD106" s="19">
        <f t="shared" si="65"/>
        <v>1.8964900826327585E-4</v>
      </c>
      <c r="AE106" s="19">
        <f t="shared" si="66"/>
        <v>3.1937983740691031E-4</v>
      </c>
      <c r="AF106" s="19">
        <f t="shared" si="67"/>
        <v>3.1982021860633546E-4</v>
      </c>
      <c r="AG106" s="19">
        <f t="shared" si="68"/>
        <v>2.9614320285429007E-4</v>
      </c>
      <c r="AH106" s="19">
        <f t="shared" si="69"/>
        <v>1.4473773067729163E-4</v>
      </c>
      <c r="AI106" s="19">
        <f t="shared" si="70"/>
        <v>3.1194031282105408E-4</v>
      </c>
      <c r="AJ106" s="19">
        <f t="shared" si="71"/>
        <v>1.4512035687716258E-4</v>
      </c>
      <c r="AK106" s="19">
        <f t="shared" si="72"/>
        <v>3.1425026446776195E-4</v>
      </c>
      <c r="AL106" s="19">
        <f t="shared" si="73"/>
        <v>3.1511357613995329E-4</v>
      </c>
      <c r="AM106" s="19">
        <f t="shared" si="74"/>
        <v>1.6907833851935442E-4</v>
      </c>
      <c r="AN106" s="19">
        <f t="shared" si="75"/>
        <v>3.053004682520986E-4</v>
      </c>
      <c r="AO106" s="24"/>
    </row>
    <row r="107" spans="1:41">
      <c r="A107" s="12" t="s">
        <v>396</v>
      </c>
      <c r="B107" s="12">
        <v>1154.18</v>
      </c>
      <c r="C107" s="19">
        <v>31919</v>
      </c>
      <c r="D107" s="19">
        <v>18261</v>
      </c>
      <c r="E107" s="19">
        <v>26634</v>
      </c>
      <c r="F107" s="19">
        <v>15221</v>
      </c>
      <c r="G107" s="19">
        <v>47012</v>
      </c>
      <c r="H107" s="19">
        <v>7034</v>
      </c>
      <c r="I107" s="19">
        <v>12285</v>
      </c>
      <c r="J107" s="19">
        <v>2849</v>
      </c>
      <c r="K107" s="19">
        <v>37493</v>
      </c>
      <c r="L107" s="19">
        <v>14785</v>
      </c>
      <c r="M107" s="19">
        <v>41967</v>
      </c>
      <c r="N107" s="19">
        <v>46117</v>
      </c>
      <c r="O107" s="24"/>
      <c r="P107" s="22">
        <f t="shared" si="62"/>
        <v>26.655131781871109</v>
      </c>
      <c r="Q107" s="22">
        <f t="shared" si="63"/>
        <v>14.821622277287771</v>
      </c>
      <c r="R107" s="22">
        <f t="shared" si="52"/>
        <v>22.076123308322792</v>
      </c>
      <c r="S107" s="22">
        <f t="shared" si="53"/>
        <v>12.187717687015889</v>
      </c>
      <c r="T107" s="22">
        <f t="shared" si="54"/>
        <v>39.731948222980812</v>
      </c>
      <c r="U107" s="22">
        <f t="shared" si="55"/>
        <v>5.0943700289382932</v>
      </c>
      <c r="V107" s="22">
        <f t="shared" si="56"/>
        <v>9.6439203590427827</v>
      </c>
      <c r="W107" s="22">
        <f t="shared" si="57"/>
        <v>1.4684191373962465</v>
      </c>
      <c r="X107" s="22">
        <f t="shared" si="58"/>
        <v>31.484534474691987</v>
      </c>
      <c r="Y107" s="22">
        <f t="shared" si="59"/>
        <v>11.809960318147949</v>
      </c>
      <c r="Z107" s="22">
        <f t="shared" si="60"/>
        <v>35.360879585506588</v>
      </c>
      <c r="AA107" s="22">
        <f t="shared" si="61"/>
        <v>38.956505917621165</v>
      </c>
      <c r="AB107" s="24"/>
      <c r="AC107" s="19">
        <f t="shared" si="64"/>
        <v>8.3578463396192322E-4</v>
      </c>
      <c r="AD107" s="19">
        <f t="shared" si="65"/>
        <v>8.1231378815105294E-4</v>
      </c>
      <c r="AE107" s="19">
        <f t="shared" si="66"/>
        <v>8.2955758518678117E-4</v>
      </c>
      <c r="AF107" s="19">
        <f t="shared" si="67"/>
        <v>8.0135893985551639E-4</v>
      </c>
      <c r="AG107" s="19">
        <f t="shared" si="68"/>
        <v>8.4585969276988532E-4</v>
      </c>
      <c r="AH107" s="19">
        <f t="shared" si="69"/>
        <v>7.2477428167708473E-4</v>
      </c>
      <c r="AI107" s="19">
        <f t="shared" si="70"/>
        <v>7.8563263635484369E-4</v>
      </c>
      <c r="AJ107" s="19">
        <f t="shared" si="71"/>
        <v>5.1568142290854514E-4</v>
      </c>
      <c r="AK107" s="19">
        <f t="shared" si="72"/>
        <v>8.4045010148258012E-4</v>
      </c>
      <c r="AL107" s="19">
        <f t="shared" si="73"/>
        <v>7.9941842529782298E-4</v>
      </c>
      <c r="AM107" s="19">
        <f t="shared" si="74"/>
        <v>8.4329829043794944E-4</v>
      </c>
      <c r="AN107" s="19">
        <f t="shared" si="75"/>
        <v>8.4544618138190258E-4</v>
      </c>
      <c r="AO107" s="24"/>
    </row>
    <row r="108" spans="1:41">
      <c r="A108" s="12" t="s">
        <v>398</v>
      </c>
      <c r="B108" s="12">
        <v>101.67</v>
      </c>
      <c r="C108" s="19">
        <v>23673</v>
      </c>
      <c r="D108" s="19">
        <v>43487</v>
      </c>
      <c r="E108" s="19">
        <v>13521</v>
      </c>
      <c r="F108" s="19">
        <v>11008</v>
      </c>
      <c r="G108" s="19">
        <v>10318</v>
      </c>
      <c r="H108" s="19">
        <v>10471</v>
      </c>
      <c r="I108" s="19">
        <v>45396</v>
      </c>
      <c r="J108" s="19">
        <v>29821</v>
      </c>
      <c r="K108" s="19">
        <v>11858</v>
      </c>
      <c r="L108" s="19">
        <v>45166</v>
      </c>
      <c r="M108" s="19">
        <v>11745</v>
      </c>
      <c r="N108" s="19">
        <v>19872</v>
      </c>
      <c r="O108" s="24"/>
      <c r="P108" s="22">
        <f t="shared" si="62"/>
        <v>231.84154617881381</v>
      </c>
      <c r="Q108" s="22">
        <f t="shared" si="63"/>
        <v>426.72695977181075</v>
      </c>
      <c r="R108" s="22">
        <f t="shared" si="52"/>
        <v>131.98908232516968</v>
      </c>
      <c r="S108" s="22">
        <f t="shared" si="53"/>
        <v>107.27185993901838</v>
      </c>
      <c r="T108" s="22">
        <f t="shared" si="54"/>
        <v>100.48519720664896</v>
      </c>
      <c r="U108" s="22">
        <f t="shared" si="55"/>
        <v>101.99006589947871</v>
      </c>
      <c r="V108" s="22">
        <f t="shared" si="56"/>
        <v>445.50339333136617</v>
      </c>
      <c r="W108" s="22">
        <f t="shared" si="57"/>
        <v>292.3116946985345</v>
      </c>
      <c r="X108" s="22">
        <f t="shared" si="58"/>
        <v>115.63224156585029</v>
      </c>
      <c r="Y108" s="22">
        <f t="shared" si="59"/>
        <v>443.24117242057639</v>
      </c>
      <c r="Z108" s="22">
        <f t="shared" si="60"/>
        <v>114.52080259663617</v>
      </c>
      <c r="AA108" s="22">
        <f t="shared" si="61"/>
        <v>194.4558866922396</v>
      </c>
      <c r="AB108" s="24"/>
      <c r="AC108" s="19">
        <f t="shared" si="64"/>
        <v>9.8903621438137974E-3</v>
      </c>
      <c r="AD108" s="19">
        <f t="shared" si="65"/>
        <v>9.9099919634311126E-3</v>
      </c>
      <c r="AE108" s="19">
        <f t="shared" si="66"/>
        <v>9.8580158860675001E-3</v>
      </c>
      <c r="AF108" s="19">
        <f t="shared" si="67"/>
        <v>9.8407976568818719E-3</v>
      </c>
      <c r="AG108" s="19">
        <f t="shared" si="68"/>
        <v>9.8346025570892701E-3</v>
      </c>
      <c r="AH108" s="19">
        <f t="shared" si="69"/>
        <v>9.8360466956506996E-3</v>
      </c>
      <c r="AI108" s="19">
        <f t="shared" si="70"/>
        <v>9.9109782307782897E-3</v>
      </c>
      <c r="AJ108" s="19">
        <f t="shared" si="71"/>
        <v>9.8992441410292505E-3</v>
      </c>
      <c r="AK108" s="19">
        <f t="shared" si="72"/>
        <v>9.8474382632749279E-3</v>
      </c>
      <c r="AL108" s="19">
        <f t="shared" si="73"/>
        <v>9.9108638205754086E-3</v>
      </c>
      <c r="AM108" s="19">
        <f t="shared" si="74"/>
        <v>9.8466108449086296E-3</v>
      </c>
      <c r="AN108" s="19">
        <f t="shared" si="75"/>
        <v>9.8821217511961094E-3</v>
      </c>
      <c r="AO108" s="24"/>
    </row>
    <row r="109" spans="1:41">
      <c r="A109" s="12" t="s">
        <v>396</v>
      </c>
      <c r="B109" s="12">
        <v>770.23</v>
      </c>
      <c r="C109" s="19">
        <v>48152</v>
      </c>
      <c r="D109" s="19">
        <v>49490</v>
      </c>
      <c r="E109" s="19">
        <v>2036</v>
      </c>
      <c r="F109" s="19">
        <v>17368</v>
      </c>
      <c r="G109" s="19">
        <v>1237</v>
      </c>
      <c r="H109" s="19">
        <v>28347</v>
      </c>
      <c r="I109" s="19">
        <v>14224</v>
      </c>
      <c r="J109" s="19">
        <v>28663</v>
      </c>
      <c r="K109" s="19">
        <v>40070</v>
      </c>
      <c r="L109" s="19">
        <v>28887</v>
      </c>
      <c r="M109" s="19">
        <v>15910</v>
      </c>
      <c r="N109" s="19">
        <v>19445</v>
      </c>
      <c r="O109" s="24"/>
      <c r="P109" s="22">
        <f t="shared" si="62"/>
        <v>61.516391207821037</v>
      </c>
      <c r="Q109" s="22">
        <f t="shared" si="63"/>
        <v>63.253534658478628</v>
      </c>
      <c r="R109" s="22">
        <f t="shared" si="52"/>
        <v>1.6433662672188827</v>
      </c>
      <c r="S109" s="22">
        <f t="shared" si="53"/>
        <v>21.549108707788584</v>
      </c>
      <c r="T109" s="22">
        <f t="shared" si="54"/>
        <v>0.60601378808927198</v>
      </c>
      <c r="U109" s="22">
        <f t="shared" si="55"/>
        <v>35.803292523012608</v>
      </c>
      <c r="V109" s="22">
        <f t="shared" si="56"/>
        <v>17.467211092790464</v>
      </c>
      <c r="W109" s="22">
        <f t="shared" si="57"/>
        <v>36.213559586097659</v>
      </c>
      <c r="X109" s="22">
        <f t="shared" si="58"/>
        <v>51.023421575373582</v>
      </c>
      <c r="Y109" s="22">
        <f t="shared" si="59"/>
        <v>36.504381808031368</v>
      </c>
      <c r="Z109" s="22">
        <f t="shared" si="60"/>
        <v>19.656167638237928</v>
      </c>
      <c r="AA109" s="22">
        <f t="shared" si="61"/>
        <v>24.24570582812926</v>
      </c>
      <c r="AB109" s="24"/>
      <c r="AC109" s="19">
        <f t="shared" si="64"/>
        <v>1.2791801327731763E-3</v>
      </c>
      <c r="AD109" s="19">
        <f t="shared" si="65"/>
        <v>1.2797430375643393E-3</v>
      </c>
      <c r="AE109" s="19">
        <f t="shared" si="66"/>
        <v>8.0780637965306918E-4</v>
      </c>
      <c r="AF109" s="19">
        <f t="shared" si="67"/>
        <v>1.2422776764442389E-3</v>
      </c>
      <c r="AG109" s="19">
        <f t="shared" si="68"/>
        <v>4.9014617900721878E-4</v>
      </c>
      <c r="AH109" s="19">
        <f t="shared" si="69"/>
        <v>1.2646336674831183E-3</v>
      </c>
      <c r="AI109" s="19">
        <f t="shared" si="70"/>
        <v>1.2295196408816421E-3</v>
      </c>
      <c r="AJ109" s="19">
        <f t="shared" si="71"/>
        <v>1.2650235701962382E-3</v>
      </c>
      <c r="AK109" s="19">
        <f t="shared" si="72"/>
        <v>1.2749806701174305E-3</v>
      </c>
      <c r="AL109" s="19">
        <f t="shared" si="73"/>
        <v>1.2652947904649916E-3</v>
      </c>
      <c r="AM109" s="19">
        <f t="shared" si="74"/>
        <v>1.2369881889029242E-3</v>
      </c>
      <c r="AN109" s="19">
        <f t="shared" si="75"/>
        <v>1.2484430553454532E-3</v>
      </c>
      <c r="AO109" s="24"/>
    </row>
    <row r="110" spans="1:41">
      <c r="A110" s="12" t="s">
        <v>398</v>
      </c>
      <c r="B110" s="12">
        <v>2501.09</v>
      </c>
      <c r="C110" s="19">
        <v>7953</v>
      </c>
      <c r="D110" s="19">
        <v>6483</v>
      </c>
      <c r="E110" s="19">
        <v>3968</v>
      </c>
      <c r="F110" s="19">
        <v>24978</v>
      </c>
      <c r="G110" s="19">
        <v>25254</v>
      </c>
      <c r="H110" s="19">
        <v>3919</v>
      </c>
      <c r="I110" s="19">
        <v>49415</v>
      </c>
      <c r="J110" s="19">
        <v>13663</v>
      </c>
      <c r="K110" s="19">
        <v>30642</v>
      </c>
      <c r="L110" s="19">
        <v>33442</v>
      </c>
      <c r="M110" s="19">
        <v>28992</v>
      </c>
      <c r="N110" s="19">
        <v>40594</v>
      </c>
      <c r="O110" s="24"/>
      <c r="P110" s="22">
        <f t="shared" si="62"/>
        <v>2.1798136012698461</v>
      </c>
      <c r="Q110" s="22">
        <f t="shared" si="63"/>
        <v>1.5920698575421115</v>
      </c>
      <c r="R110" s="22">
        <f t="shared" si="52"/>
        <v>0.58650828238887831</v>
      </c>
      <c r="S110" s="22">
        <f t="shared" si="53"/>
        <v>8.9868457352594255</v>
      </c>
      <c r="T110" s="22">
        <f t="shared" si="54"/>
        <v>9.0971976218368784</v>
      </c>
      <c r="U110" s="22">
        <f t="shared" si="55"/>
        <v>0.56691682426462053</v>
      </c>
      <c r="V110" s="22">
        <f t="shared" si="56"/>
        <v>18.757385779800007</v>
      </c>
      <c r="W110" s="22">
        <f t="shared" si="57"/>
        <v>4.46281821125989</v>
      </c>
      <c r="X110" s="22">
        <f t="shared" si="58"/>
        <v>11.251458364153228</v>
      </c>
      <c r="Y110" s="22">
        <f t="shared" si="59"/>
        <v>12.370970256967961</v>
      </c>
      <c r="Z110" s="22">
        <f t="shared" si="60"/>
        <v>10.591745998744546</v>
      </c>
      <c r="AA110" s="22">
        <f t="shared" si="61"/>
        <v>15.230523491757594</v>
      </c>
      <c r="AB110" s="24"/>
      <c r="AC110" s="19">
        <f t="shared" si="64"/>
        <v>2.7416210531321019E-4</v>
      </c>
      <c r="AD110" s="19">
        <f t="shared" si="65"/>
        <v>2.4563642262632877E-4</v>
      </c>
      <c r="AE110" s="19">
        <f t="shared" si="66"/>
        <v>1.4783139786495042E-4</v>
      </c>
      <c r="AF110" s="19">
        <f t="shared" si="67"/>
        <v>3.5991994075762907E-4</v>
      </c>
      <c r="AG110" s="19">
        <f t="shared" si="68"/>
        <v>3.6035779947546039E-4</v>
      </c>
      <c r="AH110" s="19">
        <f t="shared" si="69"/>
        <v>1.4467947065339618E-4</v>
      </c>
      <c r="AI110" s="19">
        <f t="shared" si="70"/>
        <v>3.797330482460649E-4</v>
      </c>
      <c r="AJ110" s="19">
        <f t="shared" si="71"/>
        <v>3.267420333423607E-4</v>
      </c>
      <c r="AK110" s="19">
        <f t="shared" si="72"/>
        <v>3.6732560906434643E-4</v>
      </c>
      <c r="AL110" s="19">
        <f t="shared" si="73"/>
        <v>3.7006005199642671E-4</v>
      </c>
      <c r="AM110" s="19">
        <f t="shared" si="74"/>
        <v>3.654669195477145E-4</v>
      </c>
      <c r="AN110" s="19">
        <f t="shared" si="75"/>
        <v>3.7533231510568132E-4</v>
      </c>
      <c r="AO110" s="24"/>
    </row>
    <row r="111" spans="1:41">
      <c r="A111" s="12" t="s">
        <v>395</v>
      </c>
      <c r="B111" s="12">
        <v>2600.6</v>
      </c>
      <c r="C111" s="19">
        <v>34207</v>
      </c>
      <c r="D111" s="19">
        <v>31168</v>
      </c>
      <c r="E111" s="19">
        <v>41419</v>
      </c>
      <c r="F111" s="19">
        <v>25051</v>
      </c>
      <c r="G111" s="19">
        <v>6322</v>
      </c>
      <c r="H111" s="19">
        <v>46859</v>
      </c>
      <c r="I111" s="19">
        <v>25818</v>
      </c>
      <c r="J111" s="19">
        <v>6815</v>
      </c>
      <c r="K111" s="19">
        <v>3377</v>
      </c>
      <c r="L111" s="19">
        <v>13893</v>
      </c>
      <c r="M111" s="19">
        <v>39683</v>
      </c>
      <c r="N111" s="19">
        <v>21106</v>
      </c>
      <c r="O111" s="24"/>
      <c r="P111" s="22">
        <f t="shared" si="62"/>
        <v>12.153503037760517</v>
      </c>
      <c r="Q111" s="22">
        <f t="shared" si="63"/>
        <v>10.984926555410292</v>
      </c>
      <c r="R111" s="22">
        <f t="shared" si="52"/>
        <v>14.926709220949013</v>
      </c>
      <c r="S111" s="22">
        <f t="shared" si="53"/>
        <v>8.6327770514496667</v>
      </c>
      <c r="T111" s="22">
        <f t="shared" si="54"/>
        <v>1.4309774667384452</v>
      </c>
      <c r="U111" s="22">
        <f t="shared" si="55"/>
        <v>17.018534184418982</v>
      </c>
      <c r="V111" s="22">
        <f t="shared" si="56"/>
        <v>8.9277089902330236</v>
      </c>
      <c r="W111" s="22">
        <f t="shared" si="57"/>
        <v>1.6205491040529107</v>
      </c>
      <c r="X111" s="22">
        <f t="shared" si="58"/>
        <v>0.29854648927170657</v>
      </c>
      <c r="Y111" s="22">
        <f t="shared" si="59"/>
        <v>4.3422287164500499</v>
      </c>
      <c r="Z111" s="22">
        <f t="shared" si="60"/>
        <v>14.259170960547568</v>
      </c>
      <c r="AA111" s="22">
        <f t="shared" si="61"/>
        <v>7.1158194262862429</v>
      </c>
      <c r="AB111" s="24"/>
      <c r="AC111" s="19">
        <f t="shared" si="64"/>
        <v>3.5541914302320953E-4</v>
      </c>
      <c r="AD111" s="19">
        <f t="shared" si="65"/>
        <v>3.5256671826605255E-4</v>
      </c>
      <c r="AE111" s="19">
        <f t="shared" si="66"/>
        <v>3.6051306150772575E-4</v>
      </c>
      <c r="AF111" s="19">
        <f t="shared" si="67"/>
        <v>3.447268772394123E-4</v>
      </c>
      <c r="AG111" s="19">
        <f t="shared" si="68"/>
        <v>2.2640010126254653E-4</v>
      </c>
      <c r="AH111" s="19">
        <f t="shared" si="69"/>
        <v>3.6331798211480007E-4</v>
      </c>
      <c r="AI111" s="19">
        <f t="shared" si="70"/>
        <v>3.4591359540431319E-4</v>
      </c>
      <c r="AJ111" s="19">
        <f t="shared" si="71"/>
        <v>2.3784806287866609E-4</v>
      </c>
      <c r="AK111" s="19">
        <f t="shared" si="72"/>
        <v>8.8413646685083842E-5</v>
      </c>
      <c r="AL111" s="19">
        <f t="shared" si="73"/>
        <v>3.126456701545432E-4</v>
      </c>
      <c r="AM111" s="19">
        <f t="shared" si="74"/>
        <v>3.5945610227459398E-4</v>
      </c>
      <c r="AN111" s="19">
        <f t="shared" si="75"/>
        <v>3.3726046199343383E-4</v>
      </c>
      <c r="AO111" s="24"/>
    </row>
    <row r="112" spans="1:41">
      <c r="A112" s="12" t="s">
        <v>398</v>
      </c>
      <c r="B112" s="12">
        <v>2317.13</v>
      </c>
      <c r="C112" s="19">
        <v>42312</v>
      </c>
      <c r="D112" s="19">
        <v>27541</v>
      </c>
      <c r="E112" s="19">
        <v>5999</v>
      </c>
      <c r="F112" s="19">
        <v>26784</v>
      </c>
      <c r="G112" s="19">
        <v>28747</v>
      </c>
      <c r="H112" s="19">
        <v>48412</v>
      </c>
      <c r="I112" s="19">
        <v>49971</v>
      </c>
      <c r="J112" s="19">
        <v>6002</v>
      </c>
      <c r="K112" s="19">
        <v>38012</v>
      </c>
      <c r="L112" s="19">
        <v>9096</v>
      </c>
      <c r="M112" s="19">
        <v>46978</v>
      </c>
      <c r="N112" s="19">
        <v>28482</v>
      </c>
      <c r="O112" s="24"/>
      <c r="P112" s="22">
        <f t="shared" si="62"/>
        <v>17.260520557758952</v>
      </c>
      <c r="Q112" s="22">
        <f t="shared" si="63"/>
        <v>10.885824273994121</v>
      </c>
      <c r="R112" s="22">
        <f t="shared" si="52"/>
        <v>1.5889786071562664</v>
      </c>
      <c r="S112" s="22">
        <f t="shared" si="53"/>
        <v>10.55912702351616</v>
      </c>
      <c r="T112" s="22">
        <f t="shared" si="54"/>
        <v>11.406295719273411</v>
      </c>
      <c r="U112" s="22">
        <f t="shared" si="55"/>
        <v>19.893087569536451</v>
      </c>
      <c r="V112" s="22">
        <f t="shared" si="56"/>
        <v>20.56590264680877</v>
      </c>
      <c r="W112" s="22">
        <f t="shared" si="57"/>
        <v>1.5902733122440258</v>
      </c>
      <c r="X112" s="22">
        <f t="shared" si="58"/>
        <v>15.404776598637108</v>
      </c>
      <c r="Y112" s="22">
        <f t="shared" si="59"/>
        <v>2.925545826086581</v>
      </c>
      <c r="Z112" s="22">
        <f t="shared" si="60"/>
        <v>19.274218537587448</v>
      </c>
      <c r="AA112" s="22">
        <f t="shared" si="61"/>
        <v>11.291930103187994</v>
      </c>
      <c r="AB112" s="24"/>
      <c r="AC112" s="19">
        <f t="shared" si="64"/>
        <v>4.0810088370797485E-4</v>
      </c>
      <c r="AD112" s="19">
        <f t="shared" si="65"/>
        <v>3.9541515173200503E-4</v>
      </c>
      <c r="AE112" s="19">
        <f t="shared" si="66"/>
        <v>2.6494409028968651E-4</v>
      </c>
      <c r="AF112" s="19">
        <f t="shared" si="67"/>
        <v>3.9438812043669417E-4</v>
      </c>
      <c r="AG112" s="19">
        <f t="shared" si="68"/>
        <v>3.9693962256900299E-4</v>
      </c>
      <c r="AH112" s="19">
        <f t="shared" si="69"/>
        <v>4.1108124524387099E-4</v>
      </c>
      <c r="AI112" s="19">
        <f t="shared" si="70"/>
        <v>4.1172620455561822E-4</v>
      </c>
      <c r="AJ112" s="19">
        <f t="shared" si="71"/>
        <v>2.6502745390386223E-4</v>
      </c>
      <c r="AK112" s="19">
        <f t="shared" si="72"/>
        <v>4.0542518370566022E-4</v>
      </c>
      <c r="AL112" s="19">
        <f t="shared" si="73"/>
        <v>3.2173340720241148E-4</v>
      </c>
      <c r="AM112" s="19">
        <f t="shared" si="74"/>
        <v>4.1045020316961425E-4</v>
      </c>
      <c r="AN112" s="19">
        <f t="shared" si="75"/>
        <v>3.9661571027548102E-4</v>
      </c>
      <c r="AO112" s="24"/>
    </row>
    <row r="113" spans="1:41">
      <c r="A113" s="12" t="s">
        <v>396</v>
      </c>
      <c r="B113" s="12">
        <v>383.67</v>
      </c>
      <c r="C113" s="19">
        <v>20995</v>
      </c>
      <c r="D113" s="19">
        <v>37481</v>
      </c>
      <c r="E113" s="19">
        <v>10004</v>
      </c>
      <c r="F113" s="19">
        <v>28880</v>
      </c>
      <c r="G113" s="19">
        <v>7420</v>
      </c>
      <c r="H113" s="19">
        <v>38533</v>
      </c>
      <c r="I113" s="19">
        <v>31366</v>
      </c>
      <c r="J113" s="19">
        <v>28116</v>
      </c>
      <c r="K113" s="19">
        <v>30502</v>
      </c>
      <c r="L113" s="19">
        <v>9915</v>
      </c>
      <c r="M113" s="19">
        <v>29519</v>
      </c>
      <c r="N113" s="19">
        <v>41078</v>
      </c>
      <c r="O113" s="24"/>
      <c r="P113" s="22">
        <f t="shared" si="62"/>
        <v>53.721505460421717</v>
      </c>
      <c r="Q113" s="22">
        <f t="shared" si="63"/>
        <v>96.69072379909818</v>
      </c>
      <c r="R113" s="22">
        <f t="shared" si="52"/>
        <v>25.074491099121641</v>
      </c>
      <c r="S113" s="22">
        <f t="shared" si="53"/>
        <v>74.273021085828972</v>
      </c>
      <c r="T113" s="22">
        <f t="shared" si="54"/>
        <v>18.33953658091589</v>
      </c>
      <c r="U113" s="22">
        <f t="shared" si="55"/>
        <v>99.432663486850686</v>
      </c>
      <c r="V113" s="22">
        <f t="shared" si="56"/>
        <v>80.752547762399985</v>
      </c>
      <c r="W113" s="22">
        <f t="shared" si="57"/>
        <v>72.281726483696929</v>
      </c>
      <c r="X113" s="22">
        <f t="shared" si="58"/>
        <v>78.500612505538612</v>
      </c>
      <c r="Y113" s="22">
        <f t="shared" si="59"/>
        <v>24.842520916412539</v>
      </c>
      <c r="Z113" s="22">
        <f t="shared" si="60"/>
        <v>75.938514869549351</v>
      </c>
      <c r="AA113" s="22">
        <f t="shared" si="61"/>
        <v>106.06596814971199</v>
      </c>
      <c r="AB113" s="24"/>
      <c r="AC113" s="19">
        <f t="shared" si="64"/>
        <v>2.5653402906813715E-3</v>
      </c>
      <c r="AD113" s="19">
        <f t="shared" si="65"/>
        <v>2.5863985632242812E-3</v>
      </c>
      <c r="AE113" s="19">
        <f t="shared" si="66"/>
        <v>2.5127445912644609E-3</v>
      </c>
      <c r="AF113" s="19">
        <f t="shared" si="67"/>
        <v>2.5784116172522537E-3</v>
      </c>
      <c r="AG113" s="19">
        <f t="shared" si="68"/>
        <v>2.4777597772222344E-3</v>
      </c>
      <c r="AH113" s="19">
        <f t="shared" si="69"/>
        <v>2.5871307395498098E-3</v>
      </c>
      <c r="AI113" s="19">
        <f t="shared" si="70"/>
        <v>2.5811701788736965E-3</v>
      </c>
      <c r="AJ113" s="19">
        <f t="shared" si="71"/>
        <v>2.5774658616492291E-3</v>
      </c>
      <c r="AK113" s="19">
        <f t="shared" si="72"/>
        <v>2.5802624315402118E-3</v>
      </c>
      <c r="AL113" s="19">
        <f t="shared" si="73"/>
        <v>2.5118428062395649E-3</v>
      </c>
      <c r="AM113" s="19">
        <f t="shared" si="74"/>
        <v>2.5791650405614366E-3</v>
      </c>
      <c r="AN113" s="19">
        <f t="shared" si="75"/>
        <v>2.5887469228877422E-3</v>
      </c>
      <c r="AO113" s="24"/>
    </row>
    <row r="114" spans="1:41">
      <c r="A114" s="12" t="s">
        <v>399</v>
      </c>
      <c r="B114" s="12">
        <v>2396.7600000000002</v>
      </c>
      <c r="C114" s="19">
        <v>25087</v>
      </c>
      <c r="D114" s="19">
        <v>21098</v>
      </c>
      <c r="E114" s="19">
        <v>26295</v>
      </c>
      <c r="F114" s="19">
        <v>43483</v>
      </c>
      <c r="G114" s="19">
        <v>15915</v>
      </c>
      <c r="H114" s="19">
        <v>36078</v>
      </c>
      <c r="I114" s="19">
        <v>46789</v>
      </c>
      <c r="J114" s="19">
        <v>29774</v>
      </c>
      <c r="K114" s="19">
        <v>3041</v>
      </c>
      <c r="L114" s="19">
        <v>7794</v>
      </c>
      <c r="M114" s="19">
        <v>23379</v>
      </c>
      <c r="N114" s="19">
        <v>44970</v>
      </c>
      <c r="O114" s="24"/>
      <c r="P114" s="22">
        <f t="shared" si="62"/>
        <v>9.4670471803601508</v>
      </c>
      <c r="Q114" s="22">
        <f t="shared" si="63"/>
        <v>7.8027170012850666</v>
      </c>
      <c r="R114" s="22">
        <f t="shared" si="52"/>
        <v>9.9710609322585473</v>
      </c>
      <c r="S114" s="22">
        <f t="shared" si="53"/>
        <v>17.14240891870692</v>
      </c>
      <c r="T114" s="22">
        <f t="shared" si="54"/>
        <v>5.640214289290542</v>
      </c>
      <c r="U114" s="22">
        <f t="shared" si="55"/>
        <v>14.052821308766832</v>
      </c>
      <c r="V114" s="22">
        <f t="shared" si="56"/>
        <v>18.521771057594417</v>
      </c>
      <c r="W114" s="22">
        <f t="shared" si="57"/>
        <v>11.422603848528846</v>
      </c>
      <c r="X114" s="22">
        <f t="shared" si="58"/>
        <v>0.26879620821442268</v>
      </c>
      <c r="Y114" s="22">
        <f t="shared" si="59"/>
        <v>2.2518900515696187</v>
      </c>
      <c r="Z114" s="22">
        <f t="shared" si="60"/>
        <v>8.7544184649276513</v>
      </c>
      <c r="AA114" s="22">
        <f t="shared" si="61"/>
        <v>17.762829820257345</v>
      </c>
      <c r="AB114" s="24"/>
      <c r="AC114" s="19">
        <f t="shared" si="64"/>
        <v>3.7751110518611462E-4</v>
      </c>
      <c r="AD114" s="19">
        <f t="shared" si="65"/>
        <v>3.699688958137444E-4</v>
      </c>
      <c r="AE114" s="19">
        <f t="shared" si="66"/>
        <v>3.7934373043198153E-4</v>
      </c>
      <c r="AF114" s="19">
        <f t="shared" si="67"/>
        <v>3.9438791430229019E-4</v>
      </c>
      <c r="AG114" s="19">
        <f t="shared" si="68"/>
        <v>3.5452176361970306E-4</v>
      </c>
      <c r="AH114" s="19">
        <f t="shared" si="69"/>
        <v>3.8966398323337417E-4</v>
      </c>
      <c r="AI114" s="19">
        <f t="shared" si="70"/>
        <v>3.960141473630008E-4</v>
      </c>
      <c r="AJ114" s="19">
        <f t="shared" si="71"/>
        <v>3.8379081544214231E-4</v>
      </c>
      <c r="AK114" s="19">
        <f t="shared" si="72"/>
        <v>8.8398543047551971E-5</v>
      </c>
      <c r="AL114" s="19">
        <f t="shared" si="73"/>
        <v>2.8900960603364819E-4</v>
      </c>
      <c r="AM114" s="19">
        <f t="shared" si="74"/>
        <v>3.7459676811631593E-4</v>
      </c>
      <c r="AN114" s="19">
        <f t="shared" si="75"/>
        <v>3.951489611743014E-4</v>
      </c>
      <c r="AO114" s="24"/>
    </row>
    <row r="115" spans="1:41">
      <c r="A115" s="12" t="s">
        <v>398</v>
      </c>
      <c r="B115" s="12">
        <v>2760.1</v>
      </c>
      <c r="C115" s="19">
        <v>39709</v>
      </c>
      <c r="D115" s="19">
        <v>16723</v>
      </c>
      <c r="E115" s="19">
        <v>26733</v>
      </c>
      <c r="F115" s="19">
        <v>34212</v>
      </c>
      <c r="G115" s="19">
        <v>6643</v>
      </c>
      <c r="H115" s="19">
        <v>38494</v>
      </c>
      <c r="I115" s="19">
        <v>13486</v>
      </c>
      <c r="J115" s="19">
        <v>9146</v>
      </c>
      <c r="K115" s="19">
        <v>28675</v>
      </c>
      <c r="L115" s="19">
        <v>49295</v>
      </c>
      <c r="M115" s="19">
        <v>9996</v>
      </c>
      <c r="N115" s="19">
        <v>39416</v>
      </c>
      <c r="O115" s="24"/>
      <c r="P115" s="22">
        <f t="shared" si="62"/>
        <v>13.386797579797834</v>
      </c>
      <c r="Q115" s="22">
        <f t="shared" si="63"/>
        <v>5.058838447882323</v>
      </c>
      <c r="R115" s="22">
        <f t="shared" si="52"/>
        <v>8.6855186406289633</v>
      </c>
      <c r="S115" s="22">
        <f t="shared" si="53"/>
        <v>11.395203072352452</v>
      </c>
      <c r="T115" s="22">
        <f t="shared" si="54"/>
        <v>1.4067968551864063</v>
      </c>
      <c r="U115" s="22">
        <f t="shared" si="55"/>
        <v>12.946596137821095</v>
      </c>
      <c r="V115" s="22">
        <f t="shared" si="56"/>
        <v>3.886054853085033</v>
      </c>
      <c r="W115" s="22">
        <f t="shared" si="57"/>
        <v>2.3136480562298467</v>
      </c>
      <c r="X115" s="22">
        <f t="shared" si="58"/>
        <v>9.3891163363646246</v>
      </c>
      <c r="Y115" s="22">
        <f t="shared" si="59"/>
        <v>16.859860149994567</v>
      </c>
      <c r="Z115" s="22">
        <f t="shared" si="60"/>
        <v>2.621607912756784</v>
      </c>
      <c r="AA115" s="22">
        <f t="shared" si="61"/>
        <v>13.280642005724431</v>
      </c>
      <c r="AB115" s="24"/>
      <c r="AC115" s="19">
        <f t="shared" si="64"/>
        <v>3.3723619563538206E-4</v>
      </c>
      <c r="AD115" s="19">
        <f t="shared" si="65"/>
        <v>3.0259936908479069E-4</v>
      </c>
      <c r="AE115" s="19">
        <f t="shared" si="66"/>
        <v>3.2500435686338178E-4</v>
      </c>
      <c r="AF115" s="19">
        <f t="shared" si="67"/>
        <v>3.3318718016870041E-4</v>
      </c>
      <c r="AG115" s="19">
        <f t="shared" si="68"/>
        <v>2.118161730411739E-4</v>
      </c>
      <c r="AH115" s="19">
        <f t="shared" si="69"/>
        <v>3.3644079339370943E-4</v>
      </c>
      <c r="AI115" s="19">
        <f t="shared" si="70"/>
        <v>2.8823779927211453E-4</v>
      </c>
      <c r="AJ115" s="19">
        <f t="shared" si="71"/>
        <v>2.5303230744982958E-4</v>
      </c>
      <c r="AK115" s="19">
        <f t="shared" si="72"/>
        <v>3.2753937721646212E-4</v>
      </c>
      <c r="AL115" s="19">
        <f t="shared" si="73"/>
        <v>3.4213669797899735E-4</v>
      </c>
      <c r="AM115" s="19">
        <f t="shared" si="74"/>
        <v>2.6233449889504564E-4</v>
      </c>
      <c r="AN115" s="19">
        <f t="shared" si="75"/>
        <v>3.3704886926871382E-4</v>
      </c>
      <c r="AO115" s="24"/>
    </row>
    <row r="116" spans="1:41">
      <c r="A116" s="12" t="s">
        <v>399</v>
      </c>
      <c r="B116" s="12">
        <v>1821.8</v>
      </c>
      <c r="C116" s="19">
        <v>43287</v>
      </c>
      <c r="D116" s="19">
        <v>46440</v>
      </c>
      <c r="E116" s="19">
        <v>34135</v>
      </c>
      <c r="F116" s="19">
        <v>15805</v>
      </c>
      <c r="G116" s="19">
        <v>37547</v>
      </c>
      <c r="H116" s="19">
        <v>22810</v>
      </c>
      <c r="I116" s="19">
        <v>16451</v>
      </c>
      <c r="J116" s="19">
        <v>44820</v>
      </c>
      <c r="K116" s="19">
        <v>19910</v>
      </c>
      <c r="L116" s="19">
        <v>19245</v>
      </c>
      <c r="M116" s="19">
        <v>30939</v>
      </c>
      <c r="N116" s="19">
        <v>42587</v>
      </c>
      <c r="O116" s="24"/>
      <c r="P116" s="22">
        <f t="shared" si="62"/>
        <v>22.760566472719287</v>
      </c>
      <c r="Q116" s="22">
        <f t="shared" si="63"/>
        <v>24.491272367987705</v>
      </c>
      <c r="R116" s="22">
        <f t="shared" si="52"/>
        <v>17.73696344274893</v>
      </c>
      <c r="S116" s="22">
        <f t="shared" si="53"/>
        <v>7.6754857832912506</v>
      </c>
      <c r="T116" s="22">
        <f t="shared" si="54"/>
        <v>19.609836425513226</v>
      </c>
      <c r="U116" s="22">
        <f t="shared" si="55"/>
        <v>11.520584037764849</v>
      </c>
      <c r="V116" s="22">
        <f t="shared" si="56"/>
        <v>8.030080140520365</v>
      </c>
      <c r="W116" s="22">
        <f t="shared" si="57"/>
        <v>23.602041936546271</v>
      </c>
      <c r="X116" s="22">
        <f t="shared" si="58"/>
        <v>9.9287517839499397</v>
      </c>
      <c r="Y116" s="22">
        <f t="shared" si="59"/>
        <v>9.5637281809199699</v>
      </c>
      <c r="Z116" s="22">
        <f t="shared" si="60"/>
        <v>15.982654517510156</v>
      </c>
      <c r="AA116" s="22">
        <f t="shared" si="61"/>
        <v>22.376331101108793</v>
      </c>
      <c r="AB116" s="24"/>
      <c r="AC116" s="19">
        <f t="shared" si="64"/>
        <v>5.2608266713412191E-4</v>
      </c>
      <c r="AD116" s="19">
        <f t="shared" si="65"/>
        <v>5.2765278329067623E-4</v>
      </c>
      <c r="AE116" s="19">
        <f t="shared" si="66"/>
        <v>5.1988236640622258E-4</v>
      </c>
      <c r="AF116" s="19">
        <f t="shared" si="67"/>
        <v>4.8587251444912348E-4</v>
      </c>
      <c r="AG116" s="19">
        <f t="shared" si="68"/>
        <v>5.2254730051937582E-4</v>
      </c>
      <c r="AH116" s="19">
        <f t="shared" si="69"/>
        <v>5.0532247469534184E-4</v>
      </c>
      <c r="AI116" s="19">
        <f t="shared" si="70"/>
        <v>4.8835947396715725E-4</v>
      </c>
      <c r="AJ116" s="19">
        <f t="shared" si="71"/>
        <v>5.268736553024092E-4</v>
      </c>
      <c r="AK116" s="19">
        <f t="shared" si="72"/>
        <v>4.9893046412283616E-4</v>
      </c>
      <c r="AL116" s="19">
        <f t="shared" si="73"/>
        <v>4.9719320351113291E-4</v>
      </c>
      <c r="AM116" s="19">
        <f t="shared" si="74"/>
        <v>5.1685300754924699E-4</v>
      </c>
      <c r="AN116" s="19">
        <f t="shared" si="75"/>
        <v>5.2570254761722995E-4</v>
      </c>
      <c r="AO116" s="24"/>
    </row>
    <row r="117" spans="1:41">
      <c r="A117" s="12" t="s">
        <v>395</v>
      </c>
      <c r="B117" s="12">
        <v>2825.58</v>
      </c>
      <c r="C117" s="19">
        <v>24977</v>
      </c>
      <c r="D117" s="19">
        <v>10612</v>
      </c>
      <c r="E117" s="19">
        <v>37697</v>
      </c>
      <c r="F117" s="19">
        <v>44410</v>
      </c>
      <c r="G117" s="19">
        <v>43029</v>
      </c>
      <c r="H117" s="19">
        <v>34314</v>
      </c>
      <c r="I117" s="19">
        <v>46963</v>
      </c>
      <c r="J117" s="19">
        <v>49383</v>
      </c>
      <c r="K117" s="19">
        <v>45656</v>
      </c>
      <c r="L117" s="19">
        <v>44449</v>
      </c>
      <c r="M117" s="19">
        <v>49799</v>
      </c>
      <c r="N117" s="19">
        <v>30173</v>
      </c>
      <c r="O117" s="24"/>
      <c r="P117" s="22">
        <f t="shared" si="62"/>
        <v>7.8396010730540278</v>
      </c>
      <c r="Q117" s="22">
        <f t="shared" si="63"/>
        <v>2.7556890974596366</v>
      </c>
      <c r="R117" s="22">
        <f t="shared" si="52"/>
        <v>12.341331691192604</v>
      </c>
      <c r="S117" s="22">
        <f t="shared" si="53"/>
        <v>14.717127103108034</v>
      </c>
      <c r="T117" s="22">
        <f t="shared" si="54"/>
        <v>14.228377890556983</v>
      </c>
      <c r="U117" s="22">
        <f t="shared" si="55"/>
        <v>11.144055379780434</v>
      </c>
      <c r="V117" s="22">
        <f t="shared" si="56"/>
        <v>15.620658413493867</v>
      </c>
      <c r="W117" s="22">
        <f t="shared" si="57"/>
        <v>16.477119741787526</v>
      </c>
      <c r="X117" s="22">
        <f t="shared" si="58"/>
        <v>15.158098514287332</v>
      </c>
      <c r="Y117" s="22">
        <f t="shared" si="59"/>
        <v>14.730929579059874</v>
      </c>
      <c r="Z117" s="22">
        <f t="shared" si="60"/>
        <v>16.624346151940486</v>
      </c>
      <c r="AA117" s="22">
        <f t="shared" si="61"/>
        <v>9.6785155614068614</v>
      </c>
      <c r="AB117" s="24"/>
      <c r="AC117" s="19">
        <f t="shared" si="64"/>
        <v>3.1397135297312346E-4</v>
      </c>
      <c r="AD117" s="19">
        <f t="shared" si="65"/>
        <v>2.597441454550882E-4</v>
      </c>
      <c r="AE117" s="19">
        <f t="shared" si="66"/>
        <v>3.2748954421527341E-4</v>
      </c>
      <c r="AF117" s="19">
        <f t="shared" si="67"/>
        <v>3.3150204595481408E-4</v>
      </c>
      <c r="AG117" s="19">
        <f t="shared" si="68"/>
        <v>3.3077887790629686E-4</v>
      </c>
      <c r="AH117" s="19">
        <f t="shared" si="69"/>
        <v>3.2487252366892726E-4</v>
      </c>
      <c r="AI117" s="19">
        <f t="shared" si="70"/>
        <v>3.3272695159060594E-4</v>
      </c>
      <c r="AJ117" s="19">
        <f t="shared" si="71"/>
        <v>3.3377112221887447E-4</v>
      </c>
      <c r="AK117" s="19">
        <f t="shared" si="72"/>
        <v>3.3211697862641534E-4</v>
      </c>
      <c r="AL117" s="19">
        <f t="shared" si="73"/>
        <v>3.315218160945507E-4</v>
      </c>
      <c r="AM117" s="19">
        <f t="shared" si="74"/>
        <v>3.339403942378042E-4</v>
      </c>
      <c r="AN117" s="19">
        <f t="shared" si="75"/>
        <v>3.2087035131061592E-4</v>
      </c>
      <c r="AO117" s="24"/>
    </row>
    <row r="118" spans="1:41">
      <c r="A118" s="12" t="s">
        <v>397</v>
      </c>
      <c r="B118" s="12">
        <v>2489.17</v>
      </c>
      <c r="C118" s="19">
        <v>36593</v>
      </c>
      <c r="D118" s="19">
        <v>9700</v>
      </c>
      <c r="E118" s="19">
        <v>25808</v>
      </c>
      <c r="F118" s="19">
        <v>31756</v>
      </c>
      <c r="G118" s="19">
        <v>42412</v>
      </c>
      <c r="H118" s="19">
        <v>46506</v>
      </c>
      <c r="I118" s="19">
        <v>30583</v>
      </c>
      <c r="J118" s="19">
        <v>3671</v>
      </c>
      <c r="K118" s="19">
        <v>5688</v>
      </c>
      <c r="L118" s="19">
        <v>40076</v>
      </c>
      <c r="M118" s="19">
        <v>49492</v>
      </c>
      <c r="N118" s="19">
        <v>2141</v>
      </c>
      <c r="O118" s="24"/>
      <c r="P118" s="22">
        <f t="shared" si="62"/>
        <v>13.700884230486468</v>
      </c>
      <c r="Q118" s="22">
        <f t="shared" si="63"/>
        <v>2.8968812897471845</v>
      </c>
      <c r="R118" s="22">
        <f t="shared" si="52"/>
        <v>9.3681146727624078</v>
      </c>
      <c r="S118" s="22">
        <f t="shared" si="53"/>
        <v>11.757666210021815</v>
      </c>
      <c r="T118" s="22">
        <f t="shared" si="54"/>
        <v>16.03861126399563</v>
      </c>
      <c r="U118" s="22">
        <f t="shared" si="55"/>
        <v>17.68333621247243</v>
      </c>
      <c r="V118" s="22">
        <f t="shared" si="56"/>
        <v>11.28642479219981</v>
      </c>
      <c r="W118" s="22">
        <f t="shared" si="57"/>
        <v>0.47478878501669225</v>
      </c>
      <c r="X118" s="22">
        <f t="shared" si="58"/>
        <v>1.2850990490806171</v>
      </c>
      <c r="Y118" s="22">
        <f t="shared" si="59"/>
        <v>15.100145831743111</v>
      </c>
      <c r="Z118" s="22">
        <f t="shared" si="60"/>
        <v>18.882932865171924</v>
      </c>
      <c r="AA118" s="22">
        <f t="shared" si="61"/>
        <v>-0.13987393388157501</v>
      </c>
      <c r="AB118" s="24"/>
      <c r="AC118" s="19">
        <f t="shared" si="64"/>
        <v>3.7455294556422897E-4</v>
      </c>
      <c r="AD118" s="19">
        <f t="shared" si="65"/>
        <v>2.9873677265097285E-4</v>
      </c>
      <c r="AE118" s="19">
        <f t="shared" si="66"/>
        <v>3.6312447553044265E-4</v>
      </c>
      <c r="AF118" s="19">
        <f t="shared" si="67"/>
        <v>3.7038736304965877E-4</v>
      </c>
      <c r="AG118" s="19">
        <f t="shared" si="68"/>
        <v>3.7830516725248406E-4</v>
      </c>
      <c r="AH118" s="19">
        <f t="shared" si="69"/>
        <v>3.8038237306723169E-4</v>
      </c>
      <c r="AI118" s="19">
        <f t="shared" si="70"/>
        <v>3.6917867768303838E-4</v>
      </c>
      <c r="AJ118" s="19">
        <f t="shared" si="71"/>
        <v>1.2935172971050975E-4</v>
      </c>
      <c r="AK118" s="19">
        <f t="shared" si="72"/>
        <v>2.2598267566846473E-4</v>
      </c>
      <c r="AL118" s="19">
        <f t="shared" si="73"/>
        <v>3.7692977159053931E-4</v>
      </c>
      <c r="AM118" s="19">
        <f t="shared" si="74"/>
        <v>3.8168067800433629E-4</v>
      </c>
      <c r="AN118" s="19">
        <f t="shared" si="75"/>
        <v>-6.5326854907702455E-5</v>
      </c>
      <c r="AO118" s="24"/>
    </row>
    <row r="119" spans="1:41">
      <c r="A119" s="12" t="s">
        <v>395</v>
      </c>
      <c r="B119" s="12">
        <v>2017.57</v>
      </c>
      <c r="C119" s="19">
        <v>4868</v>
      </c>
      <c r="D119" s="19">
        <v>48055</v>
      </c>
      <c r="E119" s="19">
        <v>16235</v>
      </c>
      <c r="F119" s="19">
        <v>16299</v>
      </c>
      <c r="G119" s="19">
        <v>7332</v>
      </c>
      <c r="H119" s="19">
        <v>25251</v>
      </c>
      <c r="I119" s="19">
        <v>21552</v>
      </c>
      <c r="J119" s="19">
        <v>31994</v>
      </c>
      <c r="K119" s="19">
        <v>4826</v>
      </c>
      <c r="L119" s="19">
        <v>3424</v>
      </c>
      <c r="M119" s="19">
        <v>34495</v>
      </c>
      <c r="N119" s="19">
        <v>40828</v>
      </c>
      <c r="O119" s="24"/>
      <c r="P119" s="22">
        <f t="shared" si="62"/>
        <v>1.4128035210674228</v>
      </c>
      <c r="Q119" s="22">
        <f t="shared" si="63"/>
        <v>22.818256615631675</v>
      </c>
      <c r="R119" s="22">
        <f t="shared" si="52"/>
        <v>7.04680878482531</v>
      </c>
      <c r="S119" s="22">
        <f t="shared" si="53"/>
        <v>7.078530112957667</v>
      </c>
      <c r="T119" s="22">
        <f t="shared" si="54"/>
        <v>2.6340746541631765</v>
      </c>
      <c r="U119" s="22">
        <f t="shared" si="55"/>
        <v>11.515550885471136</v>
      </c>
      <c r="V119" s="22">
        <f t="shared" si="56"/>
        <v>9.6821572485713023</v>
      </c>
      <c r="W119" s="22">
        <f t="shared" si="57"/>
        <v>14.857690191666213</v>
      </c>
      <c r="X119" s="22">
        <f t="shared" si="58"/>
        <v>1.3919863994805635</v>
      </c>
      <c r="Y119" s="22">
        <f t="shared" si="59"/>
        <v>0.69709105508111247</v>
      </c>
      <c r="Z119" s="22">
        <f t="shared" si="60"/>
        <v>16.097300217588487</v>
      </c>
      <c r="AA119" s="22">
        <f t="shared" si="61"/>
        <v>19.236224765435647</v>
      </c>
      <c r="AB119" s="24"/>
      <c r="AC119" s="19">
        <f t="shared" si="64"/>
        <v>2.9030683393274301E-4</v>
      </c>
      <c r="AD119" s="19">
        <f t="shared" si="65"/>
        <v>4.7506183952958808E-4</v>
      </c>
      <c r="AE119" s="19">
        <f t="shared" si="66"/>
        <v>4.3423891490148144E-4</v>
      </c>
      <c r="AF119" s="19">
        <f t="shared" si="67"/>
        <v>4.3448098654545904E-4</v>
      </c>
      <c r="AG119" s="19">
        <f t="shared" si="68"/>
        <v>3.5938643001220971E-4</v>
      </c>
      <c r="AH119" s="19">
        <f t="shared" si="69"/>
        <v>4.5625143051902285E-4</v>
      </c>
      <c r="AI119" s="19">
        <f t="shared" si="70"/>
        <v>4.4944825896852877E-4</v>
      </c>
      <c r="AJ119" s="19">
        <f t="shared" si="71"/>
        <v>4.6460564976156995E-4</v>
      </c>
      <c r="AK119" s="19">
        <f t="shared" si="72"/>
        <v>2.8851802997395195E-4</v>
      </c>
      <c r="AL119" s="19">
        <f t="shared" si="73"/>
        <v>2.0363113449868795E-4</v>
      </c>
      <c r="AM119" s="19">
        <f t="shared" si="74"/>
        <v>4.6687391294764356E-4</v>
      </c>
      <c r="AN119" s="19">
        <f t="shared" si="75"/>
        <v>4.7137484662325039E-4</v>
      </c>
      <c r="AO119" s="24"/>
    </row>
    <row r="120" spans="1:41">
      <c r="A120" s="12" t="s">
        <v>398</v>
      </c>
      <c r="B120" s="12">
        <v>1752.7</v>
      </c>
      <c r="C120" s="19">
        <v>9496</v>
      </c>
      <c r="D120" s="19">
        <v>33867</v>
      </c>
      <c r="E120" s="19">
        <v>17668</v>
      </c>
      <c r="F120" s="19">
        <v>13816</v>
      </c>
      <c r="G120" s="19">
        <v>27975</v>
      </c>
      <c r="H120" s="19">
        <v>18185</v>
      </c>
      <c r="I120" s="19">
        <v>43756</v>
      </c>
      <c r="J120" s="19">
        <v>11025</v>
      </c>
      <c r="K120" s="19">
        <v>31495</v>
      </c>
      <c r="L120" s="19">
        <v>43266</v>
      </c>
      <c r="M120" s="19">
        <v>35960</v>
      </c>
      <c r="N120" s="19">
        <v>42242</v>
      </c>
      <c r="O120" s="24"/>
      <c r="P120" s="22">
        <f t="shared" si="62"/>
        <v>4.4179266274890168</v>
      </c>
      <c r="Q120" s="22">
        <f t="shared" si="63"/>
        <v>18.32275917156387</v>
      </c>
      <c r="R120" s="22">
        <f t="shared" si="52"/>
        <v>9.0804473098647787</v>
      </c>
      <c r="S120" s="22">
        <f t="shared" si="53"/>
        <v>6.8826952701546178</v>
      </c>
      <c r="T120" s="22">
        <f t="shared" si="54"/>
        <v>14.96108860615051</v>
      </c>
      <c r="U120" s="22">
        <f t="shared" si="55"/>
        <v>9.375420779368973</v>
      </c>
      <c r="V120" s="22">
        <f t="shared" si="56"/>
        <v>23.96491127973983</v>
      </c>
      <c r="W120" s="22">
        <f t="shared" si="57"/>
        <v>5.2902949734695035</v>
      </c>
      <c r="X120" s="22">
        <f t="shared" si="58"/>
        <v>16.969418611285445</v>
      </c>
      <c r="Y120" s="22">
        <f t="shared" si="59"/>
        <v>23.685342614252299</v>
      </c>
      <c r="Z120" s="22">
        <f t="shared" si="60"/>
        <v>19.516916757003482</v>
      </c>
      <c r="AA120" s="22">
        <f t="shared" si="61"/>
        <v>23.101101158213044</v>
      </c>
      <c r="AB120" s="24"/>
      <c r="AC120" s="19">
        <f t="shared" si="64"/>
        <v>4.6545734876833416E-4</v>
      </c>
      <c r="AD120" s="19">
        <f t="shared" si="65"/>
        <v>5.4131389067880239E-4</v>
      </c>
      <c r="AE120" s="19">
        <f t="shared" si="66"/>
        <v>5.1421307417879236E-4</v>
      </c>
      <c r="AF120" s="19">
        <f t="shared" si="67"/>
        <v>4.9841674295844987E-4</v>
      </c>
      <c r="AG120" s="19">
        <f t="shared" si="68"/>
        <v>5.3508826127040166E-4</v>
      </c>
      <c r="AH120" s="19">
        <f t="shared" si="69"/>
        <v>5.1582385730432985E-4</v>
      </c>
      <c r="AI120" s="19">
        <f t="shared" si="70"/>
        <v>5.4799442173504218E-4</v>
      </c>
      <c r="AJ120" s="19">
        <f t="shared" si="71"/>
        <v>4.8007571116473133E-4</v>
      </c>
      <c r="AK120" s="19">
        <f t="shared" si="72"/>
        <v>5.3908768426314956E-4</v>
      </c>
      <c r="AL120" s="19">
        <f t="shared" si="73"/>
        <v>5.4773530977502533E-4</v>
      </c>
      <c r="AM120" s="19">
        <f t="shared" si="74"/>
        <v>5.4303434686171792E-4</v>
      </c>
      <c r="AN120" s="19">
        <f t="shared" si="75"/>
        <v>5.471744114777657E-4</v>
      </c>
      <c r="AO120" s="24"/>
    </row>
    <row r="121" spans="1:41">
      <c r="A121" s="12" t="s">
        <v>399</v>
      </c>
      <c r="B121" s="12">
        <v>1078.29</v>
      </c>
      <c r="C121" s="19">
        <v>19113</v>
      </c>
      <c r="D121" s="19">
        <v>22652</v>
      </c>
      <c r="E121" s="19">
        <v>16161</v>
      </c>
      <c r="F121" s="19">
        <v>40542</v>
      </c>
      <c r="G121" s="19">
        <v>12747</v>
      </c>
      <c r="H121" s="19">
        <v>49505</v>
      </c>
      <c r="I121" s="19">
        <v>41779</v>
      </c>
      <c r="J121" s="19">
        <v>10043</v>
      </c>
      <c r="K121" s="19">
        <v>7469</v>
      </c>
      <c r="L121" s="19">
        <v>23843</v>
      </c>
      <c r="M121" s="19">
        <v>26589</v>
      </c>
      <c r="N121" s="19">
        <v>44905</v>
      </c>
      <c r="O121" s="24"/>
      <c r="P121" s="22">
        <f t="shared" si="62"/>
        <v>16.725287260384498</v>
      </c>
      <c r="Q121" s="22">
        <f t="shared" si="63"/>
        <v>20.007335688914857</v>
      </c>
      <c r="R121" s="22">
        <f t="shared" si="52"/>
        <v>13.987619286091867</v>
      </c>
      <c r="S121" s="22">
        <f t="shared" si="53"/>
        <v>36.598419720112403</v>
      </c>
      <c r="T121" s="22">
        <f t="shared" si="54"/>
        <v>10.821495145090838</v>
      </c>
      <c r="U121" s="22">
        <f t="shared" si="55"/>
        <v>44.910654833115395</v>
      </c>
      <c r="V121" s="22">
        <f t="shared" si="56"/>
        <v>37.74560646950264</v>
      </c>
      <c r="W121" s="22">
        <f t="shared" si="57"/>
        <v>8.3138209572563966</v>
      </c>
      <c r="X121" s="22">
        <f t="shared" si="58"/>
        <v>5.9267080284524569</v>
      </c>
      <c r="Y121" s="22">
        <f t="shared" si="59"/>
        <v>21.111862300494302</v>
      </c>
      <c r="Z121" s="22">
        <f t="shared" si="60"/>
        <v>23.658487048938596</v>
      </c>
      <c r="AA121" s="22">
        <f t="shared" si="61"/>
        <v>40.644641052036093</v>
      </c>
      <c r="AB121" s="24"/>
      <c r="AC121" s="19">
        <f t="shared" si="64"/>
        <v>8.7584031503414798E-4</v>
      </c>
      <c r="AD121" s="19">
        <f t="shared" si="65"/>
        <v>8.8402890481954289E-4</v>
      </c>
      <c r="AE121" s="19">
        <f t="shared" si="66"/>
        <v>8.6626670967310129E-4</v>
      </c>
      <c r="AF121" s="19">
        <f t="shared" si="67"/>
        <v>9.035441766347132E-4</v>
      </c>
      <c r="AG121" s="19">
        <f t="shared" si="68"/>
        <v>8.4966578797288268E-4</v>
      </c>
      <c r="AH121" s="19">
        <f t="shared" si="69"/>
        <v>9.0801806926990429E-4</v>
      </c>
      <c r="AI121" s="19">
        <f t="shared" si="70"/>
        <v>9.0427580622380274E-4</v>
      </c>
      <c r="AJ121" s="19">
        <f t="shared" si="71"/>
        <v>8.2850831694364878E-4</v>
      </c>
      <c r="AK121" s="19">
        <f t="shared" si="72"/>
        <v>7.9413772270307912E-4</v>
      </c>
      <c r="AL121" s="19">
        <f t="shared" si="73"/>
        <v>8.8623799165119779E-4</v>
      </c>
      <c r="AM121" s="19">
        <f t="shared" si="74"/>
        <v>8.9057718446437729E-4</v>
      </c>
      <c r="AN121" s="19">
        <f t="shared" si="75"/>
        <v>9.0594505876321989E-4</v>
      </c>
      <c r="AO121" s="24"/>
    </row>
    <row r="122" spans="1:41">
      <c r="A122" s="12" t="s">
        <v>399</v>
      </c>
      <c r="B122" s="12">
        <v>519.9</v>
      </c>
      <c r="C122" s="19">
        <v>23014</v>
      </c>
      <c r="D122" s="19">
        <v>46795</v>
      </c>
      <c r="E122" s="19">
        <v>3722</v>
      </c>
      <c r="F122" s="19">
        <v>42911</v>
      </c>
      <c r="G122" s="19">
        <v>19429</v>
      </c>
      <c r="H122" s="19">
        <v>9468</v>
      </c>
      <c r="I122" s="19">
        <v>19705</v>
      </c>
      <c r="J122" s="19">
        <v>32556</v>
      </c>
      <c r="K122" s="19">
        <v>29645</v>
      </c>
      <c r="L122" s="19">
        <v>21859</v>
      </c>
      <c r="M122" s="19">
        <v>21973</v>
      </c>
      <c r="N122" s="19">
        <v>24503</v>
      </c>
      <c r="O122" s="24"/>
      <c r="P122" s="22">
        <f t="shared" si="62"/>
        <v>43.266205039430659</v>
      </c>
      <c r="Q122" s="22">
        <f t="shared" si="63"/>
        <v>89.007693787266788</v>
      </c>
      <c r="R122" s="22">
        <f t="shared" si="52"/>
        <v>6.1590690517407198</v>
      </c>
      <c r="S122" s="22">
        <f t="shared" si="53"/>
        <v>81.537026351221385</v>
      </c>
      <c r="T122" s="22">
        <f t="shared" si="54"/>
        <v>36.370648201577225</v>
      </c>
      <c r="U122" s="22">
        <f t="shared" si="55"/>
        <v>17.21119446047317</v>
      </c>
      <c r="V122" s="22">
        <f t="shared" si="56"/>
        <v>36.90151952298519</v>
      </c>
      <c r="W122" s="22">
        <f t="shared" si="57"/>
        <v>61.619734564339296</v>
      </c>
      <c r="X122" s="22">
        <f t="shared" si="58"/>
        <v>56.020580880938638</v>
      </c>
      <c r="Y122" s="22">
        <f t="shared" si="59"/>
        <v>41.044623966147334</v>
      </c>
      <c r="Z122" s="22">
        <f t="shared" si="60"/>
        <v>41.263896903250625</v>
      </c>
      <c r="AA122" s="22">
        <f t="shared" si="61"/>
        <v>46.130217349490287</v>
      </c>
      <c r="AB122" s="24"/>
      <c r="AC122" s="19">
        <f t="shared" si="64"/>
        <v>1.8835360431072781E-3</v>
      </c>
      <c r="AD122" s="19">
        <f t="shared" si="65"/>
        <v>1.9057018038224438E-3</v>
      </c>
      <c r="AE122" s="19">
        <f t="shared" si="66"/>
        <v>1.6575168760437126E-3</v>
      </c>
      <c r="AF122" s="19">
        <f t="shared" si="67"/>
        <v>1.9037601849312888E-3</v>
      </c>
      <c r="AG122" s="19">
        <f t="shared" si="68"/>
        <v>1.8754882353384588E-3</v>
      </c>
      <c r="AH122" s="19">
        <f t="shared" si="69"/>
        <v>1.8211384059693436E-3</v>
      </c>
      <c r="AI122" s="19">
        <f t="shared" si="70"/>
        <v>1.8762118544207232E-3</v>
      </c>
      <c r="AJ122" s="19">
        <f t="shared" si="71"/>
        <v>1.8963197347045371E-3</v>
      </c>
      <c r="AK122" s="19">
        <f t="shared" si="72"/>
        <v>1.8932920966088025E-3</v>
      </c>
      <c r="AL122" s="19">
        <f t="shared" si="73"/>
        <v>1.8812314563276266E-3</v>
      </c>
      <c r="AM122" s="19">
        <f t="shared" si="74"/>
        <v>1.8814696980338091E-3</v>
      </c>
      <c r="AN122" s="19">
        <f t="shared" si="75"/>
        <v>1.8861864890908756E-3</v>
      </c>
      <c r="AO122" s="24"/>
    </row>
    <row r="123" spans="1:41">
      <c r="A123" s="12" t="s">
        <v>396</v>
      </c>
      <c r="B123" s="12">
        <v>1834.61</v>
      </c>
      <c r="C123" s="19">
        <v>41931</v>
      </c>
      <c r="D123" s="19">
        <v>20782</v>
      </c>
      <c r="E123" s="19">
        <v>13661</v>
      </c>
      <c r="F123" s="19">
        <v>24355</v>
      </c>
      <c r="G123" s="19">
        <v>46072</v>
      </c>
      <c r="H123" s="19">
        <v>10950</v>
      </c>
      <c r="I123" s="19">
        <v>26467</v>
      </c>
      <c r="J123" s="19">
        <v>40825</v>
      </c>
      <c r="K123" s="19">
        <v>1936</v>
      </c>
      <c r="L123" s="19">
        <v>47869</v>
      </c>
      <c r="M123" s="19">
        <v>4634</v>
      </c>
      <c r="N123" s="19">
        <v>46510</v>
      </c>
      <c r="O123" s="24"/>
      <c r="P123" s="22">
        <f t="shared" si="62"/>
        <v>21.855538779359101</v>
      </c>
      <c r="Q123" s="22">
        <f t="shared" si="63"/>
        <v>10.327748131755524</v>
      </c>
      <c r="R123" s="22">
        <f t="shared" si="52"/>
        <v>6.4462692343331822</v>
      </c>
      <c r="S123" s="22">
        <f t="shared" si="53"/>
        <v>12.275301017654979</v>
      </c>
      <c r="T123" s="22">
        <f t="shared" si="54"/>
        <v>24.11269425109424</v>
      </c>
      <c r="U123" s="22">
        <f t="shared" si="55"/>
        <v>4.9685709769378779</v>
      </c>
      <c r="V123" s="22">
        <f t="shared" si="56"/>
        <v>13.426499364987654</v>
      </c>
      <c r="W123" s="22">
        <f t="shared" si="57"/>
        <v>21.252685856939625</v>
      </c>
      <c r="X123" s="22">
        <f t="shared" si="58"/>
        <v>5.5265151721619367E-2</v>
      </c>
      <c r="Y123" s="22">
        <f t="shared" si="59"/>
        <v>25.092193981282126</v>
      </c>
      <c r="Z123" s="22">
        <f t="shared" si="60"/>
        <v>1.5258774344411077</v>
      </c>
      <c r="AA123" s="22">
        <f t="shared" si="61"/>
        <v>24.351437090171753</v>
      </c>
      <c r="AB123" s="24"/>
      <c r="AC123" s="19">
        <f t="shared" si="64"/>
        <v>5.2149808974464901E-4</v>
      </c>
      <c r="AD123" s="19">
        <f t="shared" si="65"/>
        <v>4.9720349938732673E-4</v>
      </c>
      <c r="AE123" s="19">
        <f t="shared" si="66"/>
        <v>4.720966617758304E-4</v>
      </c>
      <c r="AF123" s="19">
        <f t="shared" si="67"/>
        <v>5.0426980420019093E-4</v>
      </c>
      <c r="AG123" s="19">
        <f t="shared" si="68"/>
        <v>5.2364387731820784E-4</v>
      </c>
      <c r="AH123" s="19">
        <f t="shared" si="69"/>
        <v>4.5395675737966939E-4</v>
      </c>
      <c r="AI123" s="19">
        <f t="shared" si="70"/>
        <v>5.0754955146855131E-4</v>
      </c>
      <c r="AJ123" s="19">
        <f t="shared" si="71"/>
        <v>5.2085132508339967E-4</v>
      </c>
      <c r="AK123" s="19">
        <f t="shared" si="72"/>
        <v>2.8546864343186194E-5</v>
      </c>
      <c r="AL123" s="19">
        <f t="shared" si="73"/>
        <v>5.2445954212221671E-4</v>
      </c>
      <c r="AM123" s="19">
        <f t="shared" si="74"/>
        <v>3.2938714692615391E-4</v>
      </c>
      <c r="AN123" s="19">
        <f t="shared" si="75"/>
        <v>5.2384849610555685E-4</v>
      </c>
      <c r="AO123" s="24"/>
    </row>
    <row r="124" spans="1:41">
      <c r="A124" s="12" t="s">
        <v>399</v>
      </c>
      <c r="B124" s="12">
        <v>988.43</v>
      </c>
      <c r="C124" s="19">
        <v>48301</v>
      </c>
      <c r="D124" s="19">
        <v>36794</v>
      </c>
      <c r="E124" s="19">
        <v>12952</v>
      </c>
      <c r="F124" s="19">
        <v>41264</v>
      </c>
      <c r="G124" s="19">
        <v>45971</v>
      </c>
      <c r="H124" s="19">
        <v>44472</v>
      </c>
      <c r="I124" s="19">
        <v>12052</v>
      </c>
      <c r="J124" s="19">
        <v>49351</v>
      </c>
      <c r="K124" s="19">
        <v>3919</v>
      </c>
      <c r="L124" s="19">
        <v>44259</v>
      </c>
      <c r="M124" s="19">
        <v>39190</v>
      </c>
      <c r="N124" s="19">
        <v>11705</v>
      </c>
      <c r="O124" s="24"/>
      <c r="P124" s="22">
        <f t="shared" si="62"/>
        <v>47.866384063616039</v>
      </c>
      <c r="Q124" s="22">
        <f t="shared" si="63"/>
        <v>36.224689659358781</v>
      </c>
      <c r="R124" s="22">
        <f t="shared" si="52"/>
        <v>12.103608753275397</v>
      </c>
      <c r="S124" s="22">
        <f t="shared" si="53"/>
        <v>40.747012939712477</v>
      </c>
      <c r="T124" s="22">
        <f t="shared" si="54"/>
        <v>45.509110407413779</v>
      </c>
      <c r="U124" s="22">
        <f t="shared" si="55"/>
        <v>43.992563965075931</v>
      </c>
      <c r="V124" s="22">
        <f t="shared" si="56"/>
        <v>11.193073864613579</v>
      </c>
      <c r="W124" s="22">
        <f t="shared" si="57"/>
        <v>48.928674767054829</v>
      </c>
      <c r="X124" s="22">
        <f t="shared" si="58"/>
        <v>2.964873587406291</v>
      </c>
      <c r="Y124" s="22">
        <f t="shared" si="59"/>
        <v>43.777070708092637</v>
      </c>
      <c r="Z124" s="22">
        <f t="shared" si="60"/>
        <v>38.648735874062908</v>
      </c>
      <c r="AA124" s="22">
        <f t="shared" si="61"/>
        <v>10.842012079762856</v>
      </c>
      <c r="AB124" s="24"/>
      <c r="AC124" s="19">
        <f t="shared" si="64"/>
        <v>9.919849857752531E-4</v>
      </c>
      <c r="AD124" s="19">
        <f t="shared" si="65"/>
        <v>9.8549733637356735E-4</v>
      </c>
      <c r="AE124" s="19">
        <f t="shared" si="66"/>
        <v>9.3537138067527033E-4</v>
      </c>
      <c r="AF124" s="19">
        <f t="shared" si="67"/>
        <v>9.8844729581391106E-4</v>
      </c>
      <c r="AG124" s="19">
        <f t="shared" si="68"/>
        <v>9.909335649088693E-4</v>
      </c>
      <c r="AH124" s="19">
        <f t="shared" si="69"/>
        <v>9.9019889713519282E-4</v>
      </c>
      <c r="AI124" s="19">
        <f t="shared" si="70"/>
        <v>9.2959499585681872E-4</v>
      </c>
      <c r="AJ124" s="19">
        <f t="shared" si="71"/>
        <v>9.924263515073248E-4</v>
      </c>
      <c r="AK124" s="19">
        <f t="shared" si="72"/>
        <v>7.5711108090145143E-4</v>
      </c>
      <c r="AL124" s="19">
        <f t="shared" si="73"/>
        <v>9.9009046676299794E-4</v>
      </c>
      <c r="AM124" s="19">
        <f t="shared" si="74"/>
        <v>9.8716224667005112E-4</v>
      </c>
      <c r="AN124" s="19">
        <f t="shared" si="75"/>
        <v>9.2713063146251105E-4</v>
      </c>
      <c r="AO124" s="24"/>
    </row>
    <row r="125" spans="1:41">
      <c r="A125" s="12" t="s">
        <v>396</v>
      </c>
      <c r="B125" s="12">
        <v>2605.9899999999998</v>
      </c>
      <c r="C125" s="19">
        <v>30001</v>
      </c>
      <c r="D125" s="19">
        <v>47805</v>
      </c>
      <c r="E125" s="19">
        <v>33492</v>
      </c>
      <c r="F125" s="19">
        <v>42259</v>
      </c>
      <c r="G125" s="19">
        <v>8124</v>
      </c>
      <c r="H125" s="19">
        <v>10381</v>
      </c>
      <c r="I125" s="19">
        <v>33066</v>
      </c>
      <c r="J125" s="19">
        <v>17504</v>
      </c>
      <c r="K125" s="19">
        <v>7494</v>
      </c>
      <c r="L125" s="19">
        <v>32463</v>
      </c>
      <c r="M125" s="19">
        <v>15781</v>
      </c>
      <c r="N125" s="19">
        <v>32910</v>
      </c>
      <c r="O125" s="24"/>
      <c r="P125" s="22">
        <f t="shared" si="62"/>
        <v>10.512323531556147</v>
      </c>
      <c r="Q125" s="22">
        <f t="shared" si="63"/>
        <v>17.344276071665664</v>
      </c>
      <c r="R125" s="22">
        <f t="shared" si="52"/>
        <v>11.851929592976184</v>
      </c>
      <c r="S125" s="22">
        <f t="shared" si="53"/>
        <v>15.21610213392991</v>
      </c>
      <c r="T125" s="22">
        <f t="shared" si="54"/>
        <v>2.1174332979021413</v>
      </c>
      <c r="U125" s="22">
        <f t="shared" si="55"/>
        <v>2.9835149022060716</v>
      </c>
      <c r="V125" s="22">
        <f t="shared" si="56"/>
        <v>11.688460047812924</v>
      </c>
      <c r="W125" s="22">
        <f t="shared" si="57"/>
        <v>5.7168331421072232</v>
      </c>
      <c r="X125" s="22">
        <f t="shared" si="58"/>
        <v>1.8756825620973221</v>
      </c>
      <c r="Y125" s="22">
        <f t="shared" si="59"/>
        <v>11.457070057828313</v>
      </c>
      <c r="Z125" s="22">
        <f t="shared" si="60"/>
        <v>5.0556640662473766</v>
      </c>
      <c r="AA125" s="22">
        <f t="shared" si="61"/>
        <v>11.628597960851732</v>
      </c>
      <c r="AB125" s="24"/>
      <c r="AC125" s="19">
        <f t="shared" si="64"/>
        <v>3.5052192698435089E-4</v>
      </c>
      <c r="AD125" s="19">
        <f t="shared" si="65"/>
        <v>3.6294469374820165E-4</v>
      </c>
      <c r="AE125" s="19">
        <f t="shared" si="66"/>
        <v>3.5399872091521778E-4</v>
      </c>
      <c r="AF125" s="19">
        <f t="shared" si="67"/>
        <v>3.6019742385573906E-4</v>
      </c>
      <c r="AG125" s="19">
        <f t="shared" si="68"/>
        <v>2.6070720433500779E-4</v>
      </c>
      <c r="AH125" s="19">
        <f t="shared" si="69"/>
        <v>2.8748411668937112E-4</v>
      </c>
      <c r="AI125" s="19">
        <f t="shared" si="70"/>
        <v>3.5361377996589891E-4</v>
      </c>
      <c r="AJ125" s="19">
        <f t="shared" si="71"/>
        <v>3.2670823117864631E-4</v>
      </c>
      <c r="AK125" s="19">
        <f t="shared" si="72"/>
        <v>2.5035390266171575E-4</v>
      </c>
      <c r="AL125" s="19">
        <f t="shared" si="73"/>
        <v>3.5305162785517915E-4</v>
      </c>
      <c r="AM125" s="19">
        <f t="shared" si="74"/>
        <v>3.2046665217573105E-4</v>
      </c>
      <c r="AN125" s="19">
        <f t="shared" si="75"/>
        <v>3.5347032285406547E-4</v>
      </c>
      <c r="AO125" s="24"/>
    </row>
    <row r="126" spans="1:41">
      <c r="A126" s="12" t="s">
        <v>397</v>
      </c>
      <c r="B126" s="12">
        <v>2980.34</v>
      </c>
      <c r="C126" s="19">
        <v>48286</v>
      </c>
      <c r="D126" s="19">
        <v>13858</v>
      </c>
      <c r="E126" s="19">
        <v>30803</v>
      </c>
      <c r="F126" s="19">
        <v>6597</v>
      </c>
      <c r="G126" s="19">
        <v>47916</v>
      </c>
      <c r="H126" s="19">
        <v>2755</v>
      </c>
      <c r="I126" s="19">
        <v>30963</v>
      </c>
      <c r="J126" s="19">
        <v>36262</v>
      </c>
      <c r="K126" s="19">
        <v>27787</v>
      </c>
      <c r="L126" s="19">
        <v>16129</v>
      </c>
      <c r="M126" s="19">
        <v>14147</v>
      </c>
      <c r="N126" s="19">
        <v>26176</v>
      </c>
      <c r="O126" s="24"/>
      <c r="P126" s="22">
        <f t="shared" si="62"/>
        <v>15.201507210586712</v>
      </c>
      <c r="Q126" s="22">
        <f t="shared" si="63"/>
        <v>3.6498050557990025</v>
      </c>
      <c r="R126" s="22">
        <f t="shared" si="52"/>
        <v>9.3353979747277158</v>
      </c>
      <c r="S126" s="22">
        <f t="shared" si="53"/>
        <v>1.2135058416153861</v>
      </c>
      <c r="T126" s="22">
        <f t="shared" si="54"/>
        <v>15.077360301173693</v>
      </c>
      <c r="U126" s="22">
        <f t="shared" si="55"/>
        <v>-7.5608823154405244E-2</v>
      </c>
      <c r="V126" s="22">
        <f t="shared" si="56"/>
        <v>9.3890831247441557</v>
      </c>
      <c r="W126" s="22">
        <f t="shared" si="57"/>
        <v>11.167068186851166</v>
      </c>
      <c r="X126" s="22">
        <f t="shared" si="58"/>
        <v>8.3234328969178009</v>
      </c>
      <c r="Y126" s="22">
        <f t="shared" si="59"/>
        <v>4.4117986538448628</v>
      </c>
      <c r="Z126" s="22">
        <f t="shared" si="60"/>
        <v>3.7467738580161991</v>
      </c>
      <c r="AA126" s="22">
        <f t="shared" si="61"/>
        <v>7.7828905426897599</v>
      </c>
      <c r="AB126" s="24"/>
      <c r="AC126" s="19">
        <f t="shared" si="64"/>
        <v>3.1492139523769177E-4</v>
      </c>
      <c r="AD126" s="19">
        <f t="shared" si="65"/>
        <v>2.6344108561157257E-4</v>
      </c>
      <c r="AE126" s="19">
        <f t="shared" si="66"/>
        <v>3.0315969519632081E-4</v>
      </c>
      <c r="AF126" s="19">
        <f t="shared" si="67"/>
        <v>1.8398197738664495E-4</v>
      </c>
      <c r="AG126" s="19">
        <f t="shared" si="68"/>
        <v>3.1476137557062494E-4</v>
      </c>
      <c r="AH126" s="19">
        <f t="shared" si="69"/>
        <v>-2.7443465766335891E-5</v>
      </c>
      <c r="AI126" s="19">
        <f t="shared" si="70"/>
        <v>3.0332755522314284E-4</v>
      </c>
      <c r="AJ126" s="19">
        <f t="shared" si="71"/>
        <v>3.0804997523384145E-4</v>
      </c>
      <c r="AK126" s="19">
        <f t="shared" si="72"/>
        <v>2.9963388921036045E-4</v>
      </c>
      <c r="AL126" s="19">
        <f t="shared" si="73"/>
        <v>2.7360690386353835E-4</v>
      </c>
      <c r="AM126" s="19">
        <f t="shared" si="74"/>
        <v>2.6491598489453399E-4</v>
      </c>
      <c r="AN126" s="19">
        <f t="shared" si="75"/>
        <v>2.9741768459560006E-4</v>
      </c>
      <c r="AO126" s="24"/>
    </row>
    <row r="127" spans="1:41">
      <c r="A127" s="12" t="s">
        <v>398</v>
      </c>
      <c r="B127" s="12">
        <v>2269.66</v>
      </c>
      <c r="C127" s="19">
        <v>25916</v>
      </c>
      <c r="D127" s="19">
        <v>34624</v>
      </c>
      <c r="E127" s="19">
        <v>28918</v>
      </c>
      <c r="F127" s="19">
        <v>24186</v>
      </c>
      <c r="G127" s="19">
        <v>6660</v>
      </c>
      <c r="H127" s="19">
        <v>39934</v>
      </c>
      <c r="I127" s="19">
        <v>42931</v>
      </c>
      <c r="J127" s="19">
        <v>45941</v>
      </c>
      <c r="K127" s="19">
        <v>21419</v>
      </c>
      <c r="L127" s="19">
        <v>44255</v>
      </c>
      <c r="M127" s="19">
        <v>41104</v>
      </c>
      <c r="N127" s="19">
        <v>4819</v>
      </c>
      <c r="O127" s="24"/>
      <c r="P127" s="22">
        <f t="shared" si="62"/>
        <v>10.418450340579646</v>
      </c>
      <c r="Q127" s="22">
        <f t="shared" si="63"/>
        <v>14.255148348210746</v>
      </c>
      <c r="R127" s="22">
        <f t="shared" si="52"/>
        <v>11.741115409356468</v>
      </c>
      <c r="S127" s="22">
        <f t="shared" si="53"/>
        <v>9.6562216367209199</v>
      </c>
      <c r="T127" s="22">
        <f t="shared" si="54"/>
        <v>1.9343602125428481</v>
      </c>
      <c r="U127" s="22">
        <f t="shared" si="55"/>
        <v>16.594705814967881</v>
      </c>
      <c r="V127" s="22">
        <f t="shared" si="56"/>
        <v>17.915167910612162</v>
      </c>
      <c r="W127" s="22">
        <f t="shared" si="57"/>
        <v>19.241357736401046</v>
      </c>
      <c r="X127" s="22">
        <f t="shared" si="58"/>
        <v>8.437096305173462</v>
      </c>
      <c r="Y127" s="22">
        <f t="shared" si="59"/>
        <v>18.498515196108666</v>
      </c>
      <c r="Z127" s="22">
        <f t="shared" si="60"/>
        <v>17.110201527982163</v>
      </c>
      <c r="AA127" s="22">
        <f t="shared" si="61"/>
        <v>1.1232255051417395</v>
      </c>
      <c r="AB127" s="24"/>
      <c r="AC127" s="19">
        <f t="shared" si="64"/>
        <v>4.0217010070235686E-4</v>
      </c>
      <c r="AD127" s="19">
        <f t="shared" si="65"/>
        <v>4.1188250330399074E-4</v>
      </c>
      <c r="AE127" s="19">
        <f t="shared" si="66"/>
        <v>4.0617900283233902E-4</v>
      </c>
      <c r="AF127" s="19">
        <f t="shared" si="67"/>
        <v>3.9940785609455121E-4</v>
      </c>
      <c r="AG127" s="19">
        <f t="shared" si="68"/>
        <v>2.9052885886006344E-4</v>
      </c>
      <c r="AH127" s="19">
        <f t="shared" si="69"/>
        <v>4.1572606467448213E-4</v>
      </c>
      <c r="AI127" s="19">
        <f t="shared" si="70"/>
        <v>4.1747564829493742E-4</v>
      </c>
      <c r="AJ127" s="19">
        <f t="shared" si="71"/>
        <v>4.1900306750648845E-4</v>
      </c>
      <c r="AK127" s="19">
        <f t="shared" si="72"/>
        <v>3.9406233003418464E-4</v>
      </c>
      <c r="AL127" s="19">
        <f t="shared" si="73"/>
        <v>4.1817310535877865E-4</v>
      </c>
      <c r="AM127" s="19">
        <f t="shared" si="74"/>
        <v>4.1643944362560332E-4</v>
      </c>
      <c r="AN127" s="19">
        <f t="shared" si="75"/>
        <v>2.3313703478011985E-4</v>
      </c>
      <c r="AO127" s="24"/>
    </row>
    <row r="128" spans="1:41">
      <c r="A128" s="12" t="s">
        <v>396</v>
      </c>
      <c r="B128" s="12">
        <v>316.92</v>
      </c>
      <c r="C128" s="19">
        <v>2565</v>
      </c>
      <c r="D128" s="19">
        <v>6017</v>
      </c>
      <c r="E128" s="19">
        <v>27043</v>
      </c>
      <c r="F128" s="19">
        <v>46283</v>
      </c>
      <c r="G128" s="19">
        <v>17541</v>
      </c>
      <c r="H128" s="19">
        <v>11487</v>
      </c>
      <c r="I128" s="19">
        <v>22171</v>
      </c>
      <c r="J128" s="19">
        <v>43309</v>
      </c>
      <c r="K128" s="19">
        <v>16360</v>
      </c>
      <c r="L128" s="19">
        <v>3375</v>
      </c>
      <c r="M128" s="19">
        <v>23576</v>
      </c>
      <c r="N128" s="19">
        <v>24133</v>
      </c>
      <c r="O128" s="24"/>
      <c r="P128" s="22">
        <f t="shared" si="62"/>
        <v>7.0935251798561145</v>
      </c>
      <c r="Q128" s="22">
        <f t="shared" si="63"/>
        <v>17.985863940426604</v>
      </c>
      <c r="R128" s="22">
        <f t="shared" si="52"/>
        <v>84.330682822163325</v>
      </c>
      <c r="S128" s="22">
        <f t="shared" si="53"/>
        <v>145.04001009718542</v>
      </c>
      <c r="T128" s="22">
        <f t="shared" si="54"/>
        <v>54.348352896630068</v>
      </c>
      <c r="U128" s="22">
        <f t="shared" si="55"/>
        <v>35.245740249905339</v>
      </c>
      <c r="V128" s="22">
        <f t="shared" si="56"/>
        <v>68.957718036097447</v>
      </c>
      <c r="W128" s="22">
        <f t="shared" si="57"/>
        <v>135.655938407169</v>
      </c>
      <c r="X128" s="22">
        <f t="shared" si="58"/>
        <v>50.621860406411713</v>
      </c>
      <c r="Y128" s="22">
        <f t="shared" si="59"/>
        <v>9.6493752366527819</v>
      </c>
      <c r="Z128" s="22">
        <f t="shared" si="60"/>
        <v>73.39101350498548</v>
      </c>
      <c r="AA128" s="22">
        <f t="shared" si="61"/>
        <v>75.148554840338264</v>
      </c>
      <c r="AB128" s="24"/>
      <c r="AC128" s="19">
        <f t="shared" si="64"/>
        <v>2.7731761304349047E-3</v>
      </c>
      <c r="AD128" s="19">
        <f t="shared" si="65"/>
        <v>2.9981366158674432E-3</v>
      </c>
      <c r="AE128" s="19">
        <f t="shared" si="66"/>
        <v>3.1281470843380439E-3</v>
      </c>
      <c r="AF128" s="19">
        <f t="shared" si="67"/>
        <v>3.1436155852778724E-3</v>
      </c>
      <c r="AG128" s="19">
        <f t="shared" si="68"/>
        <v>3.1079908259985709E-3</v>
      </c>
      <c r="AH128" s="19">
        <f t="shared" si="69"/>
        <v>3.0777590446369298E-3</v>
      </c>
      <c r="AI128" s="19">
        <f t="shared" si="70"/>
        <v>3.119970415239389E-3</v>
      </c>
      <c r="AJ128" s="19">
        <f t="shared" si="71"/>
        <v>3.1421225609403053E-3</v>
      </c>
      <c r="AK128" s="19">
        <f t="shared" si="72"/>
        <v>3.103849820215963E-3</v>
      </c>
      <c r="AL128" s="19">
        <f t="shared" si="73"/>
        <v>2.8672718871102262E-3</v>
      </c>
      <c r="AM128" s="19">
        <f t="shared" si="74"/>
        <v>3.1226751696867851E-3</v>
      </c>
      <c r="AN128" s="19">
        <f t="shared" si="75"/>
        <v>3.1236602741371504E-3</v>
      </c>
      <c r="AO128" s="24"/>
    </row>
    <row r="129" spans="1:41">
      <c r="A129" s="12" t="s">
        <v>397</v>
      </c>
      <c r="B129" s="12">
        <v>901.62</v>
      </c>
      <c r="C129" s="19">
        <v>28759</v>
      </c>
      <c r="D129" s="19">
        <v>20388</v>
      </c>
      <c r="E129" s="19">
        <v>25268</v>
      </c>
      <c r="F129" s="19">
        <v>16132</v>
      </c>
      <c r="G129" s="19">
        <v>43134</v>
      </c>
      <c r="H129" s="19">
        <v>43854</v>
      </c>
      <c r="I129" s="19">
        <v>25001</v>
      </c>
      <c r="J129" s="19">
        <v>6243</v>
      </c>
      <c r="K129" s="19">
        <v>47181</v>
      </c>
      <c r="L129" s="19">
        <v>48125</v>
      </c>
      <c r="M129" s="19">
        <v>15699</v>
      </c>
      <c r="N129" s="19">
        <v>11351</v>
      </c>
      <c r="O129" s="24"/>
      <c r="P129" s="22">
        <f t="shared" si="62"/>
        <v>30.897029790820969</v>
      </c>
      <c r="Q129" s="22">
        <f t="shared" si="63"/>
        <v>21.612630598256473</v>
      </c>
      <c r="R129" s="22">
        <f t="shared" si="52"/>
        <v>27.025110356913114</v>
      </c>
      <c r="S129" s="22">
        <f t="shared" si="53"/>
        <v>16.892238415296909</v>
      </c>
      <c r="T129" s="22">
        <f t="shared" si="54"/>
        <v>46.840553670060558</v>
      </c>
      <c r="U129" s="22">
        <f t="shared" si="55"/>
        <v>47.639116257403337</v>
      </c>
      <c r="V129" s="22">
        <f t="shared" si="56"/>
        <v>26.728976730773496</v>
      </c>
      <c r="W129" s="22">
        <f t="shared" si="57"/>
        <v>5.9242031010847143</v>
      </c>
      <c r="X129" s="22">
        <f t="shared" si="58"/>
        <v>51.329140879749779</v>
      </c>
      <c r="Y129" s="22">
        <f t="shared" si="59"/>
        <v>52.376145160932538</v>
      </c>
      <c r="Z129" s="22">
        <f t="shared" si="60"/>
        <v>16.411991748186598</v>
      </c>
      <c r="AA129" s="22">
        <f t="shared" si="61"/>
        <v>11.589561012399901</v>
      </c>
      <c r="AB129" s="24"/>
      <c r="AC129" s="19">
        <f t="shared" si="64"/>
        <v>1.0754984352033599E-3</v>
      </c>
      <c r="AD129" s="19">
        <f t="shared" si="65"/>
        <v>1.0611911777111279E-3</v>
      </c>
      <c r="AE129" s="19">
        <f t="shared" si="66"/>
        <v>1.0706840950110092E-3</v>
      </c>
      <c r="AF129" s="19">
        <f t="shared" si="67"/>
        <v>1.0482237329845685E-3</v>
      </c>
      <c r="AG129" s="19">
        <f t="shared" si="68"/>
        <v>1.0871116655625885E-3</v>
      </c>
      <c r="AH129" s="19">
        <f t="shared" si="69"/>
        <v>1.0874931242024978E-3</v>
      </c>
      <c r="AI129" s="19">
        <f t="shared" si="70"/>
        <v>1.0702605375696196E-3</v>
      </c>
      <c r="AJ129" s="19">
        <f t="shared" si="71"/>
        <v>9.4983663723154337E-4</v>
      </c>
      <c r="AK129" s="19">
        <f t="shared" si="72"/>
        <v>1.08910459046452E-3</v>
      </c>
      <c r="AL129" s="19">
        <f t="shared" si="73"/>
        <v>1.0895212484986977E-3</v>
      </c>
      <c r="AM129" s="19">
        <f t="shared" si="74"/>
        <v>1.0465104190425067E-3</v>
      </c>
      <c r="AN129" s="19">
        <f t="shared" si="75"/>
        <v>1.0220602803609812E-3</v>
      </c>
      <c r="AO129" s="24"/>
    </row>
    <row r="130" spans="1:41">
      <c r="A130" s="12" t="s">
        <v>399</v>
      </c>
      <c r="B130" s="12">
        <v>371.87</v>
      </c>
      <c r="C130" s="19">
        <v>12689</v>
      </c>
      <c r="D130" s="19">
        <v>9498</v>
      </c>
      <c r="E130" s="19">
        <v>38452</v>
      </c>
      <c r="F130" s="19">
        <v>22134</v>
      </c>
      <c r="G130" s="19">
        <v>23939</v>
      </c>
      <c r="H130" s="19">
        <v>10312</v>
      </c>
      <c r="I130" s="19">
        <v>36048</v>
      </c>
      <c r="J130" s="19">
        <v>14066</v>
      </c>
      <c r="K130" s="19">
        <v>42103</v>
      </c>
      <c r="L130" s="19">
        <v>36051</v>
      </c>
      <c r="M130" s="19">
        <v>43018</v>
      </c>
      <c r="N130" s="19">
        <v>12348</v>
      </c>
      <c r="O130" s="24"/>
      <c r="P130" s="22">
        <f t="shared" si="62"/>
        <v>33.122139457337241</v>
      </c>
      <c r="Q130" s="22">
        <f t="shared" si="63"/>
        <v>24.541183747008361</v>
      </c>
      <c r="R130" s="22">
        <f t="shared" si="52"/>
        <v>102.40172640976685</v>
      </c>
      <c r="S130" s="22">
        <f t="shared" si="53"/>
        <v>58.520800279667625</v>
      </c>
      <c r="T130" s="22">
        <f t="shared" si="54"/>
        <v>63.374647054078039</v>
      </c>
      <c r="U130" s="22">
        <f t="shared" si="55"/>
        <v>26.730120741119205</v>
      </c>
      <c r="V130" s="22">
        <f t="shared" si="56"/>
        <v>95.93710167531664</v>
      </c>
      <c r="W130" s="22">
        <f t="shared" si="57"/>
        <v>36.825046387178311</v>
      </c>
      <c r="X130" s="22">
        <f t="shared" si="58"/>
        <v>112.21967354182912</v>
      </c>
      <c r="Y130" s="22">
        <f t="shared" si="59"/>
        <v>95.94516901067577</v>
      </c>
      <c r="Z130" s="22">
        <f t="shared" si="60"/>
        <v>114.68021082636405</v>
      </c>
      <c r="AA130" s="22">
        <f t="shared" si="61"/>
        <v>32.205152338182693</v>
      </c>
      <c r="AB130" s="24"/>
      <c r="AC130" s="19">
        <f t="shared" si="64"/>
        <v>2.6171348856488582E-3</v>
      </c>
      <c r="AD130" s="19">
        <f t="shared" si="65"/>
        <v>2.5905199170660523E-3</v>
      </c>
      <c r="AE130" s="19">
        <f t="shared" si="66"/>
        <v>2.670216404334192E-3</v>
      </c>
      <c r="AF130" s="19">
        <f t="shared" si="67"/>
        <v>2.6509413340576092E-3</v>
      </c>
      <c r="AG130" s="19">
        <f t="shared" si="68"/>
        <v>2.6543659534454243E-3</v>
      </c>
      <c r="AH130" s="19">
        <f t="shared" si="69"/>
        <v>2.5988740261471172E-3</v>
      </c>
      <c r="AI130" s="19">
        <f t="shared" si="70"/>
        <v>2.6684727924134546E-3</v>
      </c>
      <c r="AJ130" s="19">
        <f t="shared" si="71"/>
        <v>2.6248903808627072E-3</v>
      </c>
      <c r="AK130" s="19">
        <f t="shared" si="72"/>
        <v>2.6724836421084578E-3</v>
      </c>
      <c r="AL130" s="19">
        <f t="shared" si="73"/>
        <v>2.6684751132122187E-3</v>
      </c>
      <c r="AM130" s="19">
        <f t="shared" si="74"/>
        <v>2.6729915398132622E-3</v>
      </c>
      <c r="AN130" s="19">
        <f t="shared" si="75"/>
        <v>2.6149471257469769E-3</v>
      </c>
      <c r="AO130" s="24"/>
    </row>
    <row r="131" spans="1:41">
      <c r="A131" s="12" t="s">
        <v>399</v>
      </c>
      <c r="B131" s="12">
        <v>1969.01</v>
      </c>
      <c r="C131" s="19">
        <v>19413</v>
      </c>
      <c r="D131" s="19">
        <v>45839</v>
      </c>
      <c r="E131" s="19">
        <v>41506</v>
      </c>
      <c r="F131" s="19">
        <v>3129</v>
      </c>
      <c r="G131" s="19">
        <v>17986</v>
      </c>
      <c r="H131" s="19">
        <v>12005</v>
      </c>
      <c r="I131" s="19">
        <v>20294</v>
      </c>
      <c r="J131" s="19">
        <v>43131</v>
      </c>
      <c r="K131" s="19">
        <v>14924</v>
      </c>
      <c r="L131" s="19">
        <v>37215</v>
      </c>
      <c r="M131" s="19">
        <v>28181</v>
      </c>
      <c r="N131" s="19">
        <v>19690</v>
      </c>
      <c r="O131" s="24"/>
      <c r="P131" s="22">
        <f t="shared" si="62"/>
        <v>8.8592693790280403</v>
      </c>
      <c r="Q131" s="22">
        <f t="shared" si="63"/>
        <v>22.280227119212192</v>
      </c>
      <c r="R131" s="22">
        <f t="shared" si="52"/>
        <v>20.079628849015496</v>
      </c>
      <c r="S131" s="22">
        <f t="shared" si="53"/>
        <v>0.58912346813881089</v>
      </c>
      <c r="T131" s="22">
        <f t="shared" si="54"/>
        <v>8.1345396925358422</v>
      </c>
      <c r="U131" s="22">
        <f t="shared" si="55"/>
        <v>5.0969725902864891</v>
      </c>
      <c r="V131" s="22">
        <f t="shared" si="56"/>
        <v>9.3067023529591015</v>
      </c>
      <c r="W131" s="22">
        <f t="shared" si="57"/>
        <v>20.904916684018872</v>
      </c>
      <c r="X131" s="22">
        <f t="shared" si="58"/>
        <v>6.5794434766710177</v>
      </c>
      <c r="Y131" s="22">
        <f t="shared" si="59"/>
        <v>17.900361095169654</v>
      </c>
      <c r="Z131" s="22">
        <f t="shared" si="60"/>
        <v>13.312268601987801</v>
      </c>
      <c r="AA131" s="22">
        <f t="shared" si="61"/>
        <v>8.9999492130563077</v>
      </c>
      <c r="AB131" s="24"/>
      <c r="AC131" s="19">
        <f t="shared" si="64"/>
        <v>4.565659207494588E-4</v>
      </c>
      <c r="AD131" s="19">
        <f t="shared" si="65"/>
        <v>4.8629031562403565E-4</v>
      </c>
      <c r="AE131" s="19">
        <f t="shared" si="66"/>
        <v>4.8401068770740659E-4</v>
      </c>
      <c r="AF131" s="19">
        <f t="shared" si="67"/>
        <v>1.8831396878146324E-4</v>
      </c>
      <c r="AG131" s="19">
        <f t="shared" si="68"/>
        <v>4.5247527914232826E-4</v>
      </c>
      <c r="AH131" s="19">
        <f t="shared" si="69"/>
        <v>4.2475114829213054E-4</v>
      </c>
      <c r="AI131" s="19">
        <f t="shared" si="70"/>
        <v>4.5880419370396145E-4</v>
      </c>
      <c r="AJ131" s="19">
        <f t="shared" si="71"/>
        <v>4.849192896377831E-4</v>
      </c>
      <c r="AK131" s="19">
        <f t="shared" si="72"/>
        <v>4.4105771850709493E-4</v>
      </c>
      <c r="AL131" s="19">
        <f t="shared" si="73"/>
        <v>4.8123002247324362E-4</v>
      </c>
      <c r="AM131" s="19">
        <f t="shared" si="74"/>
        <v>4.7260778836130223E-4</v>
      </c>
      <c r="AN131" s="19">
        <f t="shared" si="75"/>
        <v>4.5729125500898747E-4</v>
      </c>
      <c r="AO131" s="24"/>
    </row>
    <row r="132" spans="1:41">
      <c r="A132" s="12" t="s">
        <v>397</v>
      </c>
      <c r="B132" s="12">
        <v>2307.31</v>
      </c>
      <c r="C132" s="19">
        <v>3386</v>
      </c>
      <c r="D132" s="19">
        <v>17227</v>
      </c>
      <c r="E132" s="19">
        <v>43635</v>
      </c>
      <c r="F132" s="19">
        <v>41169</v>
      </c>
      <c r="G132" s="19">
        <v>9174</v>
      </c>
      <c r="H132" s="19">
        <v>23800</v>
      </c>
      <c r="I132" s="19">
        <v>22738</v>
      </c>
      <c r="J132" s="19">
        <v>29500</v>
      </c>
      <c r="K132" s="19">
        <v>43399</v>
      </c>
      <c r="L132" s="19">
        <v>28187</v>
      </c>
      <c r="M132" s="19">
        <v>33606</v>
      </c>
      <c r="N132" s="19">
        <v>25418</v>
      </c>
      <c r="O132" s="24"/>
      <c r="P132" s="22">
        <f t="shared" si="62"/>
        <v>0.46750978412090272</v>
      </c>
      <c r="Q132" s="22">
        <f t="shared" si="63"/>
        <v>6.466270245437328</v>
      </c>
      <c r="R132" s="22">
        <f t="shared" si="52"/>
        <v>17.911633027204843</v>
      </c>
      <c r="S132" s="22">
        <f t="shared" si="53"/>
        <v>16.842855966471781</v>
      </c>
      <c r="T132" s="22">
        <f t="shared" si="54"/>
        <v>2.976058700391365</v>
      </c>
      <c r="U132" s="22">
        <f t="shared" si="55"/>
        <v>9.3150421919898054</v>
      </c>
      <c r="V132" s="22">
        <f t="shared" si="56"/>
        <v>8.8547659395573195</v>
      </c>
      <c r="W132" s="22">
        <f t="shared" si="57"/>
        <v>11.785451456457952</v>
      </c>
      <c r="X132" s="22">
        <f t="shared" si="58"/>
        <v>17.809349415553179</v>
      </c>
      <c r="Y132" s="22">
        <f t="shared" si="59"/>
        <v>11.216390515362045</v>
      </c>
      <c r="Z132" s="22">
        <f t="shared" si="60"/>
        <v>13.565012937143253</v>
      </c>
      <c r="AA132" s="22">
        <f t="shared" si="61"/>
        <v>10.016291698991466</v>
      </c>
      <c r="AB132" s="24"/>
      <c r="AC132" s="19">
        <f t="shared" si="64"/>
        <v>1.3809047335153232E-4</v>
      </c>
      <c r="AD132" s="19">
        <f t="shared" si="65"/>
        <v>3.7549766731472201E-4</v>
      </c>
      <c r="AE132" s="19">
        <f t="shared" si="66"/>
        <v>4.1065632067196112E-4</v>
      </c>
      <c r="AF132" s="19">
        <f t="shared" si="67"/>
        <v>4.0928245650699151E-4</v>
      </c>
      <c r="AG132" s="19">
        <f t="shared" si="68"/>
        <v>3.2450669842757311E-4</v>
      </c>
      <c r="AH132" s="19">
        <f t="shared" si="69"/>
        <v>3.915415721955767E-4</v>
      </c>
      <c r="AI132" s="19">
        <f t="shared" si="70"/>
        <v>3.8957760392538361E-4</v>
      </c>
      <c r="AJ132" s="19">
        <f t="shared" si="71"/>
        <v>3.9966649852797039E-4</v>
      </c>
      <c r="AK132" s="19">
        <f t="shared" si="72"/>
        <v>4.1053159557097693E-4</v>
      </c>
      <c r="AL132" s="19">
        <f t="shared" si="73"/>
        <v>3.9808619596249105E-4</v>
      </c>
      <c r="AM132" s="19">
        <f t="shared" si="74"/>
        <v>4.038115409724666E-4</v>
      </c>
      <c r="AN132" s="19">
        <f t="shared" si="75"/>
        <v>3.9421828248886417E-4</v>
      </c>
      <c r="AO132" s="24"/>
    </row>
    <row r="133" spans="1:41">
      <c r="A133" s="12" t="s">
        <v>399</v>
      </c>
      <c r="B133" s="12">
        <v>2780.74</v>
      </c>
      <c r="C133" s="19">
        <v>33754</v>
      </c>
      <c r="D133" s="19">
        <v>36453</v>
      </c>
      <c r="E133" s="19">
        <v>24217</v>
      </c>
      <c r="F133" s="19">
        <v>39814</v>
      </c>
      <c r="G133" s="19">
        <v>39539</v>
      </c>
      <c r="H133" s="19">
        <v>49590</v>
      </c>
      <c r="I133" s="19">
        <v>13272</v>
      </c>
      <c r="J133" s="19">
        <v>31285</v>
      </c>
      <c r="K133" s="19">
        <v>34709</v>
      </c>
      <c r="L133" s="19">
        <v>42880</v>
      </c>
      <c r="M133" s="19">
        <v>14205</v>
      </c>
      <c r="N133" s="19">
        <v>45375</v>
      </c>
      <c r="O133" s="24"/>
      <c r="P133" s="22">
        <f t="shared" ref="P133:P164" si="76">(C133-B133)/B133</f>
        <v>11.138495508389855</v>
      </c>
      <c r="Q133" s="22">
        <f t="shared" ref="Q133:Q164" si="77">(D133-B133)/B133</f>
        <v>12.109100455274497</v>
      </c>
      <c r="R133" s="22">
        <f t="shared" si="52"/>
        <v>7.7088329005948069</v>
      </c>
      <c r="S133" s="22">
        <f t="shared" si="53"/>
        <v>13.317771528442071</v>
      </c>
      <c r="T133" s="22">
        <f t="shared" si="54"/>
        <v>13.218876989578316</v>
      </c>
      <c r="U133" s="22">
        <f t="shared" si="55"/>
        <v>16.833382480922346</v>
      </c>
      <c r="V133" s="22">
        <f t="shared" si="56"/>
        <v>3.7728302538173297</v>
      </c>
      <c r="W133" s="22">
        <f t="shared" si="57"/>
        <v>10.250602357645809</v>
      </c>
      <c r="X133" s="22">
        <f t="shared" si="58"/>
        <v>11.481929270625807</v>
      </c>
      <c r="Y133" s="22">
        <f t="shared" si="59"/>
        <v>14.420355732646707</v>
      </c>
      <c r="Z133" s="22">
        <f t="shared" si="60"/>
        <v>4.1083524529441808</v>
      </c>
      <c r="AA133" s="22">
        <f t="shared" si="61"/>
        <v>15.31759891251969</v>
      </c>
      <c r="AB133" s="24"/>
      <c r="AC133" s="19">
        <f t="shared" ref="AC133:AC164" si="78">P133 /(C133 - P133)</f>
        <v>3.3009931617409443E-4</v>
      </c>
      <c r="AD133" s="19">
        <f t="shared" ref="AD133:AD164" si="79">Q133 / (D133 - Q133)</f>
        <v>3.3229430335979471E-4</v>
      </c>
      <c r="AE133" s="19">
        <f t="shared" ref="AE133:AE164" si="80">R133 / (E133 - R133)</f>
        <v>3.1842456052869343E-4</v>
      </c>
      <c r="AF133" s="19">
        <f t="shared" ref="AF133:AF164" si="81">S133 / (F133 - S133)</f>
        <v>3.3461163936821051E-4</v>
      </c>
      <c r="AG133" s="19">
        <f t="shared" ref="AG133:AG164" si="82">T133 / (G133 - T133)</f>
        <v>3.3443683120237653E-4</v>
      </c>
      <c r="AH133" s="19">
        <f t="shared" ref="AH133:AH164" si="83">U133 / (H133 - U133)</f>
        <v>3.3956641525041204E-4</v>
      </c>
      <c r="AI133" s="19">
        <f t="shared" ref="AI133:AI164" si="84">V133 / (I133 - V133)</f>
        <v>2.8435074298547024E-4</v>
      </c>
      <c r="AJ133" s="19">
        <f t="shared" ref="AJ133:AJ164" si="85">W133 / (J133 - W133)</f>
        <v>3.2775969608308197E-4</v>
      </c>
      <c r="AK133" s="19">
        <f t="shared" ref="AK133:AK164" si="86">X133 / (K133 - X133)</f>
        <v>3.3091500225521591E-4</v>
      </c>
      <c r="AL133" s="19">
        <f t="shared" ref="AL133:AL164" si="87">Y133 / (L133 - Y133)</f>
        <v>3.3640874221970817E-4</v>
      </c>
      <c r="AM133" s="19">
        <f t="shared" ref="AM133:AM164" si="88">Z133 / (M133 - Z133)</f>
        <v>2.8930242937624437E-4</v>
      </c>
      <c r="AN133" s="19">
        <f t="shared" ref="AN133:AN164" si="89">AA133 / (N133 - AA133)</f>
        <v>3.3769193481285174E-4</v>
      </c>
      <c r="AO133" s="24"/>
    </row>
    <row r="134" spans="1:41">
      <c r="A134" s="12" t="s">
        <v>397</v>
      </c>
      <c r="B134" s="12">
        <v>1342.61</v>
      </c>
      <c r="C134" s="19">
        <v>14024</v>
      </c>
      <c r="D134" s="19">
        <v>38667</v>
      </c>
      <c r="E134" s="19">
        <v>7125</v>
      </c>
      <c r="F134" s="19">
        <v>7480</v>
      </c>
      <c r="G134" s="19">
        <v>39744</v>
      </c>
      <c r="H134" s="19">
        <v>47366</v>
      </c>
      <c r="I134" s="19">
        <v>49748</v>
      </c>
      <c r="J134" s="19">
        <v>17877</v>
      </c>
      <c r="K134" s="19">
        <v>5956</v>
      </c>
      <c r="L134" s="19">
        <v>42381</v>
      </c>
      <c r="M134" s="19">
        <v>4068</v>
      </c>
      <c r="N134" s="19">
        <v>45668</v>
      </c>
      <c r="O134" s="24"/>
      <c r="P134" s="22">
        <f t="shared" si="76"/>
        <v>9.4453266399028752</v>
      </c>
      <c r="Q134" s="22">
        <f t="shared" si="77"/>
        <v>27.799874870587885</v>
      </c>
      <c r="R134" s="22">
        <f t="shared" ref="R134:R197" si="90">(E134-B134)/B134</f>
        <v>4.3068277459575013</v>
      </c>
      <c r="S134" s="22">
        <f t="shared" ref="S134:S197" si="91">(F134-B134)/B134</f>
        <v>4.5712381108438045</v>
      </c>
      <c r="T134" s="22">
        <f t="shared" ref="T134:T197" si="92">(G134-B134)/B134</f>
        <v>28.602043780397885</v>
      </c>
      <c r="U134" s="22">
        <f t="shared" ref="U134:U197" si="93">(H134-B134)/B134</f>
        <v>34.27904603719621</v>
      </c>
      <c r="V134" s="22">
        <f t="shared" ref="V134:V197" si="94">(I134-B134)/B134</f>
        <v>36.053202344686845</v>
      </c>
      <c r="W134" s="22">
        <f t="shared" ref="W134:W197" si="95">(J134-B134)/B134</f>
        <v>12.315110121330841</v>
      </c>
      <c r="X134" s="22">
        <f t="shared" ref="X134:X197" si="96">(K134-B134)/B134</f>
        <v>3.4361355866558423</v>
      </c>
      <c r="Y134" s="22">
        <f t="shared" ref="Y134:Y197" si="97">(L134-B134)/B134</f>
        <v>30.566128659849102</v>
      </c>
      <c r="Z134" s="22">
        <f t="shared" ref="Z134:Z197" si="98">(M134-B134)/B134</f>
        <v>2.0299193362182617</v>
      </c>
      <c r="AA134" s="22">
        <f t="shared" ref="AA134:AA197" si="99">(N134-B134)/B134</f>
        <v>33.014345193317496</v>
      </c>
      <c r="AB134" s="24"/>
      <c r="AC134" s="19">
        <f t="shared" si="78"/>
        <v>6.7396552084935323E-4</v>
      </c>
      <c r="AD134" s="19">
        <f t="shared" si="79"/>
        <v>7.1947335298247906E-4</v>
      </c>
      <c r="AE134" s="19">
        <f t="shared" si="80"/>
        <v>6.0483265347524909E-4</v>
      </c>
      <c r="AF134" s="19">
        <f t="shared" si="81"/>
        <v>6.1150179560919026E-4</v>
      </c>
      <c r="AG134" s="19">
        <f t="shared" si="82"/>
        <v>7.2017517769625374E-4</v>
      </c>
      <c r="AH134" s="19">
        <f t="shared" si="83"/>
        <v>7.2422986839075054E-4</v>
      </c>
      <c r="AI134" s="19">
        <f t="shared" si="84"/>
        <v>7.2524221373658439E-4</v>
      </c>
      <c r="AJ134" s="19">
        <f t="shared" si="85"/>
        <v>6.8935501506147648E-4</v>
      </c>
      <c r="AK134" s="19">
        <f t="shared" si="86"/>
        <v>5.7725304002168671E-4</v>
      </c>
      <c r="AL134" s="19">
        <f t="shared" si="87"/>
        <v>7.2174298739673939E-4</v>
      </c>
      <c r="AM134" s="19">
        <f t="shared" si="88"/>
        <v>4.9924600918039013E-4</v>
      </c>
      <c r="AN134" s="19">
        <f t="shared" si="89"/>
        <v>7.2344375087669453E-4</v>
      </c>
      <c r="AO134" s="24"/>
    </row>
    <row r="135" spans="1:41">
      <c r="A135" s="12" t="s">
        <v>396</v>
      </c>
      <c r="B135" s="12">
        <v>2709.06</v>
      </c>
      <c r="C135" s="19">
        <v>18575</v>
      </c>
      <c r="D135" s="19">
        <v>3495</v>
      </c>
      <c r="E135" s="19">
        <v>44987</v>
      </c>
      <c r="F135" s="19">
        <v>19382</v>
      </c>
      <c r="G135" s="19">
        <v>21377</v>
      </c>
      <c r="H135" s="19">
        <v>8556</v>
      </c>
      <c r="I135" s="19">
        <v>48272</v>
      </c>
      <c r="J135" s="19">
        <v>9045</v>
      </c>
      <c r="K135" s="19">
        <v>19236</v>
      </c>
      <c r="L135" s="19">
        <v>31739</v>
      </c>
      <c r="M135" s="19">
        <v>4296</v>
      </c>
      <c r="N135" s="19">
        <v>45953</v>
      </c>
      <c r="O135" s="24"/>
      <c r="P135" s="22">
        <f t="shared" si="76"/>
        <v>5.8566218540748451</v>
      </c>
      <c r="Q135" s="22">
        <f t="shared" si="77"/>
        <v>0.29011539057828178</v>
      </c>
      <c r="R135" s="22">
        <f t="shared" si="90"/>
        <v>15.606129063217502</v>
      </c>
      <c r="S135" s="22">
        <f t="shared" si="91"/>
        <v>6.1545111588521477</v>
      </c>
      <c r="T135" s="22">
        <f t="shared" si="92"/>
        <v>6.8909289569075618</v>
      </c>
      <c r="U135" s="22">
        <f t="shared" si="93"/>
        <v>2.1582910677504374</v>
      </c>
      <c r="V135" s="22">
        <f t="shared" si="94"/>
        <v>16.818726790842582</v>
      </c>
      <c r="W135" s="22">
        <f t="shared" si="95"/>
        <v>2.3387964829128927</v>
      </c>
      <c r="X135" s="22">
        <f t="shared" si="96"/>
        <v>6.1006179265132552</v>
      </c>
      <c r="Y135" s="22">
        <f t="shared" si="97"/>
        <v>10.715871926055533</v>
      </c>
      <c r="Z135" s="22">
        <f t="shared" si="98"/>
        <v>0.5857899049854931</v>
      </c>
      <c r="AA135" s="22">
        <f t="shared" si="99"/>
        <v>15.962710312802228</v>
      </c>
      <c r="AB135" s="24"/>
      <c r="AC135" s="19">
        <f t="shared" si="78"/>
        <v>3.1539537041689925E-4</v>
      </c>
      <c r="AD135" s="19">
        <f t="shared" si="79"/>
        <v>8.3015586459963292E-5</v>
      </c>
      <c r="AE135" s="19">
        <f t="shared" si="80"/>
        <v>3.4702346802959827E-4</v>
      </c>
      <c r="AF135" s="19">
        <f t="shared" si="81"/>
        <v>3.1763832770015778E-4</v>
      </c>
      <c r="AG135" s="19">
        <f t="shared" si="82"/>
        <v>3.2245642425124085E-4</v>
      </c>
      <c r="AH135" s="19">
        <f t="shared" si="83"/>
        <v>2.5231833148100776E-4</v>
      </c>
      <c r="AI135" s="19">
        <f t="shared" si="84"/>
        <v>3.4853722122851478E-4</v>
      </c>
      <c r="AJ135" s="19">
        <f t="shared" si="85"/>
        <v>2.5864028633553496E-4</v>
      </c>
      <c r="AK135" s="19">
        <f t="shared" si="86"/>
        <v>3.1724648191349238E-4</v>
      </c>
      <c r="AL135" s="19">
        <f t="shared" si="87"/>
        <v>3.377387785232884E-4</v>
      </c>
      <c r="AM135" s="19">
        <f t="shared" si="88"/>
        <v>1.3637565001502739E-4</v>
      </c>
      <c r="AN135" s="19">
        <f t="shared" si="89"/>
        <v>3.474910715756115E-4</v>
      </c>
      <c r="AO135" s="24"/>
    </row>
    <row r="136" spans="1:41">
      <c r="A136" s="12" t="s">
        <v>396</v>
      </c>
      <c r="B136" s="12">
        <v>2639.78</v>
      </c>
      <c r="C136" s="19">
        <v>35386</v>
      </c>
      <c r="D136" s="19">
        <v>15955</v>
      </c>
      <c r="E136" s="19">
        <v>46804</v>
      </c>
      <c r="F136" s="19">
        <v>43348</v>
      </c>
      <c r="G136" s="19">
        <v>14972</v>
      </c>
      <c r="H136" s="19">
        <v>16141</v>
      </c>
      <c r="I136" s="19">
        <v>46784</v>
      </c>
      <c r="J136" s="19">
        <v>6902</v>
      </c>
      <c r="K136" s="19">
        <v>36218</v>
      </c>
      <c r="L136" s="19">
        <v>15343</v>
      </c>
      <c r="M136" s="19">
        <v>7949</v>
      </c>
      <c r="N136" s="19">
        <v>30752</v>
      </c>
      <c r="O136" s="24"/>
      <c r="P136" s="22">
        <f t="shared" si="76"/>
        <v>12.404904954200727</v>
      </c>
      <c r="Q136" s="22">
        <f t="shared" si="77"/>
        <v>5.0440642780837788</v>
      </c>
      <c r="R136" s="22">
        <f t="shared" si="90"/>
        <v>16.730265400904621</v>
      </c>
      <c r="S136" s="22">
        <f t="shared" si="91"/>
        <v>15.421065391812954</v>
      </c>
      <c r="T136" s="22">
        <f t="shared" si="92"/>
        <v>4.6716847616089217</v>
      </c>
      <c r="U136" s="22">
        <f t="shared" si="93"/>
        <v>5.1145246952397541</v>
      </c>
      <c r="V136" s="22">
        <f t="shared" si="94"/>
        <v>16.722689011963116</v>
      </c>
      <c r="W136" s="22">
        <f t="shared" si="95"/>
        <v>1.6146118237125817</v>
      </c>
      <c r="X136" s="22">
        <f t="shared" si="96"/>
        <v>12.72008273416724</v>
      </c>
      <c r="Y136" s="22">
        <f t="shared" si="97"/>
        <v>4.8122267764737963</v>
      </c>
      <c r="Z136" s="22">
        <f t="shared" si="98"/>
        <v>2.011235784800248</v>
      </c>
      <c r="AA136" s="22">
        <f t="shared" si="99"/>
        <v>10.649455636454553</v>
      </c>
      <c r="AB136" s="24"/>
      <c r="AC136" s="19">
        <f t="shared" si="78"/>
        <v>3.5068261851445455E-4</v>
      </c>
      <c r="AD136" s="19">
        <f t="shared" si="79"/>
        <v>3.1624314815735429E-4</v>
      </c>
      <c r="AE136" s="19">
        <f t="shared" si="80"/>
        <v>3.5758157070944925E-4</v>
      </c>
      <c r="AF136" s="19">
        <f t="shared" si="81"/>
        <v>3.5587693534429126E-4</v>
      </c>
      <c r="AG136" s="19">
        <f t="shared" si="82"/>
        <v>3.1212549515952228E-4</v>
      </c>
      <c r="AH136" s="19">
        <f t="shared" si="83"/>
        <v>3.1696585248248705E-4</v>
      </c>
      <c r="AI136" s="19">
        <f t="shared" si="84"/>
        <v>3.5757243041459027E-4</v>
      </c>
      <c r="AJ136" s="19">
        <f t="shared" si="85"/>
        <v>2.3398864452979631E-4</v>
      </c>
      <c r="AK136" s="19">
        <f t="shared" si="86"/>
        <v>3.5133225770479944E-4</v>
      </c>
      <c r="AL136" s="19">
        <f t="shared" si="87"/>
        <v>3.1374154806441273E-4</v>
      </c>
      <c r="AM136" s="19">
        <f t="shared" si="88"/>
        <v>2.5308149344022211E-4</v>
      </c>
      <c r="AN136" s="19">
        <f t="shared" si="89"/>
        <v>3.4642120296849289E-4</v>
      </c>
      <c r="AO136" s="24"/>
    </row>
    <row r="137" spans="1:41">
      <c r="A137" s="12" t="s">
        <v>397</v>
      </c>
      <c r="B137" s="12">
        <v>985.73</v>
      </c>
      <c r="C137" s="19">
        <v>3128</v>
      </c>
      <c r="D137" s="19">
        <v>38253</v>
      </c>
      <c r="E137" s="19">
        <v>11667</v>
      </c>
      <c r="F137" s="19">
        <v>42491</v>
      </c>
      <c r="G137" s="19">
        <v>7393</v>
      </c>
      <c r="H137" s="19">
        <v>27617</v>
      </c>
      <c r="I137" s="19">
        <v>26603</v>
      </c>
      <c r="J137" s="19">
        <v>4218</v>
      </c>
      <c r="K137" s="19">
        <v>43862</v>
      </c>
      <c r="L137" s="19">
        <v>43772</v>
      </c>
      <c r="M137" s="19">
        <v>6946</v>
      </c>
      <c r="N137" s="19">
        <v>12567</v>
      </c>
      <c r="O137" s="24"/>
      <c r="P137" s="22">
        <f t="shared" si="76"/>
        <v>2.1732827447678371</v>
      </c>
      <c r="Q137" s="22">
        <f t="shared" si="77"/>
        <v>37.806772645653474</v>
      </c>
      <c r="R137" s="22">
        <f t="shared" si="90"/>
        <v>10.835898268288476</v>
      </c>
      <c r="S137" s="22">
        <f t="shared" si="91"/>
        <v>42.106124395118336</v>
      </c>
      <c r="T137" s="22">
        <f t="shared" si="92"/>
        <v>6.5000253619145205</v>
      </c>
      <c r="U137" s="22">
        <f t="shared" si="93"/>
        <v>27.016799732178182</v>
      </c>
      <c r="V137" s="22">
        <f t="shared" si="94"/>
        <v>25.988120479238738</v>
      </c>
      <c r="W137" s="22">
        <f t="shared" si="95"/>
        <v>3.279062217848701</v>
      </c>
      <c r="X137" s="22">
        <f t="shared" si="96"/>
        <v>43.496971787406281</v>
      </c>
      <c r="Y137" s="22">
        <f t="shared" si="97"/>
        <v>43.405668895133552</v>
      </c>
      <c r="Z137" s="22">
        <f t="shared" si="98"/>
        <v>6.0465543302932856</v>
      </c>
      <c r="AA137" s="22">
        <f t="shared" si="99"/>
        <v>11.748927191015795</v>
      </c>
      <c r="AB137" s="24"/>
      <c r="AC137" s="19">
        <f t="shared" si="78"/>
        <v>6.9526654589355556E-4</v>
      </c>
      <c r="AD137" s="19">
        <f t="shared" si="79"/>
        <v>9.8931261241383623E-4</v>
      </c>
      <c r="AE137" s="19">
        <f t="shared" si="80"/>
        <v>9.2962814985408698E-4</v>
      </c>
      <c r="AF137" s="19">
        <f t="shared" si="81"/>
        <v>9.9192512574082558E-4</v>
      </c>
      <c r="AG137" s="19">
        <f t="shared" si="82"/>
        <v>8.7998719071721116E-4</v>
      </c>
      <c r="AH137" s="19">
        <f t="shared" si="83"/>
        <v>9.792249432002526E-4</v>
      </c>
      <c r="AI137" s="19">
        <f t="shared" si="84"/>
        <v>9.7784207634208113E-4</v>
      </c>
      <c r="AJ137" s="19">
        <f t="shared" si="85"/>
        <v>7.7800221325547412E-4</v>
      </c>
      <c r="AK137" s="19">
        <f t="shared" si="86"/>
        <v>9.9266220389593643E-4</v>
      </c>
      <c r="AL137" s="19">
        <f t="shared" si="87"/>
        <v>9.9261523401538636E-4</v>
      </c>
      <c r="AM137" s="19">
        <f t="shared" si="88"/>
        <v>8.7126727544060522E-4</v>
      </c>
      <c r="AN137" s="19">
        <f t="shared" si="89"/>
        <v>9.3577795640109097E-4</v>
      </c>
      <c r="AO137" s="24"/>
    </row>
    <row r="138" spans="1:41">
      <c r="A138" s="12" t="s">
        <v>396</v>
      </c>
      <c r="B138" s="12">
        <v>2613.2600000000002</v>
      </c>
      <c r="C138" s="19">
        <v>43174</v>
      </c>
      <c r="D138" s="19">
        <v>39715</v>
      </c>
      <c r="E138" s="19">
        <v>10126</v>
      </c>
      <c r="F138" s="19">
        <v>12899</v>
      </c>
      <c r="G138" s="19">
        <v>3432</v>
      </c>
      <c r="H138" s="19">
        <v>20005</v>
      </c>
      <c r="I138" s="19">
        <v>15406</v>
      </c>
      <c r="J138" s="19">
        <v>48474</v>
      </c>
      <c r="K138" s="19">
        <v>28109</v>
      </c>
      <c r="L138" s="19">
        <v>1432</v>
      </c>
      <c r="M138" s="19">
        <v>42796</v>
      </c>
      <c r="N138" s="19">
        <v>27693</v>
      </c>
      <c r="O138" s="24"/>
      <c r="P138" s="22">
        <f t="shared" si="76"/>
        <v>15.521126868355998</v>
      </c>
      <c r="Q138" s="22">
        <f t="shared" si="77"/>
        <v>14.197492786787382</v>
      </c>
      <c r="R138" s="22">
        <f t="shared" si="90"/>
        <v>2.8748536310967907</v>
      </c>
      <c r="S138" s="22">
        <f t="shared" si="91"/>
        <v>3.9359803463872707</v>
      </c>
      <c r="T138" s="22">
        <f t="shared" si="92"/>
        <v>0.3133021589891552</v>
      </c>
      <c r="U138" s="22">
        <f t="shared" si="93"/>
        <v>6.6551893037814827</v>
      </c>
      <c r="V138" s="22">
        <f t="shared" si="94"/>
        <v>4.895318491080106</v>
      </c>
      <c r="W138" s="22">
        <f t="shared" si="95"/>
        <v>17.549245004324099</v>
      </c>
      <c r="X138" s="22">
        <f t="shared" si="96"/>
        <v>9.7562967328164802</v>
      </c>
      <c r="Y138" s="22">
        <f t="shared" si="97"/>
        <v>-0.45202543948937346</v>
      </c>
      <c r="Z138" s="22">
        <f t="shared" si="98"/>
        <v>15.376479952243555</v>
      </c>
      <c r="AA138" s="22">
        <f t="shared" si="99"/>
        <v>9.5971085923329458</v>
      </c>
      <c r="AB138" s="24"/>
      <c r="AC138" s="19">
        <f t="shared" si="78"/>
        <v>3.5963099890479899E-4</v>
      </c>
      <c r="AD138" s="19">
        <f t="shared" si="79"/>
        <v>3.576122367855876E-4</v>
      </c>
      <c r="AE138" s="19">
        <f t="shared" si="80"/>
        <v>2.8398874749938074E-4</v>
      </c>
      <c r="AF138" s="19">
        <f t="shared" si="81"/>
        <v>3.0523154754318147E-4</v>
      </c>
      <c r="AG138" s="19">
        <f t="shared" si="82"/>
        <v>9.12968422164716E-5</v>
      </c>
      <c r="AH138" s="19">
        <f t="shared" si="83"/>
        <v>3.32787006463751E-4</v>
      </c>
      <c r="AI138" s="19">
        <f t="shared" si="84"/>
        <v>3.178550235398107E-4</v>
      </c>
      <c r="AJ138" s="19">
        <f t="shared" si="85"/>
        <v>3.6216529958118816E-4</v>
      </c>
      <c r="AK138" s="19">
        <f t="shared" si="86"/>
        <v>3.4720851692111865E-4</v>
      </c>
      <c r="AL138" s="19">
        <f t="shared" si="87"/>
        <v>-3.1556061317354622E-4</v>
      </c>
      <c r="AM138" s="19">
        <f t="shared" si="88"/>
        <v>3.5942627028420624E-4</v>
      </c>
      <c r="AN138" s="19">
        <f t="shared" si="89"/>
        <v>3.4667373191002042E-4</v>
      </c>
      <c r="AO138" s="24"/>
    </row>
    <row r="139" spans="1:41">
      <c r="A139" s="12" t="s">
        <v>396</v>
      </c>
      <c r="B139" s="12">
        <v>1158.23</v>
      </c>
      <c r="C139" s="19">
        <v>48756</v>
      </c>
      <c r="D139" s="19">
        <v>14866</v>
      </c>
      <c r="E139" s="19">
        <v>43227</v>
      </c>
      <c r="F139" s="19">
        <v>30574</v>
      </c>
      <c r="G139" s="19">
        <v>28811</v>
      </c>
      <c r="H139" s="19">
        <v>20453</v>
      </c>
      <c r="I139" s="19">
        <v>4437</v>
      </c>
      <c r="J139" s="19">
        <v>49987</v>
      </c>
      <c r="K139" s="19">
        <v>43765</v>
      </c>
      <c r="L139" s="19">
        <v>38218</v>
      </c>
      <c r="M139" s="19">
        <v>38588</v>
      </c>
      <c r="N139" s="19">
        <v>41793</v>
      </c>
      <c r="O139" s="24"/>
      <c r="P139" s="22">
        <f t="shared" si="76"/>
        <v>41.095266052511157</v>
      </c>
      <c r="Q139" s="22">
        <f t="shared" si="77"/>
        <v>11.835101836422817</v>
      </c>
      <c r="R139" s="22">
        <f t="shared" si="90"/>
        <v>36.321602790464759</v>
      </c>
      <c r="S139" s="22">
        <f t="shared" si="91"/>
        <v>25.397174999784152</v>
      </c>
      <c r="T139" s="22">
        <f t="shared" si="92"/>
        <v>23.875024822358252</v>
      </c>
      <c r="U139" s="22">
        <f t="shared" si="93"/>
        <v>16.658841508163317</v>
      </c>
      <c r="V139" s="22">
        <f t="shared" si="94"/>
        <v>2.8308453415988186</v>
      </c>
      <c r="W139" s="22">
        <f t="shared" si="95"/>
        <v>42.158094678949773</v>
      </c>
      <c r="X139" s="22">
        <f t="shared" si="96"/>
        <v>36.786104659696257</v>
      </c>
      <c r="Y139" s="22">
        <f t="shared" si="97"/>
        <v>31.996900442917205</v>
      </c>
      <c r="Z139" s="22">
        <f t="shared" si="98"/>
        <v>32.316353401310614</v>
      </c>
      <c r="AA139" s="22">
        <f t="shared" si="99"/>
        <v>35.083506730096779</v>
      </c>
      <c r="AB139" s="24"/>
      <c r="AC139" s="19">
        <f t="shared" si="78"/>
        <v>8.4358711726831097E-4</v>
      </c>
      <c r="AD139" s="19">
        <f t="shared" si="79"/>
        <v>7.967530936650631E-4</v>
      </c>
      <c r="AE139" s="19">
        <f t="shared" si="80"/>
        <v>8.4095930275574057E-4</v>
      </c>
      <c r="AF139" s="19">
        <f t="shared" si="81"/>
        <v>8.3136944577379287E-4</v>
      </c>
      <c r="AG139" s="19">
        <f t="shared" si="82"/>
        <v>8.2936468448811893E-4</v>
      </c>
      <c r="AH139" s="19">
        <f t="shared" si="83"/>
        <v>8.1515773195247969E-4</v>
      </c>
      <c r="AI139" s="19">
        <f t="shared" si="84"/>
        <v>6.3841618189617775E-4</v>
      </c>
      <c r="AJ139" s="19">
        <f t="shared" si="85"/>
        <v>8.4409306488280841E-4</v>
      </c>
      <c r="AK139" s="19">
        <f t="shared" si="86"/>
        <v>8.412441621270106E-4</v>
      </c>
      <c r="AL139" s="19">
        <f t="shared" si="87"/>
        <v>8.3792221876419248E-4</v>
      </c>
      <c r="AM139" s="19">
        <f t="shared" si="88"/>
        <v>8.3817352838357723E-4</v>
      </c>
      <c r="AN139" s="19">
        <f t="shared" si="89"/>
        <v>8.4016420540883937E-4</v>
      </c>
      <c r="AO139" s="24"/>
    </row>
    <row r="140" spans="1:41">
      <c r="A140" s="12" t="s">
        <v>396</v>
      </c>
      <c r="B140" s="12">
        <v>925.76</v>
      </c>
      <c r="C140" s="19">
        <v>39926</v>
      </c>
      <c r="D140" s="19">
        <v>12378</v>
      </c>
      <c r="E140" s="19">
        <v>47978</v>
      </c>
      <c r="F140" s="19">
        <v>19980</v>
      </c>
      <c r="G140" s="19">
        <v>40458</v>
      </c>
      <c r="H140" s="19">
        <v>48354</v>
      </c>
      <c r="I140" s="19">
        <v>17207</v>
      </c>
      <c r="J140" s="19">
        <v>37739</v>
      </c>
      <c r="K140" s="19">
        <v>34917</v>
      </c>
      <c r="L140" s="19">
        <v>22963</v>
      </c>
      <c r="M140" s="19">
        <v>18033</v>
      </c>
      <c r="N140" s="19">
        <v>27562</v>
      </c>
      <c r="O140" s="24"/>
      <c r="P140" s="22">
        <f t="shared" si="76"/>
        <v>42.127808503283788</v>
      </c>
      <c r="Q140" s="22">
        <f t="shared" si="77"/>
        <v>12.370636017974421</v>
      </c>
      <c r="R140" s="22">
        <f t="shared" si="90"/>
        <v>50.825527134462497</v>
      </c>
      <c r="S140" s="22">
        <f t="shared" si="91"/>
        <v>20.58226754234359</v>
      </c>
      <c r="T140" s="22">
        <f t="shared" si="92"/>
        <v>42.702471482889734</v>
      </c>
      <c r="U140" s="22">
        <f t="shared" si="93"/>
        <v>51.231679917041134</v>
      </c>
      <c r="V140" s="22">
        <f t="shared" si="94"/>
        <v>17.58689077082613</v>
      </c>
      <c r="W140" s="22">
        <f t="shared" si="95"/>
        <v>39.765425164189423</v>
      </c>
      <c r="X140" s="22">
        <f t="shared" si="96"/>
        <v>36.717118907708262</v>
      </c>
      <c r="Y140" s="22">
        <f t="shared" si="97"/>
        <v>23.804484963705498</v>
      </c>
      <c r="Z140" s="22">
        <f t="shared" si="98"/>
        <v>18.479130660214313</v>
      </c>
      <c r="AA140" s="22">
        <f t="shared" si="99"/>
        <v>28.772295195298998</v>
      </c>
      <c r="AB140" s="24"/>
      <c r="AC140" s="19">
        <f t="shared" si="78"/>
        <v>1.0562617466281391E-3</v>
      </c>
      <c r="AD140" s="19">
        <f t="shared" si="79"/>
        <v>1.0004048846884396E-3</v>
      </c>
      <c r="AE140" s="19">
        <f t="shared" si="80"/>
        <v>1.060474098326783E-3</v>
      </c>
      <c r="AF140" s="19">
        <f t="shared" si="81"/>
        <v>1.0312058106220737E-3</v>
      </c>
      <c r="AG140" s="19">
        <f t="shared" si="82"/>
        <v>1.0565917881158438E-3</v>
      </c>
      <c r="AH140" s="19">
        <f t="shared" si="83"/>
        <v>1.06063651626651E-3</v>
      </c>
      <c r="AI140" s="19">
        <f t="shared" si="84"/>
        <v>1.0231233992150405E-3</v>
      </c>
      <c r="AJ140" s="19">
        <f t="shared" si="85"/>
        <v>1.0548072291826527E-3</v>
      </c>
      <c r="AK140" s="19">
        <f t="shared" si="86"/>
        <v>1.0526611562434222E-3</v>
      </c>
      <c r="AL140" s="19">
        <f t="shared" si="87"/>
        <v>1.0377210023822334E-3</v>
      </c>
      <c r="AM140" s="19">
        <f t="shared" si="88"/>
        <v>1.0257908491846308E-3</v>
      </c>
      <c r="AN140" s="19">
        <f t="shared" si="89"/>
        <v>1.0450026238760983E-3</v>
      </c>
      <c r="AO140" s="24"/>
    </row>
    <row r="141" spans="1:41">
      <c r="A141" s="12" t="s">
        <v>395</v>
      </c>
      <c r="B141" s="12">
        <v>1964.77</v>
      </c>
      <c r="C141" s="19">
        <v>31821</v>
      </c>
      <c r="D141" s="19">
        <v>18712</v>
      </c>
      <c r="E141" s="19">
        <v>21610</v>
      </c>
      <c r="F141" s="19">
        <v>25253</v>
      </c>
      <c r="G141" s="19">
        <v>48664</v>
      </c>
      <c r="H141" s="19">
        <v>13931</v>
      </c>
      <c r="I141" s="19">
        <v>11780</v>
      </c>
      <c r="J141" s="19">
        <v>44085</v>
      </c>
      <c r="K141" s="19">
        <v>15242</v>
      </c>
      <c r="L141" s="19">
        <v>30025</v>
      </c>
      <c r="M141" s="19">
        <v>6476</v>
      </c>
      <c r="N141" s="19">
        <v>32148</v>
      </c>
      <c r="O141" s="24"/>
      <c r="P141" s="22">
        <f t="shared" si="76"/>
        <v>15.195788820065452</v>
      </c>
      <c r="Q141" s="22">
        <f t="shared" si="77"/>
        <v>8.523761050911812</v>
      </c>
      <c r="R141" s="22">
        <f t="shared" si="90"/>
        <v>9.9987428553978326</v>
      </c>
      <c r="S141" s="22">
        <f t="shared" si="91"/>
        <v>11.852903902237921</v>
      </c>
      <c r="T141" s="22">
        <f t="shared" si="92"/>
        <v>23.76829348982324</v>
      </c>
      <c r="U141" s="22">
        <f t="shared" si="93"/>
        <v>6.090397349308061</v>
      </c>
      <c r="V141" s="22">
        <f t="shared" si="94"/>
        <v>4.9956127180280641</v>
      </c>
      <c r="W141" s="22">
        <f t="shared" si="95"/>
        <v>21.437740804267168</v>
      </c>
      <c r="X141" s="22">
        <f t="shared" si="96"/>
        <v>6.7576510227660229</v>
      </c>
      <c r="Y141" s="22">
        <f t="shared" si="97"/>
        <v>14.281686915007864</v>
      </c>
      <c r="Z141" s="22">
        <f t="shared" si="98"/>
        <v>2.2960600986374993</v>
      </c>
      <c r="AA141" s="22">
        <f t="shared" si="99"/>
        <v>15.362220514360459</v>
      </c>
      <c r="AB141" s="24"/>
      <c r="AC141" s="19">
        <f t="shared" si="78"/>
        <v>4.77767791034947E-4</v>
      </c>
      <c r="AD141" s="19">
        <f t="shared" si="79"/>
        <v>4.5573138073453371E-4</v>
      </c>
      <c r="AE141" s="19">
        <f t="shared" si="80"/>
        <v>4.6290473488239093E-4</v>
      </c>
      <c r="AF141" s="19">
        <f t="shared" si="81"/>
        <v>4.6958657849865948E-4</v>
      </c>
      <c r="AG141" s="19">
        <f t="shared" si="82"/>
        <v>4.886550219011808E-4</v>
      </c>
      <c r="AH141" s="19">
        <f t="shared" si="83"/>
        <v>4.3737428271338409E-4</v>
      </c>
      <c r="AI141" s="19">
        <f t="shared" si="84"/>
        <v>4.2425569908269078E-4</v>
      </c>
      <c r="AJ141" s="19">
        <f t="shared" si="85"/>
        <v>4.8651855876208176E-4</v>
      </c>
      <c r="AK141" s="19">
        <f t="shared" si="86"/>
        <v>4.4355389090477282E-4</v>
      </c>
      <c r="AL141" s="19">
        <f t="shared" si="87"/>
        <v>4.7588620725485593E-4</v>
      </c>
      <c r="AM141" s="19">
        <f t="shared" si="88"/>
        <v>3.5467486927931452E-4</v>
      </c>
      <c r="AN141" s="19">
        <f t="shared" si="89"/>
        <v>4.7808775052286942E-4</v>
      </c>
      <c r="AO141" s="24"/>
    </row>
    <row r="142" spans="1:41">
      <c r="A142" s="12" t="s">
        <v>398</v>
      </c>
      <c r="B142" s="12">
        <v>1018.72</v>
      </c>
      <c r="C142" s="19">
        <v>40715</v>
      </c>
      <c r="D142" s="19">
        <v>5842</v>
      </c>
      <c r="E142" s="19">
        <v>30639</v>
      </c>
      <c r="F142" s="19">
        <v>28374</v>
      </c>
      <c r="G142" s="19">
        <v>19674</v>
      </c>
      <c r="H142" s="19">
        <v>13562</v>
      </c>
      <c r="I142" s="19">
        <v>21946</v>
      </c>
      <c r="J142" s="19">
        <v>29693</v>
      </c>
      <c r="K142" s="19">
        <v>5642</v>
      </c>
      <c r="L142" s="19">
        <v>21278</v>
      </c>
      <c r="M142" s="19">
        <v>46912</v>
      </c>
      <c r="N142" s="19">
        <v>7007</v>
      </c>
      <c r="O142" s="24"/>
      <c r="P142" s="22">
        <f t="shared" si="76"/>
        <v>38.966821108842467</v>
      </c>
      <c r="Q142" s="22">
        <f t="shared" si="77"/>
        <v>4.7346474006596511</v>
      </c>
      <c r="R142" s="22">
        <f t="shared" si="90"/>
        <v>29.075977697502747</v>
      </c>
      <c r="S142" s="22">
        <f t="shared" si="91"/>
        <v>26.852599340348672</v>
      </c>
      <c r="T142" s="22">
        <f t="shared" si="92"/>
        <v>18.312470551280036</v>
      </c>
      <c r="U142" s="22">
        <f t="shared" si="93"/>
        <v>12.312784670959635</v>
      </c>
      <c r="V142" s="22">
        <f t="shared" si="94"/>
        <v>20.542720276425317</v>
      </c>
      <c r="W142" s="22">
        <f t="shared" si="95"/>
        <v>28.147361394691377</v>
      </c>
      <c r="X142" s="22">
        <f t="shared" si="96"/>
        <v>4.5383226009109467</v>
      </c>
      <c r="Y142" s="22">
        <f t="shared" si="97"/>
        <v>19.886995445264645</v>
      </c>
      <c r="Z142" s="22">
        <f t="shared" si="98"/>
        <v>45.049945029056069</v>
      </c>
      <c r="AA142" s="22">
        <f t="shared" si="99"/>
        <v>5.8782393591958533</v>
      </c>
      <c r="AB142" s="24"/>
      <c r="AC142" s="19">
        <f t="shared" si="78"/>
        <v>9.5797987324546473E-4</v>
      </c>
      <c r="AD142" s="19">
        <f t="shared" si="79"/>
        <v>8.1110710489652618E-4</v>
      </c>
      <c r="AE142" s="19">
        <f t="shared" si="80"/>
        <v>9.4988728741430032E-4</v>
      </c>
      <c r="AF142" s="19">
        <f t="shared" si="81"/>
        <v>9.4727695033341519E-4</v>
      </c>
      <c r="AG142" s="19">
        <f t="shared" si="82"/>
        <v>9.3166268154414652E-4</v>
      </c>
      <c r="AH142" s="19">
        <f t="shared" si="83"/>
        <v>9.0871357215020635E-4</v>
      </c>
      <c r="AI142" s="19">
        <f t="shared" si="84"/>
        <v>9.3693463330513994E-4</v>
      </c>
      <c r="AJ142" s="19">
        <f t="shared" si="85"/>
        <v>9.4884548180970577E-4</v>
      </c>
      <c r="AK142" s="19">
        <f t="shared" si="86"/>
        <v>8.050294371144633E-4</v>
      </c>
      <c r="AL142" s="19">
        <f t="shared" si="87"/>
        <v>9.3550144554239989E-4</v>
      </c>
      <c r="AM142" s="19">
        <f t="shared" si="88"/>
        <v>9.6123056815551936E-4</v>
      </c>
      <c r="AN142" s="19">
        <f t="shared" si="89"/>
        <v>8.3961393047645339E-4</v>
      </c>
      <c r="AO142" s="24"/>
    </row>
    <row r="143" spans="1:41">
      <c r="A143" s="12" t="s">
        <v>399</v>
      </c>
      <c r="B143" s="12">
        <v>1909.12</v>
      </c>
      <c r="C143" s="19">
        <v>4590</v>
      </c>
      <c r="D143" s="19">
        <v>19502</v>
      </c>
      <c r="E143" s="19">
        <v>48348</v>
      </c>
      <c r="F143" s="19">
        <v>2018</v>
      </c>
      <c r="G143" s="19">
        <v>7299</v>
      </c>
      <c r="H143" s="19">
        <v>33764</v>
      </c>
      <c r="I143" s="19">
        <v>30161</v>
      </c>
      <c r="J143" s="19">
        <v>47316</v>
      </c>
      <c r="K143" s="19">
        <v>48876</v>
      </c>
      <c r="L143" s="19">
        <v>39804</v>
      </c>
      <c r="M143" s="19">
        <v>30000</v>
      </c>
      <c r="N143" s="19">
        <v>25458</v>
      </c>
      <c r="O143" s="24"/>
      <c r="P143" s="22">
        <f t="shared" si="76"/>
        <v>1.404249078109286</v>
      </c>
      <c r="Q143" s="22">
        <f t="shared" si="77"/>
        <v>9.2151776734830726</v>
      </c>
      <c r="R143" s="22">
        <f t="shared" si="90"/>
        <v>24.324756956084478</v>
      </c>
      <c r="S143" s="22">
        <f t="shared" si="91"/>
        <v>5.7031511900771097E-2</v>
      </c>
      <c r="T143" s="22">
        <f t="shared" si="92"/>
        <v>2.8232274555816295</v>
      </c>
      <c r="U143" s="22">
        <f t="shared" si="93"/>
        <v>16.685635266510225</v>
      </c>
      <c r="V143" s="22">
        <f t="shared" si="94"/>
        <v>14.798378310425747</v>
      </c>
      <c r="W143" s="22">
        <f t="shared" si="95"/>
        <v>23.784193764666444</v>
      </c>
      <c r="X143" s="22">
        <f t="shared" si="96"/>
        <v>24.601324170298358</v>
      </c>
      <c r="Y143" s="22">
        <f t="shared" si="97"/>
        <v>19.849396580623534</v>
      </c>
      <c r="Z143" s="22">
        <f t="shared" si="98"/>
        <v>14.714046262152197</v>
      </c>
      <c r="AA143" s="22">
        <f t="shared" si="99"/>
        <v>12.334939658062355</v>
      </c>
      <c r="AB143" s="24"/>
      <c r="AC143" s="19">
        <f t="shared" si="78"/>
        <v>3.0603024418247339E-4</v>
      </c>
      <c r="AD143" s="19">
        <f t="shared" si="79"/>
        <v>4.7274813514220162E-4</v>
      </c>
      <c r="AE143" s="19">
        <f t="shared" si="80"/>
        <v>5.033714185384931E-4</v>
      </c>
      <c r="AF143" s="19">
        <f t="shared" si="81"/>
        <v>2.8262202049991899E-5</v>
      </c>
      <c r="AG143" s="19">
        <f t="shared" si="82"/>
        <v>3.8694614228721277E-4</v>
      </c>
      <c r="AH143" s="19">
        <f t="shared" si="83"/>
        <v>4.9442853692520774E-4</v>
      </c>
      <c r="AI143" s="19">
        <f t="shared" si="84"/>
        <v>4.9088699452532738E-4</v>
      </c>
      <c r="AJ143" s="19">
        <f t="shared" si="85"/>
        <v>5.0291984334408305E-4</v>
      </c>
      <c r="AK143" s="19">
        <f t="shared" si="86"/>
        <v>5.0359508298931065E-4</v>
      </c>
      <c r="AL143" s="19">
        <f t="shared" si="87"/>
        <v>4.9892724312474107E-4</v>
      </c>
      <c r="AM143" s="19">
        <f t="shared" si="88"/>
        <v>4.9070888584665977E-4</v>
      </c>
      <c r="AN143" s="19">
        <f t="shared" si="89"/>
        <v>4.8475603325011304E-4</v>
      </c>
      <c r="AO143" s="24"/>
    </row>
    <row r="144" spans="1:41">
      <c r="A144" s="12" t="s">
        <v>395</v>
      </c>
      <c r="B144" s="12">
        <v>1849</v>
      </c>
      <c r="C144" s="19">
        <v>45217</v>
      </c>
      <c r="D144" s="19">
        <v>42692</v>
      </c>
      <c r="E144" s="19">
        <v>28785</v>
      </c>
      <c r="F144" s="19">
        <v>19860</v>
      </c>
      <c r="G144" s="19">
        <v>30342</v>
      </c>
      <c r="H144" s="19">
        <v>41366</v>
      </c>
      <c r="I144" s="19">
        <v>3920</v>
      </c>
      <c r="J144" s="19">
        <v>37723</v>
      </c>
      <c r="K144" s="19">
        <v>16433</v>
      </c>
      <c r="L144" s="19">
        <v>30501</v>
      </c>
      <c r="M144" s="19">
        <v>21153</v>
      </c>
      <c r="N144" s="19">
        <v>9572</v>
      </c>
      <c r="O144" s="24"/>
      <c r="P144" s="22">
        <f t="shared" si="76"/>
        <v>23.454840454299621</v>
      </c>
      <c r="Q144" s="22">
        <f t="shared" si="77"/>
        <v>22.089237425635478</v>
      </c>
      <c r="R144" s="22">
        <f t="shared" si="90"/>
        <v>14.567874526771227</v>
      </c>
      <c r="S144" s="22">
        <f t="shared" si="91"/>
        <v>9.7409410492157917</v>
      </c>
      <c r="T144" s="22">
        <f t="shared" si="92"/>
        <v>15.409951325040563</v>
      </c>
      <c r="U144" s="22">
        <f t="shared" si="93"/>
        <v>21.372093023255815</v>
      </c>
      <c r="V144" s="22">
        <f t="shared" si="94"/>
        <v>1.1200648999459166</v>
      </c>
      <c r="W144" s="22">
        <f t="shared" si="95"/>
        <v>19.401838831800973</v>
      </c>
      <c r="X144" s="22">
        <f t="shared" si="96"/>
        <v>7.8875067604110329</v>
      </c>
      <c r="Y144" s="22">
        <f t="shared" si="97"/>
        <v>15.495943753380205</v>
      </c>
      <c r="Z144" s="22">
        <f t="shared" si="98"/>
        <v>10.440237966468361</v>
      </c>
      <c r="AA144" s="22">
        <f t="shared" si="99"/>
        <v>4.1768523526230394</v>
      </c>
      <c r="AB144" s="24"/>
      <c r="AC144" s="19">
        <f t="shared" si="78"/>
        <v>5.1898651392577318E-4</v>
      </c>
      <c r="AD144" s="19">
        <f t="shared" si="79"/>
        <v>5.1767714135952383E-4</v>
      </c>
      <c r="AE144" s="19">
        <f t="shared" si="80"/>
        <v>5.0634882587922232E-4</v>
      </c>
      <c r="AF144" s="19">
        <f t="shared" si="81"/>
        <v>4.9072110445951347E-4</v>
      </c>
      <c r="AG144" s="19">
        <f t="shared" si="82"/>
        <v>5.0813333448657409E-4</v>
      </c>
      <c r="AH144" s="19">
        <f t="shared" si="83"/>
        <v>5.1692551378964907E-4</v>
      </c>
      <c r="AI144" s="19">
        <f t="shared" si="84"/>
        <v>2.8581250727124409E-4</v>
      </c>
      <c r="AJ144" s="19">
        <f t="shared" si="85"/>
        <v>5.1458852146857889E-4</v>
      </c>
      <c r="AK144" s="19">
        <f t="shared" si="86"/>
        <v>4.8021021248149443E-4</v>
      </c>
      <c r="AL144" s="19">
        <f t="shared" si="87"/>
        <v>5.0830531536528805E-4</v>
      </c>
      <c r="AM144" s="19">
        <f t="shared" si="88"/>
        <v>4.9380198443219156E-4</v>
      </c>
      <c r="AN144" s="19">
        <f t="shared" si="89"/>
        <v>4.3655200228592036E-4</v>
      </c>
      <c r="AO144" s="24"/>
    </row>
    <row r="145" spans="1:41">
      <c r="A145" s="12" t="s">
        <v>396</v>
      </c>
      <c r="B145" s="12">
        <v>1712.14</v>
      </c>
      <c r="C145" s="19">
        <v>48658</v>
      </c>
      <c r="D145" s="19">
        <v>37036</v>
      </c>
      <c r="E145" s="19">
        <v>26660</v>
      </c>
      <c r="F145" s="19">
        <v>22394</v>
      </c>
      <c r="G145" s="19">
        <v>45283</v>
      </c>
      <c r="H145" s="19">
        <v>26049</v>
      </c>
      <c r="I145" s="19">
        <v>41184</v>
      </c>
      <c r="J145" s="19">
        <v>1810</v>
      </c>
      <c r="K145" s="19">
        <v>5502</v>
      </c>
      <c r="L145" s="19">
        <v>16376</v>
      </c>
      <c r="M145" s="19">
        <v>5857</v>
      </c>
      <c r="N145" s="19">
        <v>14946</v>
      </c>
      <c r="O145" s="24"/>
      <c r="P145" s="22">
        <f t="shared" si="76"/>
        <v>27.419404955202261</v>
      </c>
      <c r="Q145" s="22">
        <f t="shared" si="77"/>
        <v>20.631408646489188</v>
      </c>
      <c r="R145" s="22">
        <f t="shared" si="90"/>
        <v>14.571156564299647</v>
      </c>
      <c r="S145" s="22">
        <f t="shared" si="91"/>
        <v>12.079537888256802</v>
      </c>
      <c r="T145" s="22">
        <f t="shared" si="92"/>
        <v>25.448187648206336</v>
      </c>
      <c r="U145" s="22">
        <f t="shared" si="93"/>
        <v>14.214293223684978</v>
      </c>
      <c r="V145" s="22">
        <f t="shared" si="94"/>
        <v>23.054107724835585</v>
      </c>
      <c r="W145" s="22">
        <f t="shared" si="95"/>
        <v>5.7156540937072842E-2</v>
      </c>
      <c r="X145" s="22">
        <f t="shared" si="96"/>
        <v>2.2135222586937982</v>
      </c>
      <c r="Y145" s="22">
        <f t="shared" si="97"/>
        <v>8.5646384057378491</v>
      </c>
      <c r="Z145" s="22">
        <f t="shared" si="98"/>
        <v>2.4208651161704062</v>
      </c>
      <c r="AA145" s="22">
        <f t="shared" si="99"/>
        <v>7.7294263319588348</v>
      </c>
      <c r="AB145" s="24"/>
      <c r="AC145" s="19">
        <f t="shared" si="78"/>
        <v>5.6383050787586428E-4</v>
      </c>
      <c r="AD145" s="19">
        <f t="shared" si="79"/>
        <v>5.5737412409040605E-4</v>
      </c>
      <c r="AE145" s="19">
        <f t="shared" si="80"/>
        <v>5.4685389565007356E-4</v>
      </c>
      <c r="AF145" s="19">
        <f t="shared" si="81"/>
        <v>5.3970068871905428E-4</v>
      </c>
      <c r="AG145" s="19">
        <f t="shared" si="82"/>
        <v>5.6229704500412154E-4</v>
      </c>
      <c r="AH145" s="19">
        <f t="shared" si="83"/>
        <v>5.459731216449111E-4</v>
      </c>
      <c r="AI145" s="19">
        <f t="shared" si="84"/>
        <v>5.6009664562063036E-4</v>
      </c>
      <c r="AJ145" s="19">
        <f t="shared" si="85"/>
        <v>3.1579196626915803E-5</v>
      </c>
      <c r="AK145" s="19">
        <f t="shared" si="86"/>
        <v>4.0247421743595839E-4</v>
      </c>
      <c r="AL145" s="19">
        <f t="shared" si="87"/>
        <v>5.2327308564385951E-4</v>
      </c>
      <c r="AM145" s="19">
        <f t="shared" si="88"/>
        <v>4.1349942675571037E-4</v>
      </c>
      <c r="AN145" s="19">
        <f t="shared" si="89"/>
        <v>5.174244430666314E-4</v>
      </c>
      <c r="AO145" s="24"/>
    </row>
    <row r="146" spans="1:41">
      <c r="A146" s="12" t="s">
        <v>397</v>
      </c>
      <c r="B146" s="12">
        <v>1172.24</v>
      </c>
      <c r="C146" s="19">
        <v>20804</v>
      </c>
      <c r="D146" s="19">
        <v>19998</v>
      </c>
      <c r="E146" s="19">
        <v>34635</v>
      </c>
      <c r="F146" s="19">
        <v>17013</v>
      </c>
      <c r="G146" s="19">
        <v>17530</v>
      </c>
      <c r="H146" s="19">
        <v>17720</v>
      </c>
      <c r="I146" s="19">
        <v>47176</v>
      </c>
      <c r="J146" s="19">
        <v>14448</v>
      </c>
      <c r="K146" s="19">
        <v>36574</v>
      </c>
      <c r="L146" s="19">
        <v>32178</v>
      </c>
      <c r="M146" s="19">
        <v>48295</v>
      </c>
      <c r="N146" s="19">
        <v>24094</v>
      </c>
      <c r="O146" s="24"/>
      <c r="P146" s="22">
        <f t="shared" si="76"/>
        <v>16.747218999522282</v>
      </c>
      <c r="Q146" s="22">
        <f t="shared" si="77"/>
        <v>16.059646488773627</v>
      </c>
      <c r="R146" s="22">
        <f t="shared" si="90"/>
        <v>28.545997406674402</v>
      </c>
      <c r="S146" s="22">
        <f t="shared" si="91"/>
        <v>13.513239609636251</v>
      </c>
      <c r="T146" s="22">
        <f t="shared" si="92"/>
        <v>13.954275574967584</v>
      </c>
      <c r="U146" s="22">
        <f t="shared" si="93"/>
        <v>14.116358424895925</v>
      </c>
      <c r="V146" s="22">
        <f t="shared" si="94"/>
        <v>39.244318569576194</v>
      </c>
      <c r="W146" s="22">
        <f t="shared" si="95"/>
        <v>11.325121135603631</v>
      </c>
      <c r="X146" s="22">
        <f t="shared" si="96"/>
        <v>30.200095543574697</v>
      </c>
      <c r="Y146" s="22">
        <f t="shared" si="97"/>
        <v>26.450010236811572</v>
      </c>
      <c r="Z146" s="22">
        <f t="shared" si="98"/>
        <v>40.198901248891012</v>
      </c>
      <c r="AA146" s="22">
        <f t="shared" si="99"/>
        <v>19.55381150617621</v>
      </c>
      <c r="AB146" s="24"/>
      <c r="AC146" s="19">
        <f t="shared" si="78"/>
        <v>8.0564849891223808E-4</v>
      </c>
      <c r="AD146" s="19">
        <f t="shared" si="79"/>
        <v>8.0370805860961476E-4</v>
      </c>
      <c r="AE146" s="19">
        <f t="shared" si="80"/>
        <v>8.2487496131603759E-4</v>
      </c>
      <c r="AF146" s="19">
        <f t="shared" si="81"/>
        <v>7.9492044672329536E-4</v>
      </c>
      <c r="AG146" s="19">
        <f t="shared" si="82"/>
        <v>7.9665672232798624E-4</v>
      </c>
      <c r="AH146" s="19">
        <f t="shared" si="83"/>
        <v>7.9726935467650819E-4</v>
      </c>
      <c r="AI146" s="19">
        <f t="shared" si="84"/>
        <v>8.3256299680031939E-4</v>
      </c>
      <c r="AJ146" s="19">
        <f t="shared" si="85"/>
        <v>7.844688081314246E-4</v>
      </c>
      <c r="AK146" s="19">
        <f t="shared" si="86"/>
        <v>8.264081902410994E-4</v>
      </c>
      <c r="AL146" s="19">
        <f t="shared" si="87"/>
        <v>8.2266672198488269E-4</v>
      </c>
      <c r="AM146" s="19">
        <f t="shared" si="88"/>
        <v>8.3305495688658858E-4</v>
      </c>
      <c r="AN146" s="19">
        <f t="shared" si="89"/>
        <v>8.1222269260431779E-4</v>
      </c>
      <c r="AO146" s="24"/>
    </row>
    <row r="147" spans="1:41">
      <c r="A147" s="12" t="s">
        <v>396</v>
      </c>
      <c r="B147" s="12">
        <v>1668.07</v>
      </c>
      <c r="C147" s="19">
        <v>24404</v>
      </c>
      <c r="D147" s="19">
        <v>25175</v>
      </c>
      <c r="E147" s="19">
        <v>1338</v>
      </c>
      <c r="F147" s="19">
        <v>30540</v>
      </c>
      <c r="G147" s="19">
        <v>7433</v>
      </c>
      <c r="H147" s="19">
        <v>22707</v>
      </c>
      <c r="I147" s="19">
        <v>16334</v>
      </c>
      <c r="J147" s="19">
        <v>37315</v>
      </c>
      <c r="K147" s="19">
        <v>23875</v>
      </c>
      <c r="L147" s="19">
        <v>24645</v>
      </c>
      <c r="M147" s="19">
        <v>35729</v>
      </c>
      <c r="N147" s="19">
        <v>23461</v>
      </c>
      <c r="O147" s="24"/>
      <c r="P147" s="22">
        <f t="shared" si="76"/>
        <v>13.630081471401081</v>
      </c>
      <c r="Q147" s="22">
        <f t="shared" si="77"/>
        <v>14.092292289891912</v>
      </c>
      <c r="R147" s="22">
        <f t="shared" si="90"/>
        <v>-0.19787538892252721</v>
      </c>
      <c r="S147" s="22">
        <f t="shared" si="91"/>
        <v>17.30858417212707</v>
      </c>
      <c r="T147" s="22">
        <f t="shared" si="92"/>
        <v>3.4560480075776199</v>
      </c>
      <c r="U147" s="22">
        <f t="shared" si="93"/>
        <v>12.612738074541237</v>
      </c>
      <c r="V147" s="22">
        <f t="shared" si="94"/>
        <v>8.7921550054853821</v>
      </c>
      <c r="W147" s="22">
        <f t="shared" si="95"/>
        <v>21.37016432164118</v>
      </c>
      <c r="X147" s="22">
        <f t="shared" si="96"/>
        <v>13.31294849736522</v>
      </c>
      <c r="Y147" s="22">
        <f t="shared" si="97"/>
        <v>13.77455982063103</v>
      </c>
      <c r="Z147" s="22">
        <f t="shared" si="98"/>
        <v>20.419364894758615</v>
      </c>
      <c r="AA147" s="22">
        <f t="shared" si="99"/>
        <v>13.064757474206719</v>
      </c>
      <c r="AB147" s="24"/>
      <c r="AC147" s="19">
        <f t="shared" si="78"/>
        <v>5.5883045304067883E-4</v>
      </c>
      <c r="AD147" s="19">
        <f t="shared" si="79"/>
        <v>5.6008680026967323E-4</v>
      </c>
      <c r="AE147" s="19">
        <f t="shared" si="80"/>
        <v>-1.4786706253364689E-4</v>
      </c>
      <c r="AF147" s="19">
        <f t="shared" si="81"/>
        <v>5.6707267181397756E-4</v>
      </c>
      <c r="AG147" s="19">
        <f t="shared" si="82"/>
        <v>4.6517633247876439E-4</v>
      </c>
      <c r="AH147" s="19">
        <f t="shared" si="83"/>
        <v>5.5576464475433189E-4</v>
      </c>
      <c r="AI147" s="19">
        <f t="shared" si="84"/>
        <v>5.3856312819815959E-4</v>
      </c>
      <c r="AJ147" s="19">
        <f t="shared" si="85"/>
        <v>5.7302451962443744E-4</v>
      </c>
      <c r="AK147" s="19">
        <f t="shared" si="86"/>
        <v>5.5792151110819587E-4</v>
      </c>
      <c r="AL147" s="19">
        <f t="shared" si="87"/>
        <v>5.592316084347739E-4</v>
      </c>
      <c r="AM147" s="19">
        <f t="shared" si="88"/>
        <v>5.7183356301438262E-4</v>
      </c>
      <c r="AN147" s="19">
        <f t="shared" si="89"/>
        <v>5.5718157437214904E-4</v>
      </c>
      <c r="AO147" s="24"/>
    </row>
    <row r="148" spans="1:41">
      <c r="A148" s="12" t="s">
        <v>398</v>
      </c>
      <c r="B148" s="12">
        <v>1809.63</v>
      </c>
      <c r="C148" s="19">
        <v>8599</v>
      </c>
      <c r="D148" s="19">
        <v>39665</v>
      </c>
      <c r="E148" s="19">
        <v>45525</v>
      </c>
      <c r="F148" s="19">
        <v>23335</v>
      </c>
      <c r="G148" s="19">
        <v>46707</v>
      </c>
      <c r="H148" s="19">
        <v>26616</v>
      </c>
      <c r="I148" s="19">
        <v>22055</v>
      </c>
      <c r="J148" s="19">
        <v>48922</v>
      </c>
      <c r="K148" s="19">
        <v>43398</v>
      </c>
      <c r="L148" s="19">
        <v>28111</v>
      </c>
      <c r="M148" s="19">
        <v>42899</v>
      </c>
      <c r="N148" s="19">
        <v>37891</v>
      </c>
      <c r="O148" s="24"/>
      <c r="P148" s="22">
        <f t="shared" si="76"/>
        <v>3.7518000917314587</v>
      </c>
      <c r="Q148" s="22">
        <f t="shared" si="77"/>
        <v>20.918845288815945</v>
      </c>
      <c r="R148" s="22">
        <f t="shared" si="90"/>
        <v>24.157076308416638</v>
      </c>
      <c r="S148" s="22">
        <f t="shared" si="91"/>
        <v>11.894901167642002</v>
      </c>
      <c r="T148" s="22">
        <f t="shared" si="92"/>
        <v>24.810248503837801</v>
      </c>
      <c r="U148" s="22">
        <f t="shared" si="93"/>
        <v>13.707978979128329</v>
      </c>
      <c r="V148" s="22">
        <f t="shared" si="94"/>
        <v>11.187574255510794</v>
      </c>
      <c r="W148" s="22">
        <f t="shared" si="95"/>
        <v>26.034255621314855</v>
      </c>
      <c r="X148" s="22">
        <f t="shared" si="96"/>
        <v>22.981697916148605</v>
      </c>
      <c r="Y148" s="22">
        <f t="shared" si="97"/>
        <v>14.534114708531577</v>
      </c>
      <c r="Z148" s="22">
        <f t="shared" si="98"/>
        <v>22.705950940247455</v>
      </c>
      <c r="AA148" s="22">
        <f t="shared" si="99"/>
        <v>19.938534396534099</v>
      </c>
      <c r="AB148" s="24"/>
      <c r="AC148" s="19">
        <f t="shared" si="78"/>
        <v>4.3649700444618912E-4</v>
      </c>
      <c r="AD148" s="19">
        <f t="shared" si="79"/>
        <v>5.2766629165095467E-4</v>
      </c>
      <c r="AE148" s="19">
        <f t="shared" si="80"/>
        <v>5.3091491840997129E-4</v>
      </c>
      <c r="AF148" s="19">
        <f t="shared" si="81"/>
        <v>5.1000504080554461E-4</v>
      </c>
      <c r="AG148" s="19">
        <f t="shared" si="82"/>
        <v>5.314713948919381E-4</v>
      </c>
      <c r="AH148" s="19">
        <f t="shared" si="83"/>
        <v>5.1529315475134314E-4</v>
      </c>
      <c r="AI148" s="19">
        <f t="shared" si="84"/>
        <v>5.0751539885383293E-4</v>
      </c>
      <c r="AJ148" s="19">
        <f t="shared" si="85"/>
        <v>5.3244179197560644E-4</v>
      </c>
      <c r="AK148" s="19">
        <f t="shared" si="86"/>
        <v>5.2983719236942672E-4</v>
      </c>
      <c r="AL148" s="19">
        <f t="shared" si="87"/>
        <v>5.172933410155404E-4</v>
      </c>
      <c r="AM148" s="19">
        <f t="shared" si="88"/>
        <v>5.2956887818398984E-4</v>
      </c>
      <c r="AN148" s="19">
        <f t="shared" si="89"/>
        <v>5.2648469900014154E-4</v>
      </c>
      <c r="AO148" s="24"/>
    </row>
    <row r="149" spans="1:41">
      <c r="A149" s="12" t="s">
        <v>396</v>
      </c>
      <c r="B149" s="12">
        <v>1659.78</v>
      </c>
      <c r="C149" s="19">
        <v>23406</v>
      </c>
      <c r="D149" s="19">
        <v>1210</v>
      </c>
      <c r="E149" s="19">
        <v>32101</v>
      </c>
      <c r="F149" s="19">
        <v>8310</v>
      </c>
      <c r="G149" s="19">
        <v>27989</v>
      </c>
      <c r="H149" s="19">
        <v>17621</v>
      </c>
      <c r="I149" s="19">
        <v>29250</v>
      </c>
      <c r="J149" s="19">
        <v>6641</v>
      </c>
      <c r="K149" s="19">
        <v>5440</v>
      </c>
      <c r="L149" s="19">
        <v>4654</v>
      </c>
      <c r="M149" s="19">
        <v>38942</v>
      </c>
      <c r="N149" s="19">
        <v>28482</v>
      </c>
      <c r="O149" s="24"/>
      <c r="P149" s="22">
        <f t="shared" si="76"/>
        <v>13.101868922387306</v>
      </c>
      <c r="Q149" s="22">
        <f t="shared" si="77"/>
        <v>-0.2709877212642639</v>
      </c>
      <c r="R149" s="22">
        <f t="shared" si="90"/>
        <v>18.34051500801311</v>
      </c>
      <c r="S149" s="22">
        <f t="shared" si="91"/>
        <v>4.0066876333007988</v>
      </c>
      <c r="T149" s="22">
        <f t="shared" si="92"/>
        <v>15.863078239284725</v>
      </c>
      <c r="U149" s="22">
        <f t="shared" si="93"/>
        <v>9.6164672426466158</v>
      </c>
      <c r="V149" s="22">
        <f t="shared" si="94"/>
        <v>16.622817481834943</v>
      </c>
      <c r="W149" s="22">
        <f t="shared" si="95"/>
        <v>3.00113268023473</v>
      </c>
      <c r="X149" s="22">
        <f t="shared" si="96"/>
        <v>2.2775428068780204</v>
      </c>
      <c r="Y149" s="22">
        <f t="shared" si="97"/>
        <v>1.803986070443071</v>
      </c>
      <c r="Z149" s="22">
        <f t="shared" si="98"/>
        <v>22.462145585559533</v>
      </c>
      <c r="AA149" s="22">
        <f t="shared" si="99"/>
        <v>16.160105556158047</v>
      </c>
      <c r="AB149" s="24"/>
      <c r="AC149" s="19">
        <f t="shared" si="78"/>
        <v>5.6007891151295137E-4</v>
      </c>
      <c r="AD149" s="19">
        <f t="shared" si="79"/>
        <v>-2.2390664901790963E-4</v>
      </c>
      <c r="AE149" s="19">
        <f t="shared" si="80"/>
        <v>5.7166442253930535E-4</v>
      </c>
      <c r="AF149" s="19">
        <f t="shared" si="81"/>
        <v>4.8238512633224577E-4</v>
      </c>
      <c r="AG149" s="19">
        <f t="shared" si="82"/>
        <v>5.6708256509281955E-4</v>
      </c>
      <c r="AH149" s="19">
        <f t="shared" si="83"/>
        <v>5.4603701207005619E-4</v>
      </c>
      <c r="AI149" s="19">
        <f t="shared" si="84"/>
        <v>5.6862460255791263E-4</v>
      </c>
      <c r="AJ149" s="19">
        <f t="shared" si="85"/>
        <v>4.5211406934850864E-4</v>
      </c>
      <c r="AK149" s="19">
        <f t="shared" si="86"/>
        <v>4.1884131174536936E-4</v>
      </c>
      <c r="AL149" s="19">
        <f t="shared" si="87"/>
        <v>3.8777086456408857E-4</v>
      </c>
      <c r="AM149" s="19">
        <f t="shared" si="88"/>
        <v>5.7714317342572887E-4</v>
      </c>
      <c r="AN149" s="19">
        <f t="shared" si="89"/>
        <v>5.6770169494673112E-4</v>
      </c>
      <c r="AO149" s="24"/>
    </row>
    <row r="150" spans="1:41">
      <c r="A150" s="12" t="s">
        <v>397</v>
      </c>
      <c r="B150" s="12">
        <v>1361.04</v>
      </c>
      <c r="C150" s="19">
        <v>8627</v>
      </c>
      <c r="D150" s="19">
        <v>5314</v>
      </c>
      <c r="E150" s="19">
        <v>34202</v>
      </c>
      <c r="F150" s="19">
        <v>28042</v>
      </c>
      <c r="G150" s="19">
        <v>15408</v>
      </c>
      <c r="H150" s="19">
        <v>17151</v>
      </c>
      <c r="I150" s="19">
        <v>13546</v>
      </c>
      <c r="J150" s="19">
        <v>9269</v>
      </c>
      <c r="K150" s="19">
        <v>42653</v>
      </c>
      <c r="L150" s="19">
        <v>18309</v>
      </c>
      <c r="M150" s="19">
        <v>20862</v>
      </c>
      <c r="N150" s="19">
        <v>10862</v>
      </c>
      <c r="O150" s="24"/>
      <c r="P150" s="22">
        <f t="shared" si="76"/>
        <v>5.3385352377593609</v>
      </c>
      <c r="Q150" s="22">
        <f t="shared" si="77"/>
        <v>2.9043672485746197</v>
      </c>
      <c r="R150" s="22">
        <f t="shared" si="90"/>
        <v>24.129312878387115</v>
      </c>
      <c r="S150" s="22">
        <f t="shared" si="91"/>
        <v>19.603362134838065</v>
      </c>
      <c r="T150" s="22">
        <f t="shared" si="92"/>
        <v>10.320754716981131</v>
      </c>
      <c r="U150" s="22">
        <f t="shared" si="93"/>
        <v>11.601393052371716</v>
      </c>
      <c r="V150" s="22">
        <f t="shared" si="94"/>
        <v>8.9526832422265326</v>
      </c>
      <c r="W150" s="22">
        <f t="shared" si="95"/>
        <v>5.8102333509669082</v>
      </c>
      <c r="X150" s="22">
        <f t="shared" si="96"/>
        <v>30.338535237759359</v>
      </c>
      <c r="Y150" s="22">
        <f t="shared" si="97"/>
        <v>12.452213013577852</v>
      </c>
      <c r="Z150" s="22">
        <f t="shared" si="98"/>
        <v>14.327984482454593</v>
      </c>
      <c r="AA150" s="22">
        <f t="shared" si="99"/>
        <v>6.9806618468230175</v>
      </c>
      <c r="AB150" s="24"/>
      <c r="AC150" s="19">
        <f t="shared" si="78"/>
        <v>6.1920028518616644E-4</v>
      </c>
      <c r="AD150" s="19">
        <f t="shared" si="79"/>
        <v>5.4684898360039618E-4</v>
      </c>
      <c r="AE150" s="19">
        <f t="shared" si="80"/>
        <v>7.059922807736281E-4</v>
      </c>
      <c r="AF150" s="19">
        <f t="shared" si="81"/>
        <v>6.9956051183534722E-4</v>
      </c>
      <c r="AG150" s="19">
        <f t="shared" si="82"/>
        <v>6.7027988780470461E-4</v>
      </c>
      <c r="AH150" s="19">
        <f t="shared" si="83"/>
        <v>6.7688448809802315E-4</v>
      </c>
      <c r="AI150" s="19">
        <f t="shared" si="84"/>
        <v>6.6134682347928503E-4</v>
      </c>
      <c r="AJ150" s="19">
        <f t="shared" si="85"/>
        <v>6.272389422362838E-4</v>
      </c>
      <c r="AK150" s="19">
        <f t="shared" si="86"/>
        <v>7.1179354350833692E-4</v>
      </c>
      <c r="AL150" s="19">
        <f t="shared" si="87"/>
        <v>6.8057718639330403E-4</v>
      </c>
      <c r="AM150" s="19">
        <f t="shared" si="88"/>
        <v>6.8727023678182605E-4</v>
      </c>
      <c r="AN150" s="19">
        <f t="shared" si="89"/>
        <v>6.4308147497143706E-4</v>
      </c>
      <c r="AO150" s="24"/>
    </row>
    <row r="151" spans="1:41">
      <c r="A151" s="12" t="s">
        <v>398</v>
      </c>
      <c r="B151" s="12">
        <v>93.27</v>
      </c>
      <c r="C151" s="19">
        <v>35138</v>
      </c>
      <c r="D151" s="19">
        <v>37006</v>
      </c>
      <c r="E151" s="19">
        <v>6534</v>
      </c>
      <c r="F151" s="19">
        <v>45301</v>
      </c>
      <c r="G151" s="19">
        <v>49058</v>
      </c>
      <c r="H151" s="19">
        <v>17834</v>
      </c>
      <c r="I151" s="19">
        <v>17164</v>
      </c>
      <c r="J151" s="19">
        <v>5864</v>
      </c>
      <c r="K151" s="19">
        <v>48225</v>
      </c>
      <c r="L151" s="19">
        <v>29078</v>
      </c>
      <c r="M151" s="19">
        <v>5136</v>
      </c>
      <c r="N151" s="19">
        <v>46947</v>
      </c>
      <c r="O151" s="24"/>
      <c r="P151" s="22">
        <f t="shared" si="76"/>
        <v>375.73421250134027</v>
      </c>
      <c r="Q151" s="22">
        <f t="shared" si="77"/>
        <v>395.76208856009441</v>
      </c>
      <c r="R151" s="22">
        <f t="shared" si="90"/>
        <v>69.054679961402385</v>
      </c>
      <c r="S151" s="22">
        <f t="shared" si="91"/>
        <v>484.69743754690688</v>
      </c>
      <c r="T151" s="22">
        <f t="shared" si="92"/>
        <v>524.97834244666024</v>
      </c>
      <c r="U151" s="22">
        <f t="shared" si="93"/>
        <v>190.20831993138202</v>
      </c>
      <c r="V151" s="22">
        <f t="shared" si="94"/>
        <v>183.02487402165755</v>
      </c>
      <c r="W151" s="22">
        <f t="shared" si="95"/>
        <v>61.871234051677924</v>
      </c>
      <c r="X151" s="22">
        <f t="shared" si="96"/>
        <v>516.0472820842715</v>
      </c>
      <c r="Y151" s="22">
        <f t="shared" si="97"/>
        <v>310.7615524820414</v>
      </c>
      <c r="Z151" s="22">
        <f t="shared" si="98"/>
        <v>54.06593760051463</v>
      </c>
      <c r="AA151" s="22">
        <f t="shared" si="99"/>
        <v>502.3451270504986</v>
      </c>
      <c r="AB151" s="24"/>
      <c r="AC151" s="19">
        <f t="shared" si="78"/>
        <v>1.0808680159060956E-2</v>
      </c>
      <c r="AD151" s="19">
        <f t="shared" si="79"/>
        <v>1.0810147956903261E-2</v>
      </c>
      <c r="AE151" s="19">
        <f t="shared" si="80"/>
        <v>1.0681402013929192E-2</v>
      </c>
      <c r="AF151" s="19">
        <f t="shared" si="81"/>
        <v>1.081520361639526E-2</v>
      </c>
      <c r="AG151" s="19">
        <f t="shared" si="82"/>
        <v>1.0816930916662928E-2</v>
      </c>
      <c r="AH151" s="19">
        <f t="shared" si="83"/>
        <v>1.0780467338335877E-2</v>
      </c>
      <c r="AI151" s="19">
        <f t="shared" si="84"/>
        <v>1.0778231088841123E-2</v>
      </c>
      <c r="AJ151" s="19">
        <f t="shared" si="85"/>
        <v>1.0663540322439819E-2</v>
      </c>
      <c r="AK151" s="19">
        <f t="shared" si="86"/>
        <v>1.0816571160877416E-2</v>
      </c>
      <c r="AL151" s="19">
        <f t="shared" si="87"/>
        <v>1.0802620246256344E-2</v>
      </c>
      <c r="AM151" s="19">
        <f t="shared" si="88"/>
        <v>1.0638850669185356E-2</v>
      </c>
      <c r="AN151" s="19">
        <f t="shared" si="89"/>
        <v>1.0815994400748074E-2</v>
      </c>
      <c r="AO151" s="24"/>
    </row>
    <row r="152" spans="1:41">
      <c r="A152" s="12" t="s">
        <v>396</v>
      </c>
      <c r="B152" s="12">
        <v>1781.83</v>
      </c>
      <c r="C152" s="19">
        <v>19480</v>
      </c>
      <c r="D152" s="19">
        <v>34256</v>
      </c>
      <c r="E152" s="19">
        <v>42833</v>
      </c>
      <c r="F152" s="19">
        <v>48989</v>
      </c>
      <c r="G152" s="19">
        <v>28525</v>
      </c>
      <c r="H152" s="19">
        <v>35842</v>
      </c>
      <c r="I152" s="19">
        <v>1032</v>
      </c>
      <c r="J152" s="19">
        <v>10364</v>
      </c>
      <c r="K152" s="19">
        <v>48427</v>
      </c>
      <c r="L152" s="19">
        <v>24654</v>
      </c>
      <c r="M152" s="19">
        <v>28249</v>
      </c>
      <c r="N152" s="19">
        <v>3473</v>
      </c>
      <c r="O152" s="24"/>
      <c r="P152" s="22">
        <f t="shared" si="76"/>
        <v>9.9325805492106429</v>
      </c>
      <c r="Q152" s="22">
        <f t="shared" si="77"/>
        <v>18.225178608509228</v>
      </c>
      <c r="R152" s="22">
        <f t="shared" si="90"/>
        <v>23.038769130612909</v>
      </c>
      <c r="S152" s="22">
        <f t="shared" si="91"/>
        <v>26.493644174809045</v>
      </c>
      <c r="T152" s="22">
        <f t="shared" si="92"/>
        <v>15.008822390463736</v>
      </c>
      <c r="U152" s="22">
        <f t="shared" si="93"/>
        <v>19.115274745626689</v>
      </c>
      <c r="V152" s="22">
        <f t="shared" si="94"/>
        <v>-0.42082016802949773</v>
      </c>
      <c r="W152" s="22">
        <f t="shared" si="95"/>
        <v>4.8164920334712065</v>
      </c>
      <c r="X152" s="22">
        <f t="shared" si="96"/>
        <v>26.178238103522784</v>
      </c>
      <c r="Y152" s="22">
        <f t="shared" si="97"/>
        <v>12.83633679980694</v>
      </c>
      <c r="Z152" s="22">
        <f t="shared" si="98"/>
        <v>14.853925458657672</v>
      </c>
      <c r="AA152" s="22">
        <f t="shared" si="99"/>
        <v>0.94911972522631238</v>
      </c>
      <c r="AB152" s="24"/>
      <c r="AC152" s="19">
        <f t="shared" si="78"/>
        <v>5.1014618158373183E-4</v>
      </c>
      <c r="AD152" s="19">
        <f t="shared" si="79"/>
        <v>5.3231200636094731E-4</v>
      </c>
      <c r="AE152" s="19">
        <f t="shared" si="80"/>
        <v>5.3816374666558031E-4</v>
      </c>
      <c r="AF152" s="19">
        <f t="shared" si="81"/>
        <v>5.4110065326868283E-4</v>
      </c>
      <c r="AG152" s="19">
        <f t="shared" si="82"/>
        <v>5.2644079392949765E-4</v>
      </c>
      <c r="AH152" s="19">
        <f t="shared" si="83"/>
        <v>5.3360512120205743E-4</v>
      </c>
      <c r="AI152" s="19">
        <f t="shared" si="84"/>
        <v>-4.0760527084392586E-4</v>
      </c>
      <c r="AJ152" s="19">
        <f t="shared" si="85"/>
        <v>4.6494900199105238E-4</v>
      </c>
      <c r="AK152" s="19">
        <f t="shared" si="86"/>
        <v>5.4086350501039607E-4</v>
      </c>
      <c r="AL152" s="19">
        <f t="shared" si="87"/>
        <v>5.2093062548734601E-4</v>
      </c>
      <c r="AM152" s="19">
        <f t="shared" si="88"/>
        <v>5.2609791772847058E-4</v>
      </c>
      <c r="AN152" s="19">
        <f t="shared" si="89"/>
        <v>2.7335997021771762E-4</v>
      </c>
      <c r="AO152" s="24"/>
    </row>
    <row r="153" spans="1:41">
      <c r="A153" s="12" t="s">
        <v>398</v>
      </c>
      <c r="B153" s="12">
        <v>546.91</v>
      </c>
      <c r="C153" s="19">
        <v>18625</v>
      </c>
      <c r="D153" s="19">
        <v>6983</v>
      </c>
      <c r="E153" s="19">
        <v>35818</v>
      </c>
      <c r="F153" s="19">
        <v>25203</v>
      </c>
      <c r="G153" s="19">
        <v>21325</v>
      </c>
      <c r="H153" s="19">
        <v>21015</v>
      </c>
      <c r="I153" s="19">
        <v>43520</v>
      </c>
      <c r="J153" s="19">
        <v>39511</v>
      </c>
      <c r="K153" s="19">
        <v>31355</v>
      </c>
      <c r="L153" s="19">
        <v>42508</v>
      </c>
      <c r="M153" s="19">
        <v>27636</v>
      </c>
      <c r="N153" s="19">
        <v>26189</v>
      </c>
      <c r="O153" s="24"/>
      <c r="P153" s="22">
        <f t="shared" si="76"/>
        <v>33.054963339489134</v>
      </c>
      <c r="Q153" s="22">
        <f t="shared" si="77"/>
        <v>11.768097127498127</v>
      </c>
      <c r="R153" s="22">
        <f t="shared" si="90"/>
        <v>64.491579967453504</v>
      </c>
      <c r="S153" s="22">
        <f t="shared" si="91"/>
        <v>45.082536431954075</v>
      </c>
      <c r="T153" s="22">
        <f t="shared" si="92"/>
        <v>37.991790239710376</v>
      </c>
      <c r="U153" s="22">
        <f t="shared" si="93"/>
        <v>37.424969373388677</v>
      </c>
      <c r="V153" s="22">
        <f t="shared" si="94"/>
        <v>78.574335813936472</v>
      </c>
      <c r="W153" s="22">
        <f t="shared" si="95"/>
        <v>71.244062094311673</v>
      </c>
      <c r="X153" s="22">
        <f t="shared" si="96"/>
        <v>56.33118794682855</v>
      </c>
      <c r="Y153" s="22">
        <f t="shared" si="97"/>
        <v>76.723939953557263</v>
      </c>
      <c r="Z153" s="22">
        <f t="shared" si="98"/>
        <v>49.53116600537566</v>
      </c>
      <c r="AA153" s="22">
        <f t="shared" si="99"/>
        <v>46.88539247773857</v>
      </c>
      <c r="AB153" s="24"/>
      <c r="AC153" s="19">
        <f t="shared" si="78"/>
        <v>1.7779185165570214E-3</v>
      </c>
      <c r="AD153" s="19">
        <f t="shared" si="79"/>
        <v>1.6880943413529355E-3</v>
      </c>
      <c r="AE153" s="19">
        <f t="shared" si="80"/>
        <v>1.8037832598078441E-3</v>
      </c>
      <c r="AF153" s="19">
        <f t="shared" si="81"/>
        <v>1.7919820468939641E-3</v>
      </c>
      <c r="AG153" s="19">
        <f t="shared" si="82"/>
        <v>1.7847407143992545E-3</v>
      </c>
      <c r="AH153" s="19">
        <f t="shared" si="83"/>
        <v>1.7840465029322682E-3</v>
      </c>
      <c r="AI153" s="19">
        <f t="shared" si="84"/>
        <v>1.8087421076218189E-3</v>
      </c>
      <c r="AJ153" s="19">
        <f t="shared" si="85"/>
        <v>1.8064022050866381E-3</v>
      </c>
      <c r="AK153" s="19">
        <f t="shared" si="86"/>
        <v>1.7997950099761211E-3</v>
      </c>
      <c r="AL153" s="19">
        <f t="shared" si="87"/>
        <v>1.8081930848598967E-3</v>
      </c>
      <c r="AM153" s="19">
        <f t="shared" si="88"/>
        <v>1.7954877191218735E-3</v>
      </c>
      <c r="AN153" s="19">
        <f t="shared" si="89"/>
        <v>1.793481253587938E-3</v>
      </c>
      <c r="AO153" s="24"/>
    </row>
    <row r="154" spans="1:41">
      <c r="A154" s="12" t="s">
        <v>399</v>
      </c>
      <c r="B154" s="12">
        <v>1945.6</v>
      </c>
      <c r="C154" s="19">
        <v>37329</v>
      </c>
      <c r="D154" s="19">
        <v>39573</v>
      </c>
      <c r="E154" s="19">
        <v>42366</v>
      </c>
      <c r="F154" s="19">
        <v>43321</v>
      </c>
      <c r="G154" s="19">
        <v>44503</v>
      </c>
      <c r="H154" s="19">
        <v>32987</v>
      </c>
      <c r="I154" s="19">
        <v>47124</v>
      </c>
      <c r="J154" s="19">
        <v>40119</v>
      </c>
      <c r="K154" s="19">
        <v>6403</v>
      </c>
      <c r="L154" s="19">
        <v>36652</v>
      </c>
      <c r="M154" s="19">
        <v>45803</v>
      </c>
      <c r="N154" s="19">
        <v>47950</v>
      </c>
      <c r="O154" s="24"/>
      <c r="P154" s="22">
        <f t="shared" si="76"/>
        <v>18.186369243421055</v>
      </c>
      <c r="Q154" s="22">
        <f t="shared" si="77"/>
        <v>19.33974095394737</v>
      </c>
      <c r="R154" s="22">
        <f t="shared" si="90"/>
        <v>20.77528782894737</v>
      </c>
      <c r="S154" s="22">
        <f t="shared" si="91"/>
        <v>21.266138980263161</v>
      </c>
      <c r="T154" s="22">
        <f t="shared" si="92"/>
        <v>21.873663651315791</v>
      </c>
      <c r="U154" s="22">
        <f t="shared" si="93"/>
        <v>15.954666940789474</v>
      </c>
      <c r="V154" s="22">
        <f t="shared" si="94"/>
        <v>23.220805921052634</v>
      </c>
      <c r="W154" s="22">
        <f t="shared" si="95"/>
        <v>19.620374177631582</v>
      </c>
      <c r="X154" s="22">
        <f t="shared" si="96"/>
        <v>2.291015625</v>
      </c>
      <c r="Y154" s="22">
        <f t="shared" si="97"/>
        <v>17.838404605263161</v>
      </c>
      <c r="Z154" s="22">
        <f t="shared" si="98"/>
        <v>22.541837993421055</v>
      </c>
      <c r="AA154" s="22">
        <f t="shared" si="99"/>
        <v>23.645353618421055</v>
      </c>
      <c r="AB154" s="24"/>
      <c r="AC154" s="19">
        <f t="shared" si="78"/>
        <v>4.8742891064775413E-4</v>
      </c>
      <c r="AD154" s="19">
        <f t="shared" si="79"/>
        <v>4.8894946326805003E-4</v>
      </c>
      <c r="AE154" s="19">
        <f t="shared" si="80"/>
        <v>4.9061701691657442E-4</v>
      </c>
      <c r="AF154" s="19">
        <f t="shared" si="81"/>
        <v>4.911378681569182E-4</v>
      </c>
      <c r="AG154" s="19">
        <f t="shared" si="82"/>
        <v>4.9175156865219186E-4</v>
      </c>
      <c r="AH154" s="19">
        <f t="shared" si="83"/>
        <v>4.8389933590586355E-4</v>
      </c>
      <c r="AI154" s="19">
        <f t="shared" si="84"/>
        <v>4.9300258548528914E-4</v>
      </c>
      <c r="AJ154" s="19">
        <f t="shared" si="85"/>
        <v>4.8929370879834913E-4</v>
      </c>
      <c r="AK154" s="19">
        <f t="shared" si="86"/>
        <v>3.5793154017667111E-4</v>
      </c>
      <c r="AL154" s="19">
        <f t="shared" si="87"/>
        <v>4.8693361137287815E-4</v>
      </c>
      <c r="AM154" s="19">
        <f t="shared" si="88"/>
        <v>4.9238996066073963E-4</v>
      </c>
      <c r="AN154" s="19">
        <f t="shared" si="89"/>
        <v>4.9336849824872439E-4</v>
      </c>
      <c r="AO154" s="24"/>
    </row>
    <row r="155" spans="1:41">
      <c r="A155" s="12" t="s">
        <v>399</v>
      </c>
      <c r="B155" s="12">
        <v>2290.0700000000002</v>
      </c>
      <c r="C155" s="19">
        <v>33946</v>
      </c>
      <c r="D155" s="19">
        <v>27594</v>
      </c>
      <c r="E155" s="19">
        <v>12467</v>
      </c>
      <c r="F155" s="19">
        <v>43877</v>
      </c>
      <c r="G155" s="19">
        <v>34847</v>
      </c>
      <c r="H155" s="19">
        <v>16558</v>
      </c>
      <c r="I155" s="19">
        <v>5369</v>
      </c>
      <c r="J155" s="19">
        <v>31750</v>
      </c>
      <c r="K155" s="19">
        <v>34994</v>
      </c>
      <c r="L155" s="19">
        <v>39402</v>
      </c>
      <c r="M155" s="19">
        <v>44758</v>
      </c>
      <c r="N155" s="19">
        <v>17554</v>
      </c>
      <c r="O155" s="24"/>
      <c r="P155" s="22">
        <f t="shared" si="76"/>
        <v>13.823127677319906</v>
      </c>
      <c r="Q155" s="22">
        <f t="shared" si="77"/>
        <v>11.049413336710231</v>
      </c>
      <c r="R155" s="22">
        <f t="shared" si="90"/>
        <v>4.4439383948962261</v>
      </c>
      <c r="S155" s="22">
        <f t="shared" si="91"/>
        <v>18.15967634177121</v>
      </c>
      <c r="T155" s="22">
        <f t="shared" si="92"/>
        <v>14.216565432497696</v>
      </c>
      <c r="U155" s="22">
        <f t="shared" si="93"/>
        <v>6.2303466706257886</v>
      </c>
      <c r="V155" s="22">
        <f t="shared" si="94"/>
        <v>1.3444698196998344</v>
      </c>
      <c r="W155" s="22">
        <f t="shared" si="95"/>
        <v>12.864205024300567</v>
      </c>
      <c r="X155" s="22">
        <f t="shared" si="96"/>
        <v>14.28075561009052</v>
      </c>
      <c r="Y155" s="22">
        <f t="shared" si="97"/>
        <v>16.2055876021257</v>
      </c>
      <c r="Z155" s="22">
        <f t="shared" si="98"/>
        <v>18.544380739453377</v>
      </c>
      <c r="AA155" s="22">
        <f t="shared" si="99"/>
        <v>6.6652678739077844</v>
      </c>
      <c r="AB155" s="24"/>
      <c r="AC155" s="19">
        <f t="shared" si="78"/>
        <v>4.0737520994696218E-4</v>
      </c>
      <c r="AD155" s="19">
        <f t="shared" si="79"/>
        <v>4.0058851941868624E-4</v>
      </c>
      <c r="AE155" s="19">
        <f t="shared" si="80"/>
        <v>3.5658322200749827E-4</v>
      </c>
      <c r="AF155" s="19">
        <f t="shared" si="81"/>
        <v>4.1404825589917753E-4</v>
      </c>
      <c r="AG155" s="19">
        <f t="shared" si="82"/>
        <v>4.0813750813807782E-4</v>
      </c>
      <c r="AH155" s="19">
        <f t="shared" si="83"/>
        <v>3.7641574291559569E-4</v>
      </c>
      <c r="AI155" s="19">
        <f t="shared" si="84"/>
        <v>2.5047617384170581E-4</v>
      </c>
      <c r="AJ155" s="19">
        <f t="shared" si="85"/>
        <v>4.0533604252772858E-4</v>
      </c>
      <c r="AK155" s="19">
        <f t="shared" si="86"/>
        <v>4.0825815411256862E-4</v>
      </c>
      <c r="AL155" s="19">
        <f t="shared" si="87"/>
        <v>4.1145768020930154E-4</v>
      </c>
      <c r="AM155" s="19">
        <f t="shared" si="88"/>
        <v>4.1449723700862231E-4</v>
      </c>
      <c r="AN155" s="19">
        <f t="shared" si="89"/>
        <v>3.798450292114647E-4</v>
      </c>
      <c r="AO155" s="24"/>
    </row>
    <row r="156" spans="1:41">
      <c r="A156" s="12" t="s">
        <v>396</v>
      </c>
      <c r="B156" s="12">
        <v>1526.31</v>
      </c>
      <c r="C156" s="19">
        <v>15442</v>
      </c>
      <c r="D156" s="19">
        <v>33835</v>
      </c>
      <c r="E156" s="19">
        <v>7623</v>
      </c>
      <c r="F156" s="19">
        <v>30852</v>
      </c>
      <c r="G156" s="19">
        <v>4973</v>
      </c>
      <c r="H156" s="19">
        <v>20856</v>
      </c>
      <c r="I156" s="19">
        <v>44182</v>
      </c>
      <c r="J156" s="19">
        <v>39314</v>
      </c>
      <c r="K156" s="19">
        <v>14854</v>
      </c>
      <c r="L156" s="19">
        <v>41399</v>
      </c>
      <c r="M156" s="19">
        <v>31510</v>
      </c>
      <c r="N156" s="19">
        <v>24008</v>
      </c>
      <c r="O156" s="24"/>
      <c r="P156" s="22">
        <f t="shared" si="76"/>
        <v>9.1172107894202359</v>
      </c>
      <c r="Q156" s="22">
        <f t="shared" si="77"/>
        <v>21.167842705610262</v>
      </c>
      <c r="R156" s="22">
        <f t="shared" si="90"/>
        <v>3.9943982546140697</v>
      </c>
      <c r="S156" s="22">
        <f t="shared" si="91"/>
        <v>19.213455982074414</v>
      </c>
      <c r="T156" s="22">
        <f t="shared" si="92"/>
        <v>2.258184772424999</v>
      </c>
      <c r="U156" s="22">
        <f t="shared" si="93"/>
        <v>12.664327692277453</v>
      </c>
      <c r="V156" s="22">
        <f t="shared" si="94"/>
        <v>27.946937384934913</v>
      </c>
      <c r="W156" s="22">
        <f t="shared" si="95"/>
        <v>24.757545976898534</v>
      </c>
      <c r="X156" s="22">
        <f t="shared" si="96"/>
        <v>8.7319679488439448</v>
      </c>
      <c r="Y156" s="22">
        <f t="shared" si="97"/>
        <v>26.123585641186917</v>
      </c>
      <c r="Z156" s="22">
        <f t="shared" si="98"/>
        <v>19.644561065576454</v>
      </c>
      <c r="AA156" s="22">
        <f t="shared" si="99"/>
        <v>14.729438973734037</v>
      </c>
      <c r="AB156" s="24"/>
      <c r="AC156" s="19">
        <f t="shared" si="78"/>
        <v>5.9076524547923409E-4</v>
      </c>
      <c r="AD156" s="19">
        <f t="shared" si="79"/>
        <v>6.2601134964952179E-4</v>
      </c>
      <c r="AE156" s="19">
        <f t="shared" si="80"/>
        <v>5.2426766213415309E-4</v>
      </c>
      <c r="AF156" s="19">
        <f t="shared" si="81"/>
        <v>6.2315016369489135E-4</v>
      </c>
      <c r="AG156" s="19">
        <f t="shared" si="82"/>
        <v>4.5429532580171093E-4</v>
      </c>
      <c r="AH156" s="19">
        <f t="shared" si="83"/>
        <v>6.0759601492688001E-4</v>
      </c>
      <c r="AI156" s="19">
        <f t="shared" si="84"/>
        <v>6.3294160890061963E-4</v>
      </c>
      <c r="AJ156" s="19">
        <f t="shared" si="85"/>
        <v>6.3013548825407387E-4</v>
      </c>
      <c r="AK156" s="19">
        <f t="shared" si="86"/>
        <v>5.881987398268253E-4</v>
      </c>
      <c r="AL156" s="19">
        <f t="shared" si="87"/>
        <v>6.3141816342555533E-4</v>
      </c>
      <c r="AM156" s="19">
        <f t="shared" si="88"/>
        <v>6.2382786068168909E-4</v>
      </c>
      <c r="AN156" s="19">
        <f t="shared" si="89"/>
        <v>6.1389875699813777E-4</v>
      </c>
      <c r="AO156" s="24"/>
    </row>
    <row r="157" spans="1:41">
      <c r="A157" s="12" t="s">
        <v>398</v>
      </c>
      <c r="B157" s="12">
        <v>1649.97</v>
      </c>
      <c r="C157" s="19">
        <v>49349</v>
      </c>
      <c r="D157" s="19">
        <v>20687</v>
      </c>
      <c r="E157" s="19">
        <v>20490</v>
      </c>
      <c r="F157" s="19">
        <v>41392</v>
      </c>
      <c r="G157" s="19">
        <v>33041</v>
      </c>
      <c r="H157" s="19">
        <v>5692</v>
      </c>
      <c r="I157" s="19">
        <v>18590</v>
      </c>
      <c r="J157" s="19">
        <v>31580</v>
      </c>
      <c r="K157" s="19">
        <v>9406</v>
      </c>
      <c r="L157" s="19">
        <v>1083</v>
      </c>
      <c r="M157" s="19">
        <v>38509</v>
      </c>
      <c r="N157" s="19">
        <v>43162</v>
      </c>
      <c r="O157" s="24"/>
      <c r="P157" s="22">
        <f t="shared" si="76"/>
        <v>28.909028649005737</v>
      </c>
      <c r="Q157" s="22">
        <f t="shared" si="77"/>
        <v>11.537803717643349</v>
      </c>
      <c r="R157" s="22">
        <f t="shared" si="90"/>
        <v>11.418407607411043</v>
      </c>
      <c r="S157" s="22">
        <f t="shared" si="91"/>
        <v>24.086516724546506</v>
      </c>
      <c r="T157" s="22">
        <f t="shared" si="92"/>
        <v>19.025212579622657</v>
      </c>
      <c r="U157" s="22">
        <f t="shared" si="93"/>
        <v>2.4497596926004714</v>
      </c>
      <c r="V157" s="22">
        <f t="shared" si="94"/>
        <v>10.2668715188761</v>
      </c>
      <c r="W157" s="22">
        <f t="shared" si="95"/>
        <v>18.139741934701842</v>
      </c>
      <c r="X157" s="22">
        <f t="shared" si="96"/>
        <v>4.7007097098735127</v>
      </c>
      <c r="Y157" s="22">
        <f t="shared" si="97"/>
        <v>-0.34362442953508249</v>
      </c>
      <c r="Z157" s="22">
        <f t="shared" si="98"/>
        <v>22.339212228101115</v>
      </c>
      <c r="AA157" s="22">
        <f t="shared" si="99"/>
        <v>25.159263501760638</v>
      </c>
      <c r="AB157" s="24"/>
      <c r="AC157" s="19">
        <f t="shared" si="78"/>
        <v>5.8615116232852013E-4</v>
      </c>
      <c r="AD157" s="19">
        <f t="shared" si="79"/>
        <v>5.5804332730796007E-4</v>
      </c>
      <c r="AE157" s="19">
        <f t="shared" si="80"/>
        <v>5.5757805079882921E-4</v>
      </c>
      <c r="AF157" s="19">
        <f t="shared" si="81"/>
        <v>5.8225118688387295E-4</v>
      </c>
      <c r="AG157" s="19">
        <f t="shared" si="82"/>
        <v>5.7613794154037865E-4</v>
      </c>
      <c r="AH157" s="19">
        <f t="shared" si="83"/>
        <v>4.3057176562836955E-4</v>
      </c>
      <c r="AI157" s="19">
        <f t="shared" si="84"/>
        <v>5.5258444499064812E-4</v>
      </c>
      <c r="AJ157" s="19">
        <f t="shared" si="85"/>
        <v>5.7473614629753719E-4</v>
      </c>
      <c r="AK157" s="19">
        <f t="shared" si="86"/>
        <v>5.0000638898162848E-4</v>
      </c>
      <c r="AL157" s="19">
        <f t="shared" si="87"/>
        <v>-3.1718876798303728E-4</v>
      </c>
      <c r="AM157" s="19">
        <f t="shared" si="88"/>
        <v>5.8044038559975036E-4</v>
      </c>
      <c r="AN157" s="19">
        <f t="shared" si="89"/>
        <v>5.8324307186625492E-4</v>
      </c>
      <c r="AO157" s="24"/>
    </row>
    <row r="158" spans="1:41">
      <c r="A158" s="12" t="s">
        <v>397</v>
      </c>
      <c r="B158" s="12">
        <v>2856.86</v>
      </c>
      <c r="C158" s="19">
        <v>37268</v>
      </c>
      <c r="D158" s="19">
        <v>36360</v>
      </c>
      <c r="E158" s="19">
        <v>5961</v>
      </c>
      <c r="F158" s="19">
        <v>12821</v>
      </c>
      <c r="G158" s="19">
        <v>46945</v>
      </c>
      <c r="H158" s="19">
        <v>13167</v>
      </c>
      <c r="I158" s="19">
        <v>32414</v>
      </c>
      <c r="J158" s="19">
        <v>12684</v>
      </c>
      <c r="K158" s="19">
        <v>49479</v>
      </c>
      <c r="L158" s="19">
        <v>2028</v>
      </c>
      <c r="M158" s="19">
        <v>20652</v>
      </c>
      <c r="N158" s="19">
        <v>9288</v>
      </c>
      <c r="O158" s="24"/>
      <c r="P158" s="22">
        <f t="shared" si="76"/>
        <v>12.045091464054941</v>
      </c>
      <c r="Q158" s="22">
        <f t="shared" si="77"/>
        <v>11.727259998739875</v>
      </c>
      <c r="R158" s="22">
        <f t="shared" si="90"/>
        <v>1.0865565691003409</v>
      </c>
      <c r="S158" s="22">
        <f t="shared" si="91"/>
        <v>3.4877942916348714</v>
      </c>
      <c r="T158" s="22">
        <f t="shared" si="92"/>
        <v>15.432376805303724</v>
      </c>
      <c r="U158" s="22">
        <f t="shared" si="93"/>
        <v>3.60890628172189</v>
      </c>
      <c r="V158" s="22">
        <f t="shared" si="94"/>
        <v>10.346023256302374</v>
      </c>
      <c r="W158" s="22">
        <f t="shared" si="95"/>
        <v>3.439839544114867</v>
      </c>
      <c r="X158" s="22">
        <f t="shared" si="96"/>
        <v>16.31936461709709</v>
      </c>
      <c r="Y158" s="22">
        <f t="shared" si="97"/>
        <v>-0.29012972284256144</v>
      </c>
      <c r="Z158" s="22">
        <f t="shared" si="98"/>
        <v>6.2289156626506017</v>
      </c>
      <c r="AA158" s="22">
        <f t="shared" si="99"/>
        <v>2.2511218610642452</v>
      </c>
      <c r="AB158" s="24"/>
      <c r="AC158" s="19">
        <f t="shared" si="78"/>
        <v>3.2330647526350784E-4</v>
      </c>
      <c r="AD158" s="19">
        <f t="shared" si="79"/>
        <v>3.2263596354701143E-4</v>
      </c>
      <c r="AE158" s="19">
        <f t="shared" si="80"/>
        <v>1.8231079686198442E-4</v>
      </c>
      <c r="AF158" s="19">
        <f t="shared" si="81"/>
        <v>2.7211164192077452E-4</v>
      </c>
      <c r="AG158" s="19">
        <f t="shared" si="82"/>
        <v>3.288412313791775E-4</v>
      </c>
      <c r="AH158" s="19">
        <f t="shared" si="83"/>
        <v>2.7416235345648142E-4</v>
      </c>
      <c r="AI158" s="19">
        <f t="shared" si="84"/>
        <v>3.1928569733918828E-4</v>
      </c>
      <c r="AJ158" s="19">
        <f t="shared" si="85"/>
        <v>2.7126873738921638E-4</v>
      </c>
      <c r="AK158" s="19">
        <f t="shared" si="86"/>
        <v>3.2993287883841677E-4</v>
      </c>
      <c r="AL158" s="19">
        <f t="shared" si="87"/>
        <v>-1.4304152970571644E-4</v>
      </c>
      <c r="AM158" s="19">
        <f t="shared" si="88"/>
        <v>3.0170419100384623E-4</v>
      </c>
      <c r="AN158" s="19">
        <f t="shared" si="89"/>
        <v>2.4242760498983238E-4</v>
      </c>
      <c r="AO158" s="24"/>
    </row>
    <row r="159" spans="1:41">
      <c r="A159" s="12" t="s">
        <v>396</v>
      </c>
      <c r="B159" s="12">
        <v>2549.14</v>
      </c>
      <c r="C159" s="19">
        <v>19367</v>
      </c>
      <c r="D159" s="19">
        <v>44434</v>
      </c>
      <c r="E159" s="19">
        <v>11831</v>
      </c>
      <c r="F159" s="19">
        <v>29540</v>
      </c>
      <c r="G159" s="19">
        <v>24941</v>
      </c>
      <c r="H159" s="19">
        <v>32239</v>
      </c>
      <c r="I159" s="19">
        <v>24528</v>
      </c>
      <c r="J159" s="19">
        <v>13929</v>
      </c>
      <c r="K159" s="19">
        <v>49346</v>
      </c>
      <c r="L159" s="19">
        <v>49287</v>
      </c>
      <c r="M159" s="19">
        <v>9456</v>
      </c>
      <c r="N159" s="19">
        <v>4743</v>
      </c>
      <c r="O159" s="24"/>
      <c r="P159" s="22">
        <f t="shared" si="76"/>
        <v>6.5974642428426851</v>
      </c>
      <c r="Q159" s="22">
        <f t="shared" si="77"/>
        <v>16.430976721560999</v>
      </c>
      <c r="R159" s="22">
        <f t="shared" si="90"/>
        <v>3.6411731015165905</v>
      </c>
      <c r="S159" s="22">
        <f t="shared" si="91"/>
        <v>10.588221910134399</v>
      </c>
      <c r="T159" s="22">
        <f t="shared" si="92"/>
        <v>8.7840840440305357</v>
      </c>
      <c r="U159" s="22">
        <f t="shared" si="93"/>
        <v>11.647010364279719</v>
      </c>
      <c r="V159" s="22">
        <f t="shared" si="94"/>
        <v>8.6220686192206006</v>
      </c>
      <c r="W159" s="22">
        <f t="shared" si="95"/>
        <v>4.4641957679844975</v>
      </c>
      <c r="X159" s="22">
        <f t="shared" si="96"/>
        <v>18.357901096055926</v>
      </c>
      <c r="Y159" s="22">
        <f t="shared" si="97"/>
        <v>18.334756035368791</v>
      </c>
      <c r="Z159" s="22">
        <f t="shared" si="98"/>
        <v>2.7094863365684119</v>
      </c>
      <c r="AA159" s="22">
        <f t="shared" si="99"/>
        <v>0.86062750574703639</v>
      </c>
      <c r="AB159" s="24"/>
      <c r="AC159" s="19">
        <f t="shared" si="78"/>
        <v>3.40771026359482E-4</v>
      </c>
      <c r="AD159" s="19">
        <f t="shared" si="79"/>
        <v>3.6992066614338626E-4</v>
      </c>
      <c r="AE159" s="19">
        <f t="shared" si="80"/>
        <v>3.0786020402421692E-4</v>
      </c>
      <c r="AF159" s="19">
        <f t="shared" si="81"/>
        <v>3.5856528364681522E-4</v>
      </c>
      <c r="AG159" s="19">
        <f t="shared" si="82"/>
        <v>3.5231862557426953E-4</v>
      </c>
      <c r="AH159" s="19">
        <f t="shared" si="83"/>
        <v>3.6140139613778964E-4</v>
      </c>
      <c r="AI159" s="19">
        <f t="shared" si="84"/>
        <v>3.5164304100006419E-4</v>
      </c>
      <c r="AJ159" s="19">
        <f t="shared" si="85"/>
        <v>3.2059925233756927E-4</v>
      </c>
      <c r="AK159" s="19">
        <f t="shared" si="86"/>
        <v>3.7216255054818109E-4</v>
      </c>
      <c r="AL159" s="19">
        <f t="shared" si="87"/>
        <v>3.7213827378071267E-4</v>
      </c>
      <c r="AM159" s="19">
        <f t="shared" si="88"/>
        <v>2.8661832963371029E-4</v>
      </c>
      <c r="AN159" s="19">
        <f t="shared" si="89"/>
        <v>1.8148507206239422E-4</v>
      </c>
      <c r="AO159" s="24"/>
    </row>
    <row r="160" spans="1:41">
      <c r="A160" s="12" t="s">
        <v>399</v>
      </c>
      <c r="B160" s="12">
        <v>2747</v>
      </c>
      <c r="C160" s="19">
        <v>13487</v>
      </c>
      <c r="D160" s="19">
        <v>25782</v>
      </c>
      <c r="E160" s="19">
        <v>40702</v>
      </c>
      <c r="F160" s="19">
        <v>14138</v>
      </c>
      <c r="G160" s="19">
        <v>41372</v>
      </c>
      <c r="H160" s="19">
        <v>18124</v>
      </c>
      <c r="I160" s="19">
        <v>26579</v>
      </c>
      <c r="J160" s="19">
        <v>33689</v>
      </c>
      <c r="K160" s="19">
        <v>8069</v>
      </c>
      <c r="L160" s="19">
        <v>30306</v>
      </c>
      <c r="M160" s="19">
        <v>40932</v>
      </c>
      <c r="N160" s="19">
        <v>22682</v>
      </c>
      <c r="O160" s="24"/>
      <c r="P160" s="22">
        <f t="shared" si="76"/>
        <v>3.9097196942118675</v>
      </c>
      <c r="Q160" s="22">
        <f t="shared" si="77"/>
        <v>8.3855114670549682</v>
      </c>
      <c r="R160" s="22">
        <f t="shared" si="90"/>
        <v>13.816891153986166</v>
      </c>
      <c r="S160" s="22">
        <f t="shared" si="91"/>
        <v>4.1467054969057155</v>
      </c>
      <c r="T160" s="22">
        <f t="shared" si="92"/>
        <v>14.060793593010557</v>
      </c>
      <c r="U160" s="22">
        <f t="shared" si="93"/>
        <v>5.5977429923552968</v>
      </c>
      <c r="V160" s="22">
        <f t="shared" si="94"/>
        <v>8.6756461594466696</v>
      </c>
      <c r="W160" s="22">
        <f t="shared" si="95"/>
        <v>11.263924281033855</v>
      </c>
      <c r="X160" s="22">
        <f t="shared" si="96"/>
        <v>1.9373862395340371</v>
      </c>
      <c r="Y160" s="22">
        <f t="shared" si="97"/>
        <v>10.032398980706224</v>
      </c>
      <c r="Z160" s="22">
        <f t="shared" si="98"/>
        <v>13.900618856934837</v>
      </c>
      <c r="AA160" s="22">
        <f t="shared" si="99"/>
        <v>7.2570076447033127</v>
      </c>
      <c r="AB160" s="24"/>
      <c r="AC160" s="19">
        <f t="shared" si="78"/>
        <v>2.8997207709293755E-4</v>
      </c>
      <c r="AD160" s="19">
        <f t="shared" si="79"/>
        <v>3.253525604949901E-4</v>
      </c>
      <c r="AE160" s="19">
        <f t="shared" si="80"/>
        <v>3.3957994922074157E-4</v>
      </c>
      <c r="AF160" s="19">
        <f t="shared" si="81"/>
        <v>2.9338818017294991E-4</v>
      </c>
      <c r="AG160" s="19">
        <f t="shared" si="82"/>
        <v>3.3997810004112388E-4</v>
      </c>
      <c r="AH160" s="19">
        <f t="shared" si="83"/>
        <v>3.0895345588158915E-4</v>
      </c>
      <c r="AI160" s="19">
        <f t="shared" si="84"/>
        <v>3.2651638135507616E-4</v>
      </c>
      <c r="AJ160" s="19">
        <f t="shared" si="85"/>
        <v>3.3446203912604859E-4</v>
      </c>
      <c r="AK160" s="19">
        <f t="shared" si="86"/>
        <v>2.4016005977557715E-4</v>
      </c>
      <c r="AL160" s="19">
        <f t="shared" si="87"/>
        <v>3.3114634636619722E-4</v>
      </c>
      <c r="AM160" s="19">
        <f t="shared" si="88"/>
        <v>3.3971809705660177E-4</v>
      </c>
      <c r="AN160" s="19">
        <f t="shared" si="89"/>
        <v>3.2004806613023071E-4</v>
      </c>
      <c r="AO160" s="24"/>
    </row>
    <row r="161" spans="1:41">
      <c r="A161" s="12" t="s">
        <v>399</v>
      </c>
      <c r="B161" s="12">
        <v>2450.61</v>
      </c>
      <c r="C161" s="19">
        <v>25698</v>
      </c>
      <c r="D161" s="19">
        <v>34121</v>
      </c>
      <c r="E161" s="19">
        <v>20375</v>
      </c>
      <c r="F161" s="19">
        <v>20013</v>
      </c>
      <c r="G161" s="19">
        <v>32764</v>
      </c>
      <c r="H161" s="19">
        <v>34708</v>
      </c>
      <c r="I161" s="19">
        <v>39716</v>
      </c>
      <c r="J161" s="19">
        <v>31009</v>
      </c>
      <c r="K161" s="19">
        <v>26673</v>
      </c>
      <c r="L161" s="19">
        <v>6973</v>
      </c>
      <c r="M161" s="19">
        <v>32558</v>
      </c>
      <c r="N161" s="19">
        <v>12363</v>
      </c>
      <c r="O161" s="24"/>
      <c r="P161" s="22">
        <f t="shared" si="76"/>
        <v>9.4863687000379482</v>
      </c>
      <c r="Q161" s="22">
        <f t="shared" si="77"/>
        <v>12.923472115106033</v>
      </c>
      <c r="R161" s="22">
        <f t="shared" si="90"/>
        <v>7.3142564504347893</v>
      </c>
      <c r="S161" s="22">
        <f t="shared" si="91"/>
        <v>7.1665381272417878</v>
      </c>
      <c r="T161" s="22">
        <f t="shared" si="92"/>
        <v>12.369732433965419</v>
      </c>
      <c r="U161" s="22">
        <f t="shared" si="93"/>
        <v>13.163004313211811</v>
      </c>
      <c r="V161" s="22">
        <f t="shared" si="94"/>
        <v>15.206577137937083</v>
      </c>
      <c r="W161" s="22">
        <f t="shared" si="95"/>
        <v>11.653584209645761</v>
      </c>
      <c r="X161" s="22">
        <f t="shared" si="96"/>
        <v>9.8842288246599814</v>
      </c>
      <c r="Y161" s="22">
        <f t="shared" si="97"/>
        <v>1.845413998963523</v>
      </c>
      <c r="Z161" s="22">
        <f t="shared" si="98"/>
        <v>12.285671730711945</v>
      </c>
      <c r="AA161" s="22">
        <f t="shared" si="99"/>
        <v>4.0448663802073765</v>
      </c>
      <c r="AB161" s="24"/>
      <c r="AC161" s="19">
        <f t="shared" si="78"/>
        <v>3.6928445281782902E-4</v>
      </c>
      <c r="AD161" s="19">
        <f t="shared" si="79"/>
        <v>3.7889771076772717E-4</v>
      </c>
      <c r="AE161" s="19">
        <f t="shared" si="80"/>
        <v>3.5911082596859148E-4</v>
      </c>
      <c r="AF161" s="19">
        <f t="shared" si="81"/>
        <v>3.5822242251990258E-4</v>
      </c>
      <c r="AG161" s="19">
        <f t="shared" si="82"/>
        <v>3.7768295296784586E-4</v>
      </c>
      <c r="AH161" s="19">
        <f t="shared" si="83"/>
        <v>3.7939374999364358E-4</v>
      </c>
      <c r="AI161" s="19">
        <f t="shared" si="84"/>
        <v>3.8302955248194703E-4</v>
      </c>
      <c r="AJ161" s="19">
        <f t="shared" si="85"/>
        <v>3.7595425277143433E-4</v>
      </c>
      <c r="AK161" s="19">
        <f t="shared" si="86"/>
        <v>3.7070794386849238E-4</v>
      </c>
      <c r="AL161" s="19">
        <f t="shared" si="87"/>
        <v>2.6472142830821001E-4</v>
      </c>
      <c r="AM161" s="19">
        <f t="shared" si="88"/>
        <v>3.7748969362889602E-4</v>
      </c>
      <c r="AN161" s="19">
        <f t="shared" si="89"/>
        <v>3.272822286735402E-4</v>
      </c>
      <c r="AO161" s="24"/>
    </row>
    <row r="162" spans="1:41">
      <c r="A162" s="12" t="s">
        <v>396</v>
      </c>
      <c r="B162" s="12">
        <v>371.31</v>
      </c>
      <c r="C162" s="19">
        <v>46105</v>
      </c>
      <c r="D162" s="19">
        <v>36744</v>
      </c>
      <c r="E162" s="19">
        <v>30405</v>
      </c>
      <c r="F162" s="19">
        <v>16966</v>
      </c>
      <c r="G162" s="19">
        <v>26035</v>
      </c>
      <c r="H162" s="19">
        <v>9508</v>
      </c>
      <c r="I162" s="19">
        <v>29525</v>
      </c>
      <c r="J162" s="19">
        <v>8169</v>
      </c>
      <c r="K162" s="19">
        <v>48836</v>
      </c>
      <c r="L162" s="19">
        <v>6488</v>
      </c>
      <c r="M162" s="19">
        <v>41309</v>
      </c>
      <c r="N162" s="19">
        <v>37225</v>
      </c>
      <c r="O162" s="24"/>
      <c r="P162" s="22">
        <f t="shared" si="76"/>
        <v>123.16848455468477</v>
      </c>
      <c r="Q162" s="22">
        <f t="shared" si="77"/>
        <v>97.957744202957102</v>
      </c>
      <c r="R162" s="22">
        <f t="shared" si="90"/>
        <v>80.885755837440414</v>
      </c>
      <c r="S162" s="22">
        <f t="shared" si="91"/>
        <v>44.692278688966091</v>
      </c>
      <c r="T162" s="22">
        <f t="shared" si="92"/>
        <v>69.116614149901693</v>
      </c>
      <c r="U162" s="22">
        <f t="shared" si="93"/>
        <v>24.606635964557917</v>
      </c>
      <c r="V162" s="22">
        <f t="shared" si="94"/>
        <v>78.51576849532735</v>
      </c>
      <c r="W162" s="22">
        <f t="shared" si="95"/>
        <v>21.000484770138158</v>
      </c>
      <c r="X162" s="22">
        <f t="shared" si="96"/>
        <v>130.52352481753792</v>
      </c>
      <c r="Y162" s="22">
        <f t="shared" si="97"/>
        <v>16.473270313215373</v>
      </c>
      <c r="Z162" s="22">
        <f t="shared" si="98"/>
        <v>110.2520535401686</v>
      </c>
      <c r="AA162" s="22">
        <f t="shared" si="99"/>
        <v>99.253157738816626</v>
      </c>
      <c r="AB162" s="24"/>
      <c r="AC162" s="19">
        <f t="shared" si="78"/>
        <v>2.6786337232633378E-3</v>
      </c>
      <c r="AD162" s="19">
        <f t="shared" si="79"/>
        <v>2.6730784055530891E-3</v>
      </c>
      <c r="AE162" s="19">
        <f t="shared" si="80"/>
        <v>2.6673740636302692E-3</v>
      </c>
      <c r="AF162" s="19">
        <f t="shared" si="81"/>
        <v>2.6411834962778756E-3</v>
      </c>
      <c r="AG162" s="19">
        <f t="shared" si="82"/>
        <v>2.6618240990624736E-3</v>
      </c>
      <c r="AH162" s="19">
        <f t="shared" si="83"/>
        <v>2.5947079299563211E-3</v>
      </c>
      <c r="AI162" s="19">
        <f t="shared" si="84"/>
        <v>2.6663885534872664E-3</v>
      </c>
      <c r="AJ162" s="19">
        <f t="shared" si="85"/>
        <v>2.5773792365702806E-3</v>
      </c>
      <c r="AK162" s="19">
        <f t="shared" si="86"/>
        <v>2.6798531554053325E-3</v>
      </c>
      <c r="AL162" s="19">
        <f t="shared" si="87"/>
        <v>2.5454998489997213E-3</v>
      </c>
      <c r="AM162" s="19">
        <f t="shared" si="88"/>
        <v>2.6761020427962415E-3</v>
      </c>
      <c r="AN162" s="19">
        <f t="shared" si="89"/>
        <v>2.6734319490061874E-3</v>
      </c>
      <c r="AO162" s="24"/>
    </row>
    <row r="163" spans="1:41">
      <c r="A163" s="12" t="s">
        <v>398</v>
      </c>
      <c r="B163" s="12">
        <v>489.53</v>
      </c>
      <c r="C163" s="19">
        <v>26552</v>
      </c>
      <c r="D163" s="19">
        <v>16284</v>
      </c>
      <c r="E163" s="19">
        <v>24879</v>
      </c>
      <c r="F163" s="19">
        <v>1384</v>
      </c>
      <c r="G163" s="19">
        <v>46543</v>
      </c>
      <c r="H163" s="19">
        <v>21515</v>
      </c>
      <c r="I163" s="19">
        <v>38321</v>
      </c>
      <c r="J163" s="19">
        <v>26389</v>
      </c>
      <c r="K163" s="19">
        <v>18447</v>
      </c>
      <c r="L163" s="19">
        <v>5415</v>
      </c>
      <c r="M163" s="19">
        <v>2886</v>
      </c>
      <c r="N163" s="19">
        <v>37620</v>
      </c>
      <c r="O163" s="24"/>
      <c r="P163" s="22">
        <f t="shared" si="76"/>
        <v>53.239781014442428</v>
      </c>
      <c r="Q163" s="22">
        <f t="shared" si="77"/>
        <v>32.264559883970342</v>
      </c>
      <c r="R163" s="22">
        <f t="shared" si="90"/>
        <v>49.822217228770455</v>
      </c>
      <c r="S163" s="22">
        <f t="shared" si="91"/>
        <v>1.8272016015361674</v>
      </c>
      <c r="T163" s="22">
        <f t="shared" si="92"/>
        <v>94.076910505995556</v>
      </c>
      <c r="U163" s="22">
        <f t="shared" si="93"/>
        <v>42.950319694400754</v>
      </c>
      <c r="V163" s="22">
        <f t="shared" si="94"/>
        <v>77.281208506118119</v>
      </c>
      <c r="W163" s="22">
        <f t="shared" si="95"/>
        <v>52.906808571486941</v>
      </c>
      <c r="X163" s="22">
        <f t="shared" si="96"/>
        <v>36.683083774232429</v>
      </c>
      <c r="Y163" s="22">
        <f t="shared" si="97"/>
        <v>10.061630543582622</v>
      </c>
      <c r="Z163" s="22">
        <f t="shared" si="98"/>
        <v>4.8954507384634249</v>
      </c>
      <c r="AA163" s="22">
        <f t="shared" si="99"/>
        <v>75.849222723837158</v>
      </c>
      <c r="AB163" s="24"/>
      <c r="AC163" s="19">
        <f t="shared" si="78"/>
        <v>2.0091423362628771E-3</v>
      </c>
      <c r="AD163" s="19">
        <f t="shared" si="79"/>
        <v>1.9852993548201635E-3</v>
      </c>
      <c r="AE163" s="19">
        <f t="shared" si="80"/>
        <v>2.0065995605920428E-3</v>
      </c>
      <c r="AF163" s="19">
        <f t="shared" si="81"/>
        <v>1.3219776887906942E-3</v>
      </c>
      <c r="AG163" s="19">
        <f t="shared" si="82"/>
        <v>2.0253841047021869E-3</v>
      </c>
      <c r="AH163" s="19">
        <f t="shared" si="83"/>
        <v>2.0002896944577801E-3</v>
      </c>
      <c r="AI163" s="19">
        <f t="shared" si="84"/>
        <v>2.0207555893677082E-3</v>
      </c>
      <c r="AJ163" s="19">
        <f t="shared" si="85"/>
        <v>2.0089087696844219E-3</v>
      </c>
      <c r="AK163" s="19">
        <f t="shared" si="86"/>
        <v>1.9925286425624819E-3</v>
      </c>
      <c r="AL163" s="19">
        <f t="shared" si="87"/>
        <v>1.8615624926347743E-3</v>
      </c>
      <c r="AM163" s="19">
        <f t="shared" si="88"/>
        <v>1.6991576163795203E-3</v>
      </c>
      <c r="AN163" s="19">
        <f t="shared" si="89"/>
        <v>2.0202673693113706E-3</v>
      </c>
      <c r="AO163" s="24"/>
    </row>
    <row r="164" spans="1:41">
      <c r="A164" s="12" t="s">
        <v>399</v>
      </c>
      <c r="B164" s="12">
        <v>1603.54</v>
      </c>
      <c r="C164" s="19">
        <v>28836</v>
      </c>
      <c r="D164" s="19">
        <v>21370</v>
      </c>
      <c r="E164" s="19">
        <v>49627</v>
      </c>
      <c r="F164" s="19">
        <v>43944</v>
      </c>
      <c r="G164" s="19">
        <v>35424</v>
      </c>
      <c r="H164" s="19">
        <v>39304</v>
      </c>
      <c r="I164" s="19">
        <v>29394</v>
      </c>
      <c r="J164" s="19">
        <v>26788</v>
      </c>
      <c r="K164" s="19">
        <v>8943</v>
      </c>
      <c r="L164" s="19">
        <v>22800</v>
      </c>
      <c r="M164" s="19">
        <v>31607</v>
      </c>
      <c r="N164" s="19">
        <v>48068</v>
      </c>
      <c r="O164" s="24"/>
      <c r="P164" s="22">
        <f t="shared" si="76"/>
        <v>16.982713246941142</v>
      </c>
      <c r="Q164" s="22">
        <f t="shared" si="77"/>
        <v>12.326764533469698</v>
      </c>
      <c r="R164" s="22">
        <f t="shared" si="90"/>
        <v>29.948401661324318</v>
      </c>
      <c r="S164" s="22">
        <f t="shared" si="91"/>
        <v>26.404367836162489</v>
      </c>
      <c r="T164" s="22">
        <f t="shared" si="92"/>
        <v>21.09112338950073</v>
      </c>
      <c r="U164" s="22">
        <f t="shared" si="93"/>
        <v>23.510769921548572</v>
      </c>
      <c r="V164" s="22">
        <f t="shared" si="94"/>
        <v>17.330693340983075</v>
      </c>
      <c r="W164" s="22">
        <f t="shared" si="95"/>
        <v>15.705538994973621</v>
      </c>
      <c r="X164" s="22">
        <f t="shared" si="96"/>
        <v>4.5770358082741938</v>
      </c>
      <c r="Y164" s="22">
        <f t="shared" si="97"/>
        <v>13.218541476982177</v>
      </c>
      <c r="Z164" s="22">
        <f t="shared" si="98"/>
        <v>18.710764932586653</v>
      </c>
      <c r="AA164" s="22">
        <f t="shared" si="99"/>
        <v>28.976177706823652</v>
      </c>
      <c r="AB164" s="24"/>
      <c r="AC164" s="19">
        <f t="shared" si="78"/>
        <v>5.8928842291743966E-4</v>
      </c>
      <c r="AD164" s="19">
        <f t="shared" si="79"/>
        <v>5.7715858827729822E-4</v>
      </c>
      <c r="AE164" s="19">
        <f t="shared" si="80"/>
        <v>6.0383431466574282E-4</v>
      </c>
      <c r="AF164" s="19">
        <f t="shared" si="81"/>
        <v>6.0122525962748243E-4</v>
      </c>
      <c r="AG164" s="19">
        <f t="shared" si="82"/>
        <v>5.9574549263760981E-4</v>
      </c>
      <c r="AH164" s="19">
        <f t="shared" si="83"/>
        <v>5.9853556771756174E-4</v>
      </c>
      <c r="AI164" s="19">
        <f t="shared" si="84"/>
        <v>5.8994752468601345E-4</v>
      </c>
      <c r="AJ164" s="19">
        <f t="shared" si="85"/>
        <v>5.8663403011084464E-4</v>
      </c>
      <c r="AK164" s="19">
        <f t="shared" si="86"/>
        <v>5.1206301453962134E-4</v>
      </c>
      <c r="AL164" s="19">
        <f t="shared" si="87"/>
        <v>5.8009690842222915E-4</v>
      </c>
      <c r="AM164" s="19">
        <f t="shared" si="88"/>
        <v>5.923323290270209E-4</v>
      </c>
      <c r="AN164" s="19">
        <f t="shared" si="89"/>
        <v>6.0317998579681497E-4</v>
      </c>
      <c r="AO164" s="24"/>
    </row>
    <row r="165" spans="1:41">
      <c r="A165" s="12" t="s">
        <v>398</v>
      </c>
      <c r="B165" s="12">
        <v>775.91</v>
      </c>
      <c r="C165" s="19">
        <v>7926</v>
      </c>
      <c r="D165" s="19">
        <v>31458</v>
      </c>
      <c r="E165" s="19">
        <v>4816</v>
      </c>
      <c r="F165" s="19">
        <v>8470</v>
      </c>
      <c r="G165" s="19">
        <v>35184</v>
      </c>
      <c r="H165" s="19">
        <v>5622</v>
      </c>
      <c r="I165" s="19">
        <v>10157</v>
      </c>
      <c r="J165" s="19">
        <v>21994</v>
      </c>
      <c r="K165" s="19">
        <v>30661</v>
      </c>
      <c r="L165" s="19">
        <v>15957</v>
      </c>
      <c r="M165" s="19">
        <v>28862</v>
      </c>
      <c r="N165" s="19">
        <v>17903</v>
      </c>
      <c r="O165" s="24"/>
      <c r="P165" s="22">
        <f t="shared" ref="P165:P196" si="100">(C165-B165)/B165</f>
        <v>9.2151022670155047</v>
      </c>
      <c r="Q165" s="22">
        <f t="shared" ref="Q165:Q196" si="101">(D165-B165)/B165</f>
        <v>39.54336198785942</v>
      </c>
      <c r="R165" s="22">
        <f t="shared" si="90"/>
        <v>5.2069054400639256</v>
      </c>
      <c r="S165" s="22">
        <f t="shared" si="91"/>
        <v>9.9162145094147522</v>
      </c>
      <c r="T165" s="22">
        <f t="shared" si="92"/>
        <v>44.345465324586613</v>
      </c>
      <c r="U165" s="22">
        <f t="shared" si="93"/>
        <v>6.2456857109716335</v>
      </c>
      <c r="V165" s="22">
        <f t="shared" si="94"/>
        <v>12.090435746413888</v>
      </c>
      <c r="W165" s="22">
        <f t="shared" si="95"/>
        <v>27.3460710649431</v>
      </c>
      <c r="X165" s="22">
        <f t="shared" si="96"/>
        <v>38.516181000373756</v>
      </c>
      <c r="Y165" s="22">
        <f t="shared" si="97"/>
        <v>19.565529507288218</v>
      </c>
      <c r="Z165" s="22">
        <f t="shared" si="98"/>
        <v>36.197613125233602</v>
      </c>
      <c r="AA165" s="22">
        <f t="shared" si="99"/>
        <v>22.073552344988467</v>
      </c>
      <c r="AB165" s="24"/>
      <c r="AC165" s="19">
        <f t="shared" ref="AC165:AC196" si="102">P165 /(C165 - P165)</f>
        <v>1.163995534305132E-3</v>
      </c>
      <c r="AD165" s="19">
        <f t="shared" ref="AD165:AD196" si="103">Q165 / (D165 - Q165)</f>
        <v>1.258602942959879E-3</v>
      </c>
      <c r="AE165" s="19">
        <f t="shared" ref="AE165:AE196" si="104">R165 / (E165 - R165)</f>
        <v>1.0823382626768785E-3</v>
      </c>
      <c r="AF165" s="19">
        <f t="shared" ref="AF165:AF196" si="105">S165 / (F165 - S165)</f>
        <v>1.172117766306463E-3</v>
      </c>
      <c r="AG165" s="19">
        <f t="shared" ref="AG165:AG196" si="106">T165 / (G165 - T165)</f>
        <v>1.2619778399024103E-3</v>
      </c>
      <c r="AH165" s="19">
        <f t="shared" ref="AH165:AH196" si="107">U165 / (H165 - U165)</f>
        <v>1.1121721787364831E-3</v>
      </c>
      <c r="AI165" s="19">
        <f t="shared" ref="AI165:AI196" si="108">V165 / (I165 - V165)</f>
        <v>1.1917736348301734E-3</v>
      </c>
      <c r="AJ165" s="19">
        <f t="shared" ref="AJ165:AJ196" si="109">W165 / (J165 - W165)</f>
        <v>1.24489014819513E-3</v>
      </c>
      <c r="AK165" s="19">
        <f t="shared" ref="AK165:AK196" si="110">X165 / (K165 - X165)</f>
        <v>1.2577745563694775E-3</v>
      </c>
      <c r="AL165" s="19">
        <f t="shared" ref="AL165:AL196" si="111">Y165 / (L165 - Y165)</f>
        <v>1.2276461147816937E-3</v>
      </c>
      <c r="AM165" s="19">
        <f t="shared" ref="AM165:AM196" si="112">Z165 / (M165 - Z165)</f>
        <v>1.2557365321325951E-3</v>
      </c>
      <c r="AN165" s="19">
        <f t="shared" ref="AN165:AN196" si="113">AA165 / (N165 - AA165)</f>
        <v>1.2344747577597299E-3</v>
      </c>
      <c r="AO165" s="24"/>
    </row>
    <row r="166" spans="1:41">
      <c r="A166" s="12" t="s">
        <v>399</v>
      </c>
      <c r="B166" s="12">
        <v>1456.25</v>
      </c>
      <c r="C166" s="19">
        <v>28117</v>
      </c>
      <c r="D166" s="19">
        <v>43321</v>
      </c>
      <c r="E166" s="19">
        <v>18636</v>
      </c>
      <c r="F166" s="19">
        <v>12969</v>
      </c>
      <c r="G166" s="19">
        <v>14338</v>
      </c>
      <c r="H166" s="19">
        <v>48633</v>
      </c>
      <c r="I166" s="19">
        <v>32518</v>
      </c>
      <c r="J166" s="19">
        <v>45479</v>
      </c>
      <c r="K166" s="19">
        <v>20567</v>
      </c>
      <c r="L166" s="19">
        <v>1049</v>
      </c>
      <c r="M166" s="19">
        <v>39547</v>
      </c>
      <c r="N166" s="19">
        <v>25502</v>
      </c>
      <c r="O166" s="24"/>
      <c r="P166" s="22">
        <f t="shared" si="100"/>
        <v>18.307811158798284</v>
      </c>
      <c r="Q166" s="22">
        <f t="shared" si="101"/>
        <v>28.748326180257511</v>
      </c>
      <c r="R166" s="22">
        <f t="shared" si="90"/>
        <v>11.797253218884121</v>
      </c>
      <c r="S166" s="22">
        <f t="shared" si="91"/>
        <v>7.9057510729613734</v>
      </c>
      <c r="T166" s="22">
        <f t="shared" si="92"/>
        <v>8.8458369098712453</v>
      </c>
      <c r="U166" s="22">
        <f t="shared" si="93"/>
        <v>32.396051502145923</v>
      </c>
      <c r="V166" s="22">
        <f t="shared" si="94"/>
        <v>21.329957081545064</v>
      </c>
      <c r="W166" s="22">
        <f t="shared" si="95"/>
        <v>30.230214592274677</v>
      </c>
      <c r="X166" s="22">
        <f t="shared" si="96"/>
        <v>13.123261802575108</v>
      </c>
      <c r="Y166" s="22">
        <f t="shared" si="97"/>
        <v>-0.27965665236051501</v>
      </c>
      <c r="Z166" s="22">
        <f t="shared" si="98"/>
        <v>26.156738197424893</v>
      </c>
      <c r="AA166" s="22">
        <f t="shared" si="99"/>
        <v>16.512103004291845</v>
      </c>
      <c r="AB166" s="24"/>
      <c r="AC166" s="19">
        <f t="shared" si="102"/>
        <v>6.5155385296077376E-4</v>
      </c>
      <c r="AD166" s="19">
        <f t="shared" si="103"/>
        <v>6.6405245901410509E-4</v>
      </c>
      <c r="AE166" s="19">
        <f t="shared" si="104"/>
        <v>6.3343668339967357E-4</v>
      </c>
      <c r="AF166" s="19">
        <f t="shared" si="105"/>
        <v>6.0996015622800037E-4</v>
      </c>
      <c r="AG166" s="19">
        <f t="shared" si="106"/>
        <v>6.1733140764560048E-4</v>
      </c>
      <c r="AH166" s="19">
        <f t="shared" si="107"/>
        <v>6.6657713835153315E-4</v>
      </c>
      <c r="AI166" s="19">
        <f t="shared" si="108"/>
        <v>6.5637362392437508E-4</v>
      </c>
      <c r="AJ166" s="19">
        <f t="shared" si="109"/>
        <v>6.6514923803241677E-4</v>
      </c>
      <c r="AK166" s="19">
        <f t="shared" si="110"/>
        <v>6.384810987110171E-4</v>
      </c>
      <c r="AL166" s="19">
        <f t="shared" si="111"/>
        <v>-2.6652251436260215E-4</v>
      </c>
      <c r="AM166" s="19">
        <f t="shared" si="112"/>
        <v>6.6184666213096042E-4</v>
      </c>
      <c r="AN166" s="19">
        <f t="shared" si="113"/>
        <v>6.479021736224375E-4</v>
      </c>
      <c r="AO166" s="24"/>
    </row>
    <row r="167" spans="1:41">
      <c r="A167" s="12" t="s">
        <v>399</v>
      </c>
      <c r="B167" s="12">
        <v>1213.3800000000001</v>
      </c>
      <c r="C167" s="19">
        <v>22474</v>
      </c>
      <c r="D167" s="19">
        <v>21923</v>
      </c>
      <c r="E167" s="19">
        <v>17506</v>
      </c>
      <c r="F167" s="19">
        <v>28496</v>
      </c>
      <c r="G167" s="19">
        <v>31282</v>
      </c>
      <c r="H167" s="19">
        <v>49343</v>
      </c>
      <c r="I167" s="19">
        <v>3061</v>
      </c>
      <c r="J167" s="19">
        <v>17368</v>
      </c>
      <c r="K167" s="19">
        <v>36524</v>
      </c>
      <c r="L167" s="19">
        <v>13489</v>
      </c>
      <c r="M167" s="19">
        <v>45768</v>
      </c>
      <c r="N167" s="19">
        <v>38992</v>
      </c>
      <c r="O167" s="24"/>
      <c r="P167" s="22">
        <f t="shared" si="100"/>
        <v>17.521815095023815</v>
      </c>
      <c r="Q167" s="22">
        <f t="shared" si="101"/>
        <v>17.067711681418846</v>
      </c>
      <c r="R167" s="22">
        <f t="shared" si="90"/>
        <v>13.427467075442152</v>
      </c>
      <c r="S167" s="22">
        <f t="shared" si="91"/>
        <v>22.484811023751831</v>
      </c>
      <c r="T167" s="22">
        <f t="shared" si="92"/>
        <v>24.780876559692757</v>
      </c>
      <c r="U167" s="22">
        <f t="shared" si="93"/>
        <v>39.665743625245184</v>
      </c>
      <c r="V167" s="22">
        <f t="shared" si="94"/>
        <v>1.5227051706802484</v>
      </c>
      <c r="W167" s="22">
        <f t="shared" si="95"/>
        <v>13.313735186009326</v>
      </c>
      <c r="X167" s="22">
        <f t="shared" si="96"/>
        <v>29.101040069887421</v>
      </c>
      <c r="Y167" s="22">
        <f t="shared" si="97"/>
        <v>10.116880119995383</v>
      </c>
      <c r="Z167" s="22">
        <f t="shared" si="98"/>
        <v>36.719428373633981</v>
      </c>
      <c r="AA167" s="22">
        <f t="shared" si="99"/>
        <v>31.135027773657058</v>
      </c>
      <c r="AB167" s="24"/>
      <c r="AC167" s="19">
        <f t="shared" si="102"/>
        <v>7.8025659013628446E-4</v>
      </c>
      <c r="AD167" s="19">
        <f t="shared" si="103"/>
        <v>7.7913651228257773E-4</v>
      </c>
      <c r="AE167" s="19">
        <f t="shared" si="104"/>
        <v>7.6760962689558356E-4</v>
      </c>
      <c r="AF167" s="19">
        <f t="shared" si="105"/>
        <v>7.8967457563711727E-4</v>
      </c>
      <c r="AG167" s="19">
        <f t="shared" si="106"/>
        <v>7.928049025036001E-4</v>
      </c>
      <c r="AH167" s="19">
        <f t="shared" si="107"/>
        <v>8.0452456661420492E-4</v>
      </c>
      <c r="AI167" s="19">
        <f t="shared" si="108"/>
        <v>4.9770108549381995E-4</v>
      </c>
      <c r="AJ167" s="19">
        <f t="shared" si="109"/>
        <v>7.6715504866270337E-4</v>
      </c>
      <c r="AK167" s="19">
        <f t="shared" si="110"/>
        <v>7.9740020932347715E-4</v>
      </c>
      <c r="AL167" s="19">
        <f t="shared" si="111"/>
        <v>7.5057258305578716E-4</v>
      </c>
      <c r="AM167" s="19">
        <f t="shared" si="112"/>
        <v>8.0293899306236086E-4</v>
      </c>
      <c r="AN167" s="19">
        <f t="shared" si="113"/>
        <v>7.9913594823554312E-4</v>
      </c>
      <c r="AO167" s="24"/>
    </row>
    <row r="168" spans="1:41">
      <c r="A168" s="12" t="s">
        <v>395</v>
      </c>
      <c r="B168" s="12">
        <v>1670.77</v>
      </c>
      <c r="C168" s="19">
        <v>2605</v>
      </c>
      <c r="D168" s="19">
        <v>17691</v>
      </c>
      <c r="E168" s="19">
        <v>18445</v>
      </c>
      <c r="F168" s="19">
        <v>10465</v>
      </c>
      <c r="G168" s="19">
        <v>36891</v>
      </c>
      <c r="H168" s="19">
        <v>18762</v>
      </c>
      <c r="I168" s="19">
        <v>9054</v>
      </c>
      <c r="J168" s="19">
        <v>2992</v>
      </c>
      <c r="K168" s="19">
        <v>29458</v>
      </c>
      <c r="L168" s="19">
        <v>38099</v>
      </c>
      <c r="M168" s="19">
        <v>14768</v>
      </c>
      <c r="N168" s="19">
        <v>39592</v>
      </c>
      <c r="O168" s="24"/>
      <c r="P168" s="22">
        <f t="shared" si="100"/>
        <v>0.55916134476917834</v>
      </c>
      <c r="Q168" s="22">
        <f t="shared" si="101"/>
        <v>9.5885310365879199</v>
      </c>
      <c r="R168" s="22">
        <f t="shared" si="90"/>
        <v>10.039819963250476</v>
      </c>
      <c r="S168" s="22">
        <f t="shared" si="91"/>
        <v>5.2635790683337618</v>
      </c>
      <c r="T168" s="22">
        <f t="shared" si="92"/>
        <v>21.080238452928892</v>
      </c>
      <c r="U168" s="22">
        <f t="shared" si="93"/>
        <v>10.22955284090569</v>
      </c>
      <c r="V168" s="22">
        <f t="shared" si="94"/>
        <v>4.4190582785182881</v>
      </c>
      <c r="W168" s="22">
        <f t="shared" si="95"/>
        <v>0.79079107237980095</v>
      </c>
      <c r="X168" s="22">
        <f t="shared" si="96"/>
        <v>16.631391514092304</v>
      </c>
      <c r="Y168" s="22">
        <f t="shared" si="97"/>
        <v>21.803258377873679</v>
      </c>
      <c r="Z168" s="22">
        <f t="shared" si="98"/>
        <v>7.8390382877355949</v>
      </c>
      <c r="AA168" s="22">
        <f t="shared" si="99"/>
        <v>22.696858334779776</v>
      </c>
      <c r="AB168" s="24"/>
      <c r="AC168" s="19">
        <f t="shared" si="102"/>
        <v>2.1469535282586568E-4</v>
      </c>
      <c r="AD168" s="19">
        <f t="shared" si="103"/>
        <v>5.4229443466201148E-4</v>
      </c>
      <c r="AE168" s="19">
        <f t="shared" si="104"/>
        <v>5.4460762948230364E-4</v>
      </c>
      <c r="AF168" s="19">
        <f t="shared" si="105"/>
        <v>5.0322291657373586E-4</v>
      </c>
      <c r="AG168" s="19">
        <f t="shared" si="106"/>
        <v>5.7174625248070684E-4</v>
      </c>
      <c r="AH168" s="19">
        <f t="shared" si="107"/>
        <v>5.4552464097892546E-4</v>
      </c>
      <c r="AI168" s="19">
        <f t="shared" si="108"/>
        <v>4.8831634381488393E-4</v>
      </c>
      <c r="AJ168" s="19">
        <f t="shared" si="109"/>
        <v>2.6437170292856508E-4</v>
      </c>
      <c r="AK168" s="19">
        <f t="shared" si="110"/>
        <v>5.648987224492894E-4</v>
      </c>
      <c r="AL168" s="19">
        <f t="shared" si="111"/>
        <v>5.7260671067312508E-4</v>
      </c>
      <c r="AM168" s="19">
        <f t="shared" si="112"/>
        <v>5.3109436327083395E-4</v>
      </c>
      <c r="AN168" s="19">
        <f t="shared" si="113"/>
        <v>5.7359762575350242E-4</v>
      </c>
      <c r="AO168" s="24"/>
    </row>
    <row r="169" spans="1:41">
      <c r="A169" s="12" t="s">
        <v>399</v>
      </c>
      <c r="B169" s="12">
        <v>2253.2800000000002</v>
      </c>
      <c r="C169" s="19">
        <v>44453</v>
      </c>
      <c r="D169" s="19">
        <v>32765</v>
      </c>
      <c r="E169" s="19">
        <v>34985</v>
      </c>
      <c r="F169" s="19">
        <v>9310</v>
      </c>
      <c r="G169" s="19">
        <v>9477</v>
      </c>
      <c r="H169" s="19">
        <v>10720</v>
      </c>
      <c r="I169" s="19">
        <v>6308</v>
      </c>
      <c r="J169" s="19">
        <v>32448</v>
      </c>
      <c r="K169" s="19">
        <v>7087</v>
      </c>
      <c r="L169" s="19">
        <v>7958</v>
      </c>
      <c r="M169" s="19">
        <v>18621</v>
      </c>
      <c r="N169" s="19">
        <v>48945</v>
      </c>
      <c r="O169" s="24"/>
      <c r="P169" s="22">
        <f t="shared" si="100"/>
        <v>18.728129659873606</v>
      </c>
      <c r="Q169" s="22">
        <f t="shared" si="101"/>
        <v>13.54102463963644</v>
      </c>
      <c r="R169" s="22">
        <f t="shared" si="90"/>
        <v>14.526255059291344</v>
      </c>
      <c r="S169" s="22">
        <f t="shared" si="91"/>
        <v>3.1317545977419576</v>
      </c>
      <c r="T169" s="22">
        <f t="shared" si="92"/>
        <v>3.2058687779592412</v>
      </c>
      <c r="U169" s="22">
        <f t="shared" si="93"/>
        <v>3.7575090534687203</v>
      </c>
      <c r="V169" s="22">
        <f t="shared" si="94"/>
        <v>1.7994745437761839</v>
      </c>
      <c r="W169" s="22">
        <f t="shared" si="95"/>
        <v>13.400340836469502</v>
      </c>
      <c r="X169" s="22">
        <f t="shared" si="96"/>
        <v>2.1451927856280619</v>
      </c>
      <c r="Y169" s="22">
        <f t="shared" si="97"/>
        <v>2.5317403962223954</v>
      </c>
      <c r="Z169" s="22">
        <f t="shared" si="98"/>
        <v>7.2639529929702471</v>
      </c>
      <c r="AA169" s="22">
        <f t="shared" si="99"/>
        <v>20.721667968472627</v>
      </c>
      <c r="AB169" s="24"/>
      <c r="AC169" s="19">
        <f t="shared" si="102"/>
        <v>4.2147938677880375E-4</v>
      </c>
      <c r="AD169" s="19">
        <f t="shared" si="103"/>
        <v>4.1344798257151374E-4</v>
      </c>
      <c r="AE169" s="19">
        <f t="shared" si="104"/>
        <v>4.1538628173125346E-4</v>
      </c>
      <c r="AF169" s="19">
        <f t="shared" si="105"/>
        <v>3.364992944097059E-4</v>
      </c>
      <c r="AG169" s="19">
        <f t="shared" si="106"/>
        <v>3.3839333360579483E-4</v>
      </c>
      <c r="AH169" s="19">
        <f t="shared" si="107"/>
        <v>3.5063680731778883E-4</v>
      </c>
      <c r="AI169" s="19">
        <f t="shared" si="108"/>
        <v>2.8535003549478796E-4</v>
      </c>
      <c r="AJ169" s="19">
        <f t="shared" si="109"/>
        <v>4.1314956797019054E-4</v>
      </c>
      <c r="AK169" s="19">
        <f t="shared" si="110"/>
        <v>3.027857089525184E-4</v>
      </c>
      <c r="AL169" s="19">
        <f t="shared" si="111"/>
        <v>3.1823901668718229E-4</v>
      </c>
      <c r="AM169" s="19">
        <f t="shared" si="112"/>
        <v>3.9024691091707215E-4</v>
      </c>
      <c r="AN169" s="19">
        <f t="shared" si="113"/>
        <v>4.2354570521903459E-4</v>
      </c>
      <c r="AO169" s="24"/>
    </row>
    <row r="170" spans="1:41">
      <c r="A170" s="12" t="s">
        <v>397</v>
      </c>
      <c r="B170" s="12">
        <v>2160.6999999999998</v>
      </c>
      <c r="C170" s="19">
        <v>6692</v>
      </c>
      <c r="D170" s="19">
        <v>32516</v>
      </c>
      <c r="E170" s="19">
        <v>46140</v>
      </c>
      <c r="F170" s="19">
        <v>10662</v>
      </c>
      <c r="G170" s="19">
        <v>21264</v>
      </c>
      <c r="H170" s="19">
        <v>28451</v>
      </c>
      <c r="I170" s="19">
        <v>15472</v>
      </c>
      <c r="J170" s="19">
        <v>27365</v>
      </c>
      <c r="K170" s="19">
        <v>4634</v>
      </c>
      <c r="L170" s="19">
        <v>1364</v>
      </c>
      <c r="M170" s="19">
        <v>14730</v>
      </c>
      <c r="N170" s="19">
        <v>7869</v>
      </c>
      <c r="O170" s="24"/>
      <c r="P170" s="22">
        <f t="shared" si="100"/>
        <v>2.0971444439302083</v>
      </c>
      <c r="Q170" s="22">
        <f t="shared" si="101"/>
        <v>14.048826769102606</v>
      </c>
      <c r="R170" s="22">
        <f t="shared" si="90"/>
        <v>20.354190771509238</v>
      </c>
      <c r="S170" s="22">
        <f t="shared" si="91"/>
        <v>3.9345119637154626</v>
      </c>
      <c r="T170" s="22">
        <f t="shared" si="92"/>
        <v>8.8412551487943727</v>
      </c>
      <c r="U170" s="22">
        <f t="shared" si="93"/>
        <v>12.167492016476142</v>
      </c>
      <c r="V170" s="22">
        <f t="shared" si="94"/>
        <v>6.1606423844124594</v>
      </c>
      <c r="W170" s="22">
        <f t="shared" si="95"/>
        <v>11.664877123154534</v>
      </c>
      <c r="X170" s="22">
        <f t="shared" si="96"/>
        <v>1.1446753366964411</v>
      </c>
      <c r="Y170" s="22">
        <f t="shared" si="97"/>
        <v>-0.36872309899569577</v>
      </c>
      <c r="Z170" s="22">
        <f t="shared" si="98"/>
        <v>5.817235155273754</v>
      </c>
      <c r="AA170" s="22">
        <f t="shared" si="99"/>
        <v>2.6418753181839221</v>
      </c>
      <c r="AB170" s="24"/>
      <c r="AC170" s="19">
        <f t="shared" si="102"/>
        <v>3.1347905779954588E-4</v>
      </c>
      <c r="AD170" s="19">
        <f t="shared" si="103"/>
        <v>4.3224564255309796E-4</v>
      </c>
      <c r="AE170" s="19">
        <f t="shared" si="104"/>
        <v>4.413344988750193E-4</v>
      </c>
      <c r="AF170" s="19">
        <f t="shared" si="105"/>
        <v>3.6915817116454816E-4</v>
      </c>
      <c r="AG170" s="19">
        <f t="shared" si="106"/>
        <v>4.1595808598399929E-4</v>
      </c>
      <c r="AH170" s="19">
        <f t="shared" si="107"/>
        <v>4.2784780328307816E-4</v>
      </c>
      <c r="AI170" s="19">
        <f t="shared" si="108"/>
        <v>3.9833870260516294E-4</v>
      </c>
      <c r="AJ170" s="19">
        <f t="shared" si="109"/>
        <v>4.2645173141605918E-4</v>
      </c>
      <c r="AK170" s="19">
        <f t="shared" si="110"/>
        <v>2.4707772129267414E-4</v>
      </c>
      <c r="AL170" s="19">
        <f t="shared" si="111"/>
        <v>-2.7025179685898006E-4</v>
      </c>
      <c r="AM170" s="19">
        <f t="shared" si="112"/>
        <v>3.950803415156535E-4</v>
      </c>
      <c r="AN170" s="19">
        <f t="shared" si="113"/>
        <v>3.3584478055920984E-4</v>
      </c>
      <c r="AO170" s="24"/>
    </row>
    <row r="171" spans="1:41">
      <c r="A171" s="12" t="s">
        <v>396</v>
      </c>
      <c r="B171" s="12">
        <v>1587.64</v>
      </c>
      <c r="C171" s="19">
        <v>43852</v>
      </c>
      <c r="D171" s="19">
        <v>35647</v>
      </c>
      <c r="E171" s="19">
        <v>29346</v>
      </c>
      <c r="F171" s="19">
        <v>47010</v>
      </c>
      <c r="G171" s="19">
        <v>10522</v>
      </c>
      <c r="H171" s="19">
        <v>44342</v>
      </c>
      <c r="I171" s="19">
        <v>6184</v>
      </c>
      <c r="J171" s="19">
        <v>32946</v>
      </c>
      <c r="K171" s="19">
        <v>21469</v>
      </c>
      <c r="L171" s="19">
        <v>11405</v>
      </c>
      <c r="M171" s="19">
        <v>14527</v>
      </c>
      <c r="N171" s="19">
        <v>36405</v>
      </c>
      <c r="O171" s="24"/>
      <c r="P171" s="22">
        <f t="shared" si="100"/>
        <v>26.620871230253709</v>
      </c>
      <c r="Q171" s="22">
        <f t="shared" si="101"/>
        <v>21.452823058124007</v>
      </c>
      <c r="R171" s="22">
        <f t="shared" si="90"/>
        <v>17.484039202841952</v>
      </c>
      <c r="S171" s="22">
        <f t="shared" si="91"/>
        <v>28.60998715073946</v>
      </c>
      <c r="T171" s="22">
        <f t="shared" si="92"/>
        <v>5.6274470282935676</v>
      </c>
      <c r="U171" s="22">
        <f t="shared" si="93"/>
        <v>26.929505429442443</v>
      </c>
      <c r="V171" s="22">
        <f t="shared" si="94"/>
        <v>2.8950895669043355</v>
      </c>
      <c r="W171" s="22">
        <f t="shared" si="95"/>
        <v>19.751555768310194</v>
      </c>
      <c r="X171" s="22">
        <f t="shared" si="96"/>
        <v>12.522586984454914</v>
      </c>
      <c r="Y171" s="22">
        <f t="shared" si="97"/>
        <v>6.1836184525459172</v>
      </c>
      <c r="Z171" s="22">
        <f t="shared" si="98"/>
        <v>8.1500592073769873</v>
      </c>
      <c r="AA171" s="22">
        <f t="shared" si="99"/>
        <v>21.930261268297599</v>
      </c>
      <c r="AB171" s="24"/>
      <c r="AC171" s="19">
        <f t="shared" si="102"/>
        <v>6.0743048342000742E-4</v>
      </c>
      <c r="AD171" s="19">
        <f t="shared" si="103"/>
        <v>6.0217525787250334E-4</v>
      </c>
      <c r="AE171" s="19">
        <f t="shared" si="104"/>
        <v>5.9614469502011346E-4</v>
      </c>
      <c r="AF171" s="19">
        <f t="shared" si="105"/>
        <v>6.0896425463177479E-4</v>
      </c>
      <c r="AG171" s="19">
        <f t="shared" si="106"/>
        <v>5.3511293936647092E-4</v>
      </c>
      <c r="AH171" s="19">
        <f t="shared" si="107"/>
        <v>6.0768278440946676E-4</v>
      </c>
      <c r="AI171" s="19">
        <f t="shared" si="108"/>
        <v>4.6837735467290153E-4</v>
      </c>
      <c r="AJ171" s="19">
        <f t="shared" si="109"/>
        <v>5.9987264573320811E-4</v>
      </c>
      <c r="AK171" s="19">
        <f t="shared" si="110"/>
        <v>5.8362734681037098E-4</v>
      </c>
      <c r="AL171" s="19">
        <f t="shared" si="111"/>
        <v>5.4247899479774374E-4</v>
      </c>
      <c r="AM171" s="19">
        <f t="shared" si="112"/>
        <v>5.613433047805199E-4</v>
      </c>
      <c r="AN171" s="19">
        <f t="shared" si="113"/>
        <v>6.0276005916432267E-4</v>
      </c>
      <c r="AO171" s="24"/>
    </row>
    <row r="172" spans="1:41">
      <c r="A172" s="12" t="s">
        <v>396</v>
      </c>
      <c r="B172" s="12">
        <v>2476.06</v>
      </c>
      <c r="C172" s="19">
        <v>38923</v>
      </c>
      <c r="D172" s="19">
        <v>24980</v>
      </c>
      <c r="E172" s="19">
        <v>40533</v>
      </c>
      <c r="F172" s="19">
        <v>31318</v>
      </c>
      <c r="G172" s="19">
        <v>30081</v>
      </c>
      <c r="H172" s="19">
        <v>17732</v>
      </c>
      <c r="I172" s="19">
        <v>15895</v>
      </c>
      <c r="J172" s="19">
        <v>40691</v>
      </c>
      <c r="K172" s="19">
        <v>3055</v>
      </c>
      <c r="L172" s="19">
        <v>38713</v>
      </c>
      <c r="M172" s="19">
        <v>38484</v>
      </c>
      <c r="N172" s="19">
        <v>2182</v>
      </c>
      <c r="O172" s="24"/>
      <c r="P172" s="22">
        <f t="shared" si="100"/>
        <v>14.719732155117406</v>
      </c>
      <c r="Q172" s="22">
        <f t="shared" si="101"/>
        <v>9.0886085151409901</v>
      </c>
      <c r="R172" s="22">
        <f t="shared" si="90"/>
        <v>15.369958724748191</v>
      </c>
      <c r="S172" s="22">
        <f t="shared" si="91"/>
        <v>11.648320315339692</v>
      </c>
      <c r="T172" s="22">
        <f t="shared" si="92"/>
        <v>11.148736298797283</v>
      </c>
      <c r="U172" s="22">
        <f t="shared" si="93"/>
        <v>6.1613773494988004</v>
      </c>
      <c r="V172" s="22">
        <f t="shared" si="94"/>
        <v>5.4194728722244214</v>
      </c>
      <c r="W172" s="22">
        <f t="shared" si="95"/>
        <v>15.433769779407609</v>
      </c>
      <c r="X172" s="22">
        <f t="shared" si="96"/>
        <v>0.23381501256027723</v>
      </c>
      <c r="Y172" s="22">
        <f t="shared" si="97"/>
        <v>14.634919993861216</v>
      </c>
      <c r="Z172" s="22">
        <f t="shared" si="98"/>
        <v>14.542434351348515</v>
      </c>
      <c r="AA172" s="22">
        <f t="shared" si="99"/>
        <v>-0.11876125780473816</v>
      </c>
      <c r="AB172" s="24"/>
      <c r="AC172" s="19">
        <f t="shared" si="102"/>
        <v>3.7831875512838559E-4</v>
      </c>
      <c r="AD172" s="19">
        <f t="shared" si="103"/>
        <v>3.6396783331825954E-4</v>
      </c>
      <c r="AE172" s="19">
        <f t="shared" si="104"/>
        <v>3.7934002332048631E-4</v>
      </c>
      <c r="AF172" s="19">
        <f t="shared" si="105"/>
        <v>3.7207530390385697E-4</v>
      </c>
      <c r="AG172" s="19">
        <f t="shared" si="106"/>
        <v>3.7076127184757548E-4</v>
      </c>
      <c r="AH172" s="19">
        <f t="shared" si="107"/>
        <v>3.4759299577655212E-4</v>
      </c>
      <c r="AI172" s="19">
        <f t="shared" si="108"/>
        <v>3.4107085853977883E-4</v>
      </c>
      <c r="AJ172" s="19">
        <f t="shared" si="109"/>
        <v>3.7943589259590519E-4</v>
      </c>
      <c r="AK172" s="19">
        <f t="shared" si="110"/>
        <v>7.6541050411437162E-5</v>
      </c>
      <c r="AL172" s="19">
        <f t="shared" si="111"/>
        <v>3.7817928389492815E-4</v>
      </c>
      <c r="AM172" s="19">
        <f t="shared" si="112"/>
        <v>3.7802545893795501E-4</v>
      </c>
      <c r="AN172" s="19">
        <f t="shared" si="113"/>
        <v>-5.4424745304092645E-5</v>
      </c>
      <c r="AO172" s="24"/>
    </row>
    <row r="173" spans="1:41">
      <c r="A173" s="12" t="s">
        <v>398</v>
      </c>
      <c r="B173" s="12">
        <v>1321.04</v>
      </c>
      <c r="C173" s="19">
        <v>19204</v>
      </c>
      <c r="D173" s="19">
        <v>6026</v>
      </c>
      <c r="E173" s="19">
        <v>20677</v>
      </c>
      <c r="F173" s="19">
        <v>40569</v>
      </c>
      <c r="G173" s="19">
        <v>5113</v>
      </c>
      <c r="H173" s="19">
        <v>22575</v>
      </c>
      <c r="I173" s="19">
        <v>40510</v>
      </c>
      <c r="J173" s="19">
        <v>32305</v>
      </c>
      <c r="K173" s="19">
        <v>28588</v>
      </c>
      <c r="L173" s="19">
        <v>29676</v>
      </c>
      <c r="M173" s="19">
        <v>37014</v>
      </c>
      <c r="N173" s="19">
        <v>41683</v>
      </c>
      <c r="O173" s="24"/>
      <c r="P173" s="22">
        <f t="shared" si="100"/>
        <v>13.537031429782596</v>
      </c>
      <c r="Q173" s="22">
        <f t="shared" si="101"/>
        <v>3.5615575607097441</v>
      </c>
      <c r="R173" s="22">
        <f t="shared" si="90"/>
        <v>14.652062011748319</v>
      </c>
      <c r="S173" s="22">
        <f t="shared" si="91"/>
        <v>29.709895234058013</v>
      </c>
      <c r="T173" s="22">
        <f t="shared" si="92"/>
        <v>2.870435414521892</v>
      </c>
      <c r="U173" s="22">
        <f t="shared" si="93"/>
        <v>16.088808817295465</v>
      </c>
      <c r="V173" s="22">
        <f t="shared" si="94"/>
        <v>29.665233452431419</v>
      </c>
      <c r="W173" s="22">
        <f t="shared" si="95"/>
        <v>23.45421788893599</v>
      </c>
      <c r="X173" s="22">
        <f t="shared" si="96"/>
        <v>20.640525646460365</v>
      </c>
      <c r="Y173" s="22">
        <f t="shared" si="97"/>
        <v>21.464119178828803</v>
      </c>
      <c r="Z173" s="22">
        <f t="shared" si="98"/>
        <v>27.01883364621813</v>
      </c>
      <c r="AA173" s="22">
        <f t="shared" si="99"/>
        <v>30.553170229516137</v>
      </c>
      <c r="AB173" s="24"/>
      <c r="AC173" s="19">
        <f t="shared" si="102"/>
        <v>7.0540410890312E-4</v>
      </c>
      <c r="AD173" s="19">
        <f t="shared" si="103"/>
        <v>5.9138131418860849E-4</v>
      </c>
      <c r="AE173" s="19">
        <f t="shared" si="104"/>
        <v>7.0911892761277772E-4</v>
      </c>
      <c r="AF173" s="19">
        <f t="shared" si="105"/>
        <v>7.3286668704061037E-4</v>
      </c>
      <c r="AG173" s="19">
        <f t="shared" si="106"/>
        <v>5.6171480160009115E-4</v>
      </c>
      <c r="AH173" s="19">
        <f t="shared" si="107"/>
        <v>7.1319083979478042E-4</v>
      </c>
      <c r="AI173" s="19">
        <f t="shared" si="108"/>
        <v>7.3283073431859038E-4</v>
      </c>
      <c r="AJ173" s="19">
        <f t="shared" si="109"/>
        <v>7.2655188345823352E-4</v>
      </c>
      <c r="AK173" s="19">
        <f t="shared" si="110"/>
        <v>7.2252129795161775E-4</v>
      </c>
      <c r="AL173" s="19">
        <f t="shared" si="111"/>
        <v>7.2380560144630509E-4</v>
      </c>
      <c r="AM173" s="19">
        <f t="shared" si="112"/>
        <v>7.3049577970955219E-4</v>
      </c>
      <c r="AN173" s="19">
        <f t="shared" si="113"/>
        <v>7.3352642053380415E-4</v>
      </c>
      <c r="AO173" s="24"/>
    </row>
    <row r="174" spans="1:41">
      <c r="A174" s="12" t="s">
        <v>399</v>
      </c>
      <c r="B174" s="12">
        <v>2695.31</v>
      </c>
      <c r="C174" s="19">
        <v>38831</v>
      </c>
      <c r="D174" s="19">
        <v>23657</v>
      </c>
      <c r="E174" s="19">
        <v>48960</v>
      </c>
      <c r="F174" s="19">
        <v>19589</v>
      </c>
      <c r="G174" s="19">
        <v>34784</v>
      </c>
      <c r="H174" s="19">
        <v>28779</v>
      </c>
      <c r="I174" s="19">
        <v>26862</v>
      </c>
      <c r="J174" s="19">
        <v>36854</v>
      </c>
      <c r="K174" s="19">
        <v>24840</v>
      </c>
      <c r="L174" s="19">
        <v>3161</v>
      </c>
      <c r="M174" s="19">
        <v>38645</v>
      </c>
      <c r="N174" s="19">
        <v>20682</v>
      </c>
      <c r="O174" s="24"/>
      <c r="P174" s="22">
        <f t="shared" si="100"/>
        <v>13.40687713101647</v>
      </c>
      <c r="Q174" s="22">
        <f t="shared" si="101"/>
        <v>7.777097996148866</v>
      </c>
      <c r="R174" s="22">
        <f t="shared" si="90"/>
        <v>17.16488641380769</v>
      </c>
      <c r="S174" s="22">
        <f t="shared" si="91"/>
        <v>6.2678096397074912</v>
      </c>
      <c r="T174" s="22">
        <f t="shared" si="92"/>
        <v>11.905380086149645</v>
      </c>
      <c r="U174" s="22">
        <f t="shared" si="93"/>
        <v>9.6774359906652663</v>
      </c>
      <c r="V174" s="22">
        <f t="shared" si="94"/>
        <v>8.9662005483599287</v>
      </c>
      <c r="W174" s="22">
        <f t="shared" si="95"/>
        <v>12.673380798498133</v>
      </c>
      <c r="X174" s="22">
        <f t="shared" si="96"/>
        <v>8.2160085481818417</v>
      </c>
      <c r="Y174" s="22">
        <f t="shared" si="97"/>
        <v>0.17277789938819657</v>
      </c>
      <c r="Z174" s="22">
        <f t="shared" si="98"/>
        <v>13.337868371356171</v>
      </c>
      <c r="AA174" s="22">
        <f t="shared" si="99"/>
        <v>6.6733288564209676</v>
      </c>
      <c r="AB174" s="24"/>
      <c r="AC174" s="19">
        <f t="shared" si="102"/>
        <v>3.4538146372393058E-4</v>
      </c>
      <c r="AD174" s="19">
        <f t="shared" si="103"/>
        <v>3.2885215841446934E-4</v>
      </c>
      <c r="AE174" s="19">
        <f t="shared" si="104"/>
        <v>3.5071295673762135E-4</v>
      </c>
      <c r="AF174" s="19">
        <f t="shared" si="105"/>
        <v>3.2006818960598636E-4</v>
      </c>
      <c r="AG174" s="19">
        <f t="shared" si="106"/>
        <v>3.4238317295189568E-4</v>
      </c>
      <c r="AH174" s="19">
        <f t="shared" si="107"/>
        <v>3.3638039161797367E-4</v>
      </c>
      <c r="AI174" s="19">
        <f t="shared" si="108"/>
        <v>3.3389897824293599E-4</v>
      </c>
      <c r="AJ174" s="19">
        <f t="shared" si="109"/>
        <v>3.4399903482012063E-4</v>
      </c>
      <c r="AK174" s="19">
        <f t="shared" si="110"/>
        <v>3.3086662444430694E-4</v>
      </c>
      <c r="AL174" s="19">
        <f t="shared" si="111"/>
        <v>5.4662241004547041E-5</v>
      </c>
      <c r="AM174" s="19">
        <f t="shared" si="112"/>
        <v>3.4525742966767526E-4</v>
      </c>
      <c r="AN174" s="19">
        <f t="shared" si="113"/>
        <v>3.2276775900885231E-4</v>
      </c>
      <c r="AO174" s="24"/>
    </row>
    <row r="175" spans="1:41">
      <c r="A175" s="12" t="s">
        <v>397</v>
      </c>
      <c r="B175" s="12">
        <v>260.27999999999997</v>
      </c>
      <c r="C175" s="19">
        <v>22967</v>
      </c>
      <c r="D175" s="19">
        <v>44985</v>
      </c>
      <c r="E175" s="19">
        <v>19648</v>
      </c>
      <c r="F175" s="19">
        <v>27149</v>
      </c>
      <c r="G175" s="19">
        <v>45406</v>
      </c>
      <c r="H175" s="19">
        <v>17453</v>
      </c>
      <c r="I175" s="19">
        <v>19981</v>
      </c>
      <c r="J175" s="19">
        <v>35888</v>
      </c>
      <c r="K175" s="19">
        <v>43850</v>
      </c>
      <c r="L175" s="19">
        <v>1793</v>
      </c>
      <c r="M175" s="19">
        <v>41456</v>
      </c>
      <c r="N175" s="19">
        <v>20853</v>
      </c>
      <c r="O175" s="24"/>
      <c r="P175" s="22">
        <f t="shared" si="100"/>
        <v>87.239588135853708</v>
      </c>
      <c r="Q175" s="22">
        <f t="shared" si="101"/>
        <v>171.83310281235595</v>
      </c>
      <c r="R175" s="22">
        <f t="shared" si="90"/>
        <v>74.487936068848938</v>
      </c>
      <c r="S175" s="22">
        <f t="shared" si="91"/>
        <v>103.30690026125713</v>
      </c>
      <c r="T175" s="22">
        <f t="shared" si="92"/>
        <v>173.45059167050871</v>
      </c>
      <c r="U175" s="22">
        <f t="shared" si="93"/>
        <v>66.054710311971732</v>
      </c>
      <c r="V175" s="22">
        <f t="shared" si="94"/>
        <v>75.767327493468585</v>
      </c>
      <c r="W175" s="22">
        <f t="shared" si="95"/>
        <v>136.88228062086986</v>
      </c>
      <c r="X175" s="22">
        <f t="shared" si="96"/>
        <v>167.47241432303676</v>
      </c>
      <c r="Y175" s="22">
        <f t="shared" si="97"/>
        <v>5.8887352082372839</v>
      </c>
      <c r="Z175" s="22">
        <f t="shared" si="98"/>
        <v>158.27462732441987</v>
      </c>
      <c r="AA175" s="22">
        <f t="shared" si="99"/>
        <v>79.117565698478572</v>
      </c>
      <c r="AB175" s="24"/>
      <c r="AC175" s="19">
        <f t="shared" si="102"/>
        <v>3.8129589893177466E-3</v>
      </c>
      <c r="AD175" s="19">
        <f t="shared" si="103"/>
        <v>3.8344333754983906E-3</v>
      </c>
      <c r="AE175" s="19">
        <f t="shared" si="104"/>
        <v>3.8055478151062462E-3</v>
      </c>
      <c r="AF175" s="19">
        <f t="shared" si="105"/>
        <v>3.819717242234589E-3</v>
      </c>
      <c r="AG175" s="19">
        <f t="shared" si="106"/>
        <v>3.8346410701884538E-3</v>
      </c>
      <c r="AH175" s="19">
        <f t="shared" si="107"/>
        <v>3.7990980710768054E-3</v>
      </c>
      <c r="AI175" s="19">
        <f t="shared" si="108"/>
        <v>3.8064025043083164E-3</v>
      </c>
      <c r="AJ175" s="19">
        <f t="shared" si="109"/>
        <v>3.8287552768363356E-3</v>
      </c>
      <c r="AK175" s="19">
        <f t="shared" si="110"/>
        <v>3.833853569818363E-3</v>
      </c>
      <c r="AL175" s="19">
        <f t="shared" si="111"/>
        <v>3.2951139216972308E-3</v>
      </c>
      <c r="AM175" s="19">
        <f t="shared" si="112"/>
        <v>3.83252651074922E-3</v>
      </c>
      <c r="AN175" s="19">
        <f t="shared" si="113"/>
        <v>3.8085112856824895E-3</v>
      </c>
      <c r="AO175" s="24"/>
    </row>
    <row r="176" spans="1:41">
      <c r="A176" s="12" t="s">
        <v>398</v>
      </c>
      <c r="B176" s="12">
        <v>2866.25</v>
      </c>
      <c r="C176" s="19">
        <v>44085</v>
      </c>
      <c r="D176" s="19">
        <v>31128</v>
      </c>
      <c r="E176" s="19">
        <v>13949</v>
      </c>
      <c r="F176" s="19">
        <v>48223</v>
      </c>
      <c r="G176" s="19">
        <v>34688</v>
      </c>
      <c r="H176" s="19">
        <v>2676</v>
      </c>
      <c r="I176" s="19">
        <v>18811</v>
      </c>
      <c r="J176" s="19">
        <v>16341</v>
      </c>
      <c r="K176" s="19">
        <v>26871</v>
      </c>
      <c r="L176" s="19">
        <v>9836</v>
      </c>
      <c r="M176" s="19">
        <v>41100</v>
      </c>
      <c r="N176" s="19">
        <v>37073</v>
      </c>
      <c r="O176" s="24"/>
      <c r="P176" s="22">
        <f t="shared" si="100"/>
        <v>14.380723942433493</v>
      </c>
      <c r="Q176" s="22">
        <f t="shared" si="101"/>
        <v>9.8601831661578725</v>
      </c>
      <c r="R176" s="22">
        <f t="shared" si="90"/>
        <v>3.8666375926733538</v>
      </c>
      <c r="S176" s="22">
        <f t="shared" si="91"/>
        <v>15.824422154382905</v>
      </c>
      <c r="T176" s="22">
        <f t="shared" si="92"/>
        <v>11.102224160488444</v>
      </c>
      <c r="U176" s="22">
        <f t="shared" si="93"/>
        <v>-6.6375926733536858E-2</v>
      </c>
      <c r="V176" s="22">
        <f t="shared" si="94"/>
        <v>5.5629306585259481</v>
      </c>
      <c r="W176" s="22">
        <f t="shared" si="95"/>
        <v>4.7011774967291755</v>
      </c>
      <c r="X176" s="22">
        <f t="shared" si="96"/>
        <v>8.3749672917575229</v>
      </c>
      <c r="Y176" s="22">
        <f t="shared" si="97"/>
        <v>2.4316615787178368</v>
      </c>
      <c r="Z176" s="22">
        <f t="shared" si="98"/>
        <v>13.339293501962494</v>
      </c>
      <c r="AA176" s="22">
        <f t="shared" si="99"/>
        <v>11.934321849105975</v>
      </c>
      <c r="AB176" s="24"/>
      <c r="AC176" s="19">
        <f t="shared" si="102"/>
        <v>3.2631091141136225E-4</v>
      </c>
      <c r="AD176" s="19">
        <f t="shared" si="103"/>
        <v>3.1686287240164187E-4</v>
      </c>
      <c r="AE176" s="19">
        <f t="shared" si="104"/>
        <v>2.7727505303727423E-4</v>
      </c>
      <c r="AF176" s="19">
        <f t="shared" si="105"/>
        <v>3.2825864541326239E-4</v>
      </c>
      <c r="AG176" s="19">
        <f t="shared" si="106"/>
        <v>3.201619773561092E-4</v>
      </c>
      <c r="AH176" s="19">
        <f t="shared" si="107"/>
        <v>-2.4803542741181292E-5</v>
      </c>
      <c r="AI176" s="19">
        <f t="shared" si="108"/>
        <v>2.958150155199105E-4</v>
      </c>
      <c r="AJ176" s="19">
        <f t="shared" si="109"/>
        <v>2.8777494509670074E-4</v>
      </c>
      <c r="AK176" s="19">
        <f t="shared" si="110"/>
        <v>3.1177024887031949E-4</v>
      </c>
      <c r="AL176" s="19">
        <f t="shared" si="111"/>
        <v>2.4728170843303713E-4</v>
      </c>
      <c r="AM176" s="19">
        <f t="shared" si="112"/>
        <v>3.2466239097043065E-4</v>
      </c>
      <c r="AN176" s="19">
        <f t="shared" si="113"/>
        <v>3.2201777338911698E-4</v>
      </c>
      <c r="AO176" s="24"/>
    </row>
    <row r="177" spans="1:41">
      <c r="A177" s="12" t="s">
        <v>395</v>
      </c>
      <c r="B177" s="12">
        <v>1981.34</v>
      </c>
      <c r="C177" s="19">
        <v>47976</v>
      </c>
      <c r="D177" s="19">
        <v>46913</v>
      </c>
      <c r="E177" s="19">
        <v>26122</v>
      </c>
      <c r="F177" s="19">
        <v>24191</v>
      </c>
      <c r="G177" s="19">
        <v>17161</v>
      </c>
      <c r="H177" s="19">
        <v>6686</v>
      </c>
      <c r="I177" s="19">
        <v>10441</v>
      </c>
      <c r="J177" s="19">
        <v>42998</v>
      </c>
      <c r="K177" s="19">
        <v>23169</v>
      </c>
      <c r="L177" s="19">
        <v>27288</v>
      </c>
      <c r="M177" s="19">
        <v>33309</v>
      </c>
      <c r="N177" s="19">
        <v>28595</v>
      </c>
      <c r="O177" s="24"/>
      <c r="P177" s="22">
        <f t="shared" si="100"/>
        <v>23.21391583473811</v>
      </c>
      <c r="Q177" s="22">
        <f t="shared" si="101"/>
        <v>22.677410237516028</v>
      </c>
      <c r="R177" s="22">
        <f t="shared" si="90"/>
        <v>12.184006783288078</v>
      </c>
      <c r="S177" s="22">
        <f t="shared" si="91"/>
        <v>11.209413831043637</v>
      </c>
      <c r="T177" s="22">
        <f t="shared" si="92"/>
        <v>7.661310022510019</v>
      </c>
      <c r="U177" s="22">
        <f t="shared" si="93"/>
        <v>2.3744839351146196</v>
      </c>
      <c r="V177" s="22">
        <f t="shared" si="94"/>
        <v>4.2696659836272426</v>
      </c>
      <c r="W177" s="22">
        <f t="shared" si="95"/>
        <v>20.701474759506194</v>
      </c>
      <c r="X177" s="22">
        <f t="shared" si="96"/>
        <v>10.693601300130215</v>
      </c>
      <c r="Y177" s="22">
        <f t="shared" si="97"/>
        <v>12.772497400748989</v>
      </c>
      <c r="Z177" s="22">
        <f t="shared" si="98"/>
        <v>15.811349894515834</v>
      </c>
      <c r="AA177" s="22">
        <f t="shared" si="99"/>
        <v>13.432151977954314</v>
      </c>
      <c r="AB177" s="24"/>
      <c r="AC177" s="19">
        <f t="shared" si="102"/>
        <v>4.8409941799823172E-4</v>
      </c>
      <c r="AD177" s="19">
        <f t="shared" si="103"/>
        <v>4.8362666292398602E-4</v>
      </c>
      <c r="AE177" s="19">
        <f t="shared" si="104"/>
        <v>4.6664468207870417E-4</v>
      </c>
      <c r="AF177" s="19">
        <f t="shared" si="105"/>
        <v>4.6358605923806122E-4</v>
      </c>
      <c r="AG177" s="19">
        <f t="shared" si="106"/>
        <v>4.4663666712221103E-4</v>
      </c>
      <c r="AH177" s="19">
        <f t="shared" si="107"/>
        <v>3.5526884763475546E-4</v>
      </c>
      <c r="AI177" s="19">
        <f t="shared" si="108"/>
        <v>4.0909996205527568E-4</v>
      </c>
      <c r="AJ177" s="19">
        <f t="shared" si="109"/>
        <v>4.8168394640599047E-4</v>
      </c>
      <c r="AK177" s="19">
        <f t="shared" si="110"/>
        <v>4.6176093864664318E-4</v>
      </c>
      <c r="AL177" s="19">
        <f t="shared" si="111"/>
        <v>4.6828197489945069E-4</v>
      </c>
      <c r="AM177" s="19">
        <f t="shared" si="112"/>
        <v>4.7491245313523726E-4</v>
      </c>
      <c r="AN177" s="19">
        <f t="shared" si="113"/>
        <v>4.699585428405346E-4</v>
      </c>
      <c r="AO177" s="24"/>
    </row>
    <row r="178" spans="1:41">
      <c r="A178" s="12" t="s">
        <v>398</v>
      </c>
      <c r="B178" s="12">
        <v>1171.22</v>
      </c>
      <c r="C178" s="19">
        <v>16642</v>
      </c>
      <c r="D178" s="19">
        <v>9166</v>
      </c>
      <c r="E178" s="19">
        <v>15551</v>
      </c>
      <c r="F178" s="19">
        <v>4058</v>
      </c>
      <c r="G178" s="19">
        <v>40038</v>
      </c>
      <c r="H178" s="19">
        <v>23327</v>
      </c>
      <c r="I178" s="19">
        <v>25365</v>
      </c>
      <c r="J178" s="19">
        <v>28325</v>
      </c>
      <c r="K178" s="19">
        <v>37910</v>
      </c>
      <c r="L178" s="19">
        <v>43077</v>
      </c>
      <c r="M178" s="19">
        <v>14451</v>
      </c>
      <c r="N178" s="19">
        <v>26545</v>
      </c>
      <c r="O178" s="24"/>
      <c r="P178" s="22">
        <f t="shared" si="100"/>
        <v>13.20911528150134</v>
      </c>
      <c r="Q178" s="22">
        <f t="shared" si="101"/>
        <v>6.8260275610047643</v>
      </c>
      <c r="R178" s="22">
        <f t="shared" si="90"/>
        <v>12.277607964344872</v>
      </c>
      <c r="S178" s="22">
        <f t="shared" si="91"/>
        <v>2.4647632383326785</v>
      </c>
      <c r="T178" s="22">
        <f t="shared" si="92"/>
        <v>33.184867061696352</v>
      </c>
      <c r="U178" s="22">
        <f t="shared" si="93"/>
        <v>18.916838851795561</v>
      </c>
      <c r="V178" s="22">
        <f t="shared" si="94"/>
        <v>20.656904765970523</v>
      </c>
      <c r="W178" s="22">
        <f t="shared" si="95"/>
        <v>23.184184013251137</v>
      </c>
      <c r="X178" s="22">
        <f t="shared" si="96"/>
        <v>31.367958197435151</v>
      </c>
      <c r="Y178" s="22">
        <f t="shared" si="97"/>
        <v>35.77959734294155</v>
      </c>
      <c r="Z178" s="22">
        <f t="shared" si="98"/>
        <v>11.338416352179779</v>
      </c>
      <c r="AA178" s="22">
        <f t="shared" si="99"/>
        <v>21.664401222656714</v>
      </c>
      <c r="AB178" s="24"/>
      <c r="AC178" s="19">
        <f t="shared" si="102"/>
        <v>7.9435211934983396E-4</v>
      </c>
      <c r="AD178" s="19">
        <f t="shared" si="103"/>
        <v>7.4526672181848103E-4</v>
      </c>
      <c r="AE178" s="19">
        <f t="shared" si="104"/>
        <v>7.9012982242592465E-4</v>
      </c>
      <c r="AF178" s="19">
        <f t="shared" si="105"/>
        <v>6.0775288449984829E-4</v>
      </c>
      <c r="AG178" s="19">
        <f t="shared" si="106"/>
        <v>8.2952182009643407E-4</v>
      </c>
      <c r="AH178" s="19">
        <f t="shared" si="107"/>
        <v>8.115999381419608E-4</v>
      </c>
      <c r="AI178" s="19">
        <f t="shared" si="108"/>
        <v>8.1504991817503566E-4</v>
      </c>
      <c r="AJ178" s="19">
        <f t="shared" si="109"/>
        <v>8.1917655616128935E-4</v>
      </c>
      <c r="AK178" s="19">
        <f t="shared" si="110"/>
        <v>8.281175033675375E-4</v>
      </c>
      <c r="AL178" s="19">
        <f t="shared" si="111"/>
        <v>8.3128677598400002E-4</v>
      </c>
      <c r="AM178" s="19">
        <f t="shared" si="112"/>
        <v>7.8522729126975918E-4</v>
      </c>
      <c r="AN178" s="19">
        <f t="shared" si="113"/>
        <v>8.1680530497285522E-4</v>
      </c>
      <c r="AO178" s="24"/>
    </row>
    <row r="179" spans="1:41">
      <c r="A179" s="12" t="s">
        <v>398</v>
      </c>
      <c r="B179" s="12">
        <v>631.6</v>
      </c>
      <c r="C179" s="19">
        <v>24380</v>
      </c>
      <c r="D179" s="19">
        <v>27543</v>
      </c>
      <c r="E179" s="19">
        <v>10708</v>
      </c>
      <c r="F179" s="19">
        <v>2391</v>
      </c>
      <c r="G179" s="19">
        <v>30061</v>
      </c>
      <c r="H179" s="19">
        <v>10235</v>
      </c>
      <c r="I179" s="19">
        <v>9902</v>
      </c>
      <c r="J179" s="19">
        <v>9881</v>
      </c>
      <c r="K179" s="19">
        <v>29249</v>
      </c>
      <c r="L179" s="19">
        <v>41143</v>
      </c>
      <c r="M179" s="19">
        <v>5920</v>
      </c>
      <c r="N179" s="19">
        <v>22298</v>
      </c>
      <c r="O179" s="24"/>
      <c r="P179" s="22">
        <f t="shared" si="100"/>
        <v>37.60037998733376</v>
      </c>
      <c r="Q179" s="22">
        <f t="shared" si="101"/>
        <v>42.60829639012033</v>
      </c>
      <c r="R179" s="22">
        <f t="shared" si="90"/>
        <v>15.953768207726409</v>
      </c>
      <c r="S179" s="22">
        <f t="shared" si="91"/>
        <v>2.785623812539582</v>
      </c>
      <c r="T179" s="22">
        <f t="shared" si="92"/>
        <v>46.594996833438884</v>
      </c>
      <c r="U179" s="22">
        <f t="shared" si="93"/>
        <v>15.204876504116529</v>
      </c>
      <c r="V179" s="22">
        <f t="shared" si="94"/>
        <v>14.677644078530715</v>
      </c>
      <c r="W179" s="22">
        <f t="shared" si="95"/>
        <v>14.644395186827104</v>
      </c>
      <c r="X179" s="22">
        <f t="shared" si="96"/>
        <v>45.309373020899301</v>
      </c>
      <c r="Y179" s="22">
        <f t="shared" si="97"/>
        <v>64.140911969601007</v>
      </c>
      <c r="Z179" s="22">
        <f t="shared" si="98"/>
        <v>8.3730208993033557</v>
      </c>
      <c r="AA179" s="22">
        <f t="shared" si="99"/>
        <v>34.303989867004432</v>
      </c>
      <c r="AB179" s="24"/>
      <c r="AC179" s="19">
        <f t="shared" si="102"/>
        <v>1.5446455803158074E-3</v>
      </c>
      <c r="AD179" s="19">
        <f t="shared" si="103"/>
        <v>1.5493705271306113E-3</v>
      </c>
      <c r="AE179" s="19">
        <f t="shared" si="104"/>
        <v>1.4921155279228652E-3</v>
      </c>
      <c r="AF179" s="19">
        <f t="shared" si="105"/>
        <v>1.1664044234532015E-3</v>
      </c>
      <c r="AG179" s="19">
        <f t="shared" si="106"/>
        <v>1.5524211400666796E-3</v>
      </c>
      <c r="AH179" s="19">
        <f t="shared" si="107"/>
        <v>1.4877868215928969E-3</v>
      </c>
      <c r="AI179" s="19">
        <f t="shared" si="108"/>
        <v>1.4844913061563473E-3</v>
      </c>
      <c r="AJ179" s="19">
        <f t="shared" si="109"/>
        <v>1.484276035994793E-3</v>
      </c>
      <c r="AK179" s="19">
        <f t="shared" si="110"/>
        <v>1.55149476138613E-3</v>
      </c>
      <c r="AL179" s="19">
        <f t="shared" si="111"/>
        <v>1.5614092843267513E-3</v>
      </c>
      <c r="AM179" s="19">
        <f t="shared" si="112"/>
        <v>1.4163648905630203E-3</v>
      </c>
      <c r="AN179" s="19">
        <f t="shared" si="113"/>
        <v>1.5408039101590082E-3</v>
      </c>
      <c r="AO179" s="24"/>
    </row>
    <row r="180" spans="1:41">
      <c r="A180" s="12" t="s">
        <v>399</v>
      </c>
      <c r="B180" s="12">
        <v>1463.59</v>
      </c>
      <c r="C180" s="19">
        <v>8517</v>
      </c>
      <c r="D180" s="19">
        <v>14732</v>
      </c>
      <c r="E180" s="19">
        <v>49052</v>
      </c>
      <c r="F180" s="19">
        <v>38438</v>
      </c>
      <c r="G180" s="19">
        <v>16299</v>
      </c>
      <c r="H180" s="19">
        <v>23462</v>
      </c>
      <c r="I180" s="19">
        <v>8418</v>
      </c>
      <c r="J180" s="19">
        <v>33234</v>
      </c>
      <c r="K180" s="19">
        <v>2228</v>
      </c>
      <c r="L180" s="19">
        <v>33979</v>
      </c>
      <c r="M180" s="19">
        <v>7777</v>
      </c>
      <c r="N180" s="19">
        <v>24291</v>
      </c>
      <c r="O180" s="24"/>
      <c r="P180" s="22">
        <f t="shared" si="100"/>
        <v>4.8192526595562963</v>
      </c>
      <c r="Q180" s="22">
        <f t="shared" si="101"/>
        <v>9.065660465020942</v>
      </c>
      <c r="R180" s="22">
        <f t="shared" si="90"/>
        <v>32.514850470418629</v>
      </c>
      <c r="S180" s="22">
        <f t="shared" si="91"/>
        <v>25.262819505462598</v>
      </c>
      <c r="T180" s="22">
        <f t="shared" si="92"/>
        <v>10.136315498192801</v>
      </c>
      <c r="U180" s="22">
        <f t="shared" si="93"/>
        <v>15.030445684925423</v>
      </c>
      <c r="V180" s="22">
        <f t="shared" si="94"/>
        <v>4.7516107653099571</v>
      </c>
      <c r="W180" s="22">
        <f t="shared" si="95"/>
        <v>21.707178923059054</v>
      </c>
      <c r="X180" s="22">
        <f t="shared" si="96"/>
        <v>0.52228424627115522</v>
      </c>
      <c r="Y180" s="22">
        <f t="shared" si="97"/>
        <v>22.216201258549184</v>
      </c>
      <c r="Z180" s="22">
        <f t="shared" si="98"/>
        <v>4.3136465813513345</v>
      </c>
      <c r="AA180" s="22">
        <f t="shared" si="99"/>
        <v>15.596861142806388</v>
      </c>
      <c r="AB180" s="24"/>
      <c r="AC180" s="19">
        <f t="shared" si="102"/>
        <v>5.6615957797442559E-4</v>
      </c>
      <c r="AD180" s="19">
        <f t="shared" si="103"/>
        <v>6.1575092681607916E-4</v>
      </c>
      <c r="AE180" s="19">
        <f t="shared" si="104"/>
        <v>6.6330460981454552E-4</v>
      </c>
      <c r="AF180" s="19">
        <f t="shared" si="105"/>
        <v>6.5766777792369119E-4</v>
      </c>
      <c r="AG180" s="19">
        <f t="shared" si="106"/>
        <v>6.222849975616834E-4</v>
      </c>
      <c r="AH180" s="19">
        <f t="shared" si="107"/>
        <v>6.4104001372575193E-4</v>
      </c>
      <c r="AI180" s="19">
        <f t="shared" si="108"/>
        <v>5.647771877732694E-4</v>
      </c>
      <c r="AJ180" s="19">
        <f t="shared" si="109"/>
        <v>6.5358868898335754E-4</v>
      </c>
      <c r="AK180" s="19">
        <f t="shared" si="110"/>
        <v>2.344733878042079E-4</v>
      </c>
      <c r="AL180" s="19">
        <f t="shared" si="111"/>
        <v>6.5424927726437355E-4</v>
      </c>
      <c r="AM180" s="19">
        <f t="shared" si="112"/>
        <v>5.5497499644432068E-4</v>
      </c>
      <c r="AN180" s="19">
        <f t="shared" si="113"/>
        <v>6.4249648311054321E-4</v>
      </c>
      <c r="AO180" s="24"/>
    </row>
    <row r="181" spans="1:41">
      <c r="A181" s="12" t="s">
        <v>395</v>
      </c>
      <c r="B181" s="12">
        <v>623.95000000000005</v>
      </c>
      <c r="C181" s="19">
        <v>41388</v>
      </c>
      <c r="D181" s="19">
        <v>24993</v>
      </c>
      <c r="E181" s="19">
        <v>28895</v>
      </c>
      <c r="F181" s="19">
        <v>40183</v>
      </c>
      <c r="G181" s="19">
        <v>34100</v>
      </c>
      <c r="H181" s="19">
        <v>17536</v>
      </c>
      <c r="I181" s="19">
        <v>48095</v>
      </c>
      <c r="J181" s="19">
        <v>1118</v>
      </c>
      <c r="K181" s="19">
        <v>5374</v>
      </c>
      <c r="L181" s="19">
        <v>32195</v>
      </c>
      <c r="M181" s="19">
        <v>1136</v>
      </c>
      <c r="N181" s="19">
        <v>21233</v>
      </c>
      <c r="O181" s="24"/>
      <c r="P181" s="22">
        <f t="shared" si="100"/>
        <v>65.332238160108986</v>
      </c>
      <c r="Q181" s="22">
        <f t="shared" si="101"/>
        <v>39.056094238320377</v>
      </c>
      <c r="R181" s="22">
        <f t="shared" si="90"/>
        <v>45.309800464780828</v>
      </c>
      <c r="S181" s="22">
        <f t="shared" si="91"/>
        <v>63.400993669364532</v>
      </c>
      <c r="T181" s="22">
        <f t="shared" si="92"/>
        <v>53.651815049282796</v>
      </c>
      <c r="U181" s="22">
        <f t="shared" si="93"/>
        <v>27.104816091032934</v>
      </c>
      <c r="V181" s="22">
        <f t="shared" si="94"/>
        <v>76.081496914816896</v>
      </c>
      <c r="W181" s="22">
        <f t="shared" si="95"/>
        <v>0.7918102412052247</v>
      </c>
      <c r="X181" s="22">
        <f t="shared" si="96"/>
        <v>7.6128696209632176</v>
      </c>
      <c r="Y181" s="22">
        <f t="shared" si="97"/>
        <v>50.598685792130773</v>
      </c>
      <c r="Z181" s="22">
        <f t="shared" si="98"/>
        <v>0.82065870662713347</v>
      </c>
      <c r="AA181" s="22">
        <f t="shared" si="99"/>
        <v>33.029970350188314</v>
      </c>
      <c r="AB181" s="24"/>
      <c r="AC181" s="19">
        <f t="shared" si="102"/>
        <v>1.5810266301451413E-3</v>
      </c>
      <c r="AD181" s="19">
        <f t="shared" si="103"/>
        <v>1.5651271152093364E-3</v>
      </c>
      <c r="AE181" s="19">
        <f t="shared" si="104"/>
        <v>1.5705472104345435E-3</v>
      </c>
      <c r="AF181" s="19">
        <f t="shared" si="105"/>
        <v>1.5802997846354402E-3</v>
      </c>
      <c r="AG181" s="19">
        <f t="shared" si="106"/>
        <v>1.5758463949739595E-3</v>
      </c>
      <c r="AH181" s="19">
        <f t="shared" si="107"/>
        <v>1.5480597608433233E-3</v>
      </c>
      <c r="AI181" s="19">
        <f t="shared" si="108"/>
        <v>1.5844067148227988E-3</v>
      </c>
      <c r="AJ181" s="19">
        <f t="shared" si="109"/>
        <v>7.0874009738164964E-4</v>
      </c>
      <c r="AK181" s="19">
        <f t="shared" si="110"/>
        <v>1.4186210267736513E-3</v>
      </c>
      <c r="AL181" s="19">
        <f t="shared" si="111"/>
        <v>1.5741057143212709E-3</v>
      </c>
      <c r="AM181" s="19">
        <f t="shared" si="112"/>
        <v>7.2293308799304919E-4</v>
      </c>
      <c r="AN181" s="19">
        <f t="shared" si="113"/>
        <v>1.5580196719143151E-3</v>
      </c>
      <c r="AO181" s="24"/>
    </row>
    <row r="182" spans="1:41">
      <c r="A182" s="12" t="s">
        <v>398</v>
      </c>
      <c r="B182" s="12">
        <v>540.67999999999995</v>
      </c>
      <c r="C182" s="19">
        <v>16611</v>
      </c>
      <c r="D182" s="19">
        <v>5469</v>
      </c>
      <c r="E182" s="19">
        <v>11521</v>
      </c>
      <c r="F182" s="19">
        <v>16712</v>
      </c>
      <c r="G182" s="19">
        <v>42467</v>
      </c>
      <c r="H182" s="19">
        <v>14973</v>
      </c>
      <c r="I182" s="19">
        <v>32369</v>
      </c>
      <c r="J182" s="19">
        <v>28144</v>
      </c>
      <c r="K182" s="19">
        <v>1206</v>
      </c>
      <c r="L182" s="19">
        <v>38959</v>
      </c>
      <c r="M182" s="19">
        <v>41507</v>
      </c>
      <c r="N182" s="19">
        <v>1729</v>
      </c>
      <c r="O182" s="24"/>
      <c r="P182" s="22">
        <f t="shared" si="100"/>
        <v>29.722423614707409</v>
      </c>
      <c r="Q182" s="22">
        <f t="shared" si="101"/>
        <v>9.1150403195975436</v>
      </c>
      <c r="R182" s="22">
        <f t="shared" si="90"/>
        <v>20.308352445069172</v>
      </c>
      <c r="S182" s="22">
        <f t="shared" si="91"/>
        <v>29.909225419841682</v>
      </c>
      <c r="T182" s="22">
        <f t="shared" si="92"/>
        <v>77.543685729081901</v>
      </c>
      <c r="U182" s="22">
        <f t="shared" si="93"/>
        <v>26.692905230450545</v>
      </c>
      <c r="V182" s="22">
        <f t="shared" si="94"/>
        <v>58.867204261300593</v>
      </c>
      <c r="W182" s="22">
        <f t="shared" si="95"/>
        <v>51.052970333653924</v>
      </c>
      <c r="X182" s="22">
        <f t="shared" si="96"/>
        <v>1.2305245246726346</v>
      </c>
      <c r="Y182" s="22">
        <f t="shared" si="97"/>
        <v>71.055559665606282</v>
      </c>
      <c r="Z182" s="22">
        <f t="shared" si="98"/>
        <v>75.768143818894728</v>
      </c>
      <c r="AA182" s="22">
        <f t="shared" si="99"/>
        <v>2.1978249611600211</v>
      </c>
      <c r="AB182" s="24"/>
      <c r="AC182" s="19">
        <f t="shared" si="102"/>
        <v>1.7925291629540937E-3</v>
      </c>
      <c r="AD182" s="19">
        <f t="shared" si="103"/>
        <v>1.669456478828649E-3</v>
      </c>
      <c r="AE182" s="19">
        <f t="shared" si="104"/>
        <v>1.7658374876424728E-3</v>
      </c>
      <c r="AF182" s="19">
        <f t="shared" si="105"/>
        <v>1.7928942974831889E-3</v>
      </c>
      <c r="AG182" s="19">
        <f t="shared" si="106"/>
        <v>1.8293154116953345E-3</v>
      </c>
      <c r="AH182" s="19">
        <f t="shared" si="107"/>
        <v>1.7859197634037449E-3</v>
      </c>
      <c r="AI182" s="19">
        <f t="shared" si="108"/>
        <v>1.8219425043361145E-3</v>
      </c>
      <c r="AJ182" s="19">
        <f t="shared" si="109"/>
        <v>1.8172878153275139E-3</v>
      </c>
      <c r="AK182" s="19">
        <f t="shared" si="110"/>
        <v>1.0213775744834055E-3</v>
      </c>
      <c r="AL182" s="19">
        <f t="shared" si="111"/>
        <v>1.8271873375726125E-3</v>
      </c>
      <c r="AM182" s="19">
        <f t="shared" si="112"/>
        <v>1.828768791666785E-3</v>
      </c>
      <c r="AN182" s="19">
        <f t="shared" si="113"/>
        <v>1.2727717123188049E-3</v>
      </c>
      <c r="AO182" s="24"/>
    </row>
    <row r="183" spans="1:41">
      <c r="A183" s="12" t="s">
        <v>397</v>
      </c>
      <c r="B183" s="12">
        <v>1871.19</v>
      </c>
      <c r="C183" s="19">
        <v>25288</v>
      </c>
      <c r="D183" s="19">
        <v>46335</v>
      </c>
      <c r="E183" s="19">
        <v>26466</v>
      </c>
      <c r="F183" s="19">
        <v>3365</v>
      </c>
      <c r="G183" s="19">
        <v>35158</v>
      </c>
      <c r="H183" s="19">
        <v>46100</v>
      </c>
      <c r="I183" s="19">
        <v>49957</v>
      </c>
      <c r="J183" s="19">
        <v>32732</v>
      </c>
      <c r="K183" s="19">
        <v>11267</v>
      </c>
      <c r="L183" s="19">
        <v>9851</v>
      </c>
      <c r="M183" s="19">
        <v>46982</v>
      </c>
      <c r="N183" s="19">
        <v>3405</v>
      </c>
      <c r="O183" s="24"/>
      <c r="P183" s="22">
        <f t="shared" si="100"/>
        <v>12.514394583126247</v>
      </c>
      <c r="Q183" s="22">
        <f t="shared" si="101"/>
        <v>23.762317028201302</v>
      </c>
      <c r="R183" s="22">
        <f t="shared" si="90"/>
        <v>13.143940487069726</v>
      </c>
      <c r="S183" s="22">
        <f t="shared" si="91"/>
        <v>0.79832085464330182</v>
      </c>
      <c r="T183" s="22">
        <f t="shared" si="92"/>
        <v>17.789112810564397</v>
      </c>
      <c r="U183" s="22">
        <f t="shared" si="93"/>
        <v>23.636728498976584</v>
      </c>
      <c r="V183" s="22">
        <f t="shared" si="94"/>
        <v>25.697983636081851</v>
      </c>
      <c r="W183" s="22">
        <f t="shared" si="95"/>
        <v>16.492611653546675</v>
      </c>
      <c r="X183" s="22">
        <f t="shared" si="96"/>
        <v>5.0213019522336051</v>
      </c>
      <c r="Y183" s="22">
        <f t="shared" si="97"/>
        <v>4.2645642612455168</v>
      </c>
      <c r="Z183" s="22">
        <f t="shared" si="98"/>
        <v>24.108086298024251</v>
      </c>
      <c r="AA183" s="22">
        <f t="shared" si="99"/>
        <v>0.81969762557516868</v>
      </c>
      <c r="AB183" s="24"/>
      <c r="AC183" s="19">
        <f t="shared" si="102"/>
        <v>4.9511984768530999E-4</v>
      </c>
      <c r="AD183" s="19">
        <f t="shared" si="103"/>
        <v>5.1310045287212181E-4</v>
      </c>
      <c r="AE183" s="19">
        <f t="shared" si="104"/>
        <v>4.9688171505938108E-4</v>
      </c>
      <c r="AF183" s="19">
        <f t="shared" si="105"/>
        <v>2.3729875042631439E-4</v>
      </c>
      <c r="AG183" s="19">
        <f t="shared" si="106"/>
        <v>5.0623238624471429E-4</v>
      </c>
      <c r="AH183" s="19">
        <f t="shared" si="107"/>
        <v>5.1299032347017464E-4</v>
      </c>
      <c r="AI183" s="19">
        <f t="shared" si="108"/>
        <v>5.1466680415543516E-4</v>
      </c>
      <c r="AJ183" s="19">
        <f t="shared" si="109"/>
        <v>5.0412214176514603E-4</v>
      </c>
      <c r="AK183" s="19">
        <f t="shared" si="110"/>
        <v>4.4586320813269116E-4</v>
      </c>
      <c r="AL183" s="19">
        <f t="shared" si="111"/>
        <v>4.3309422590631093E-4</v>
      </c>
      <c r="AM183" s="19">
        <f t="shared" si="112"/>
        <v>5.1339796816964186E-4</v>
      </c>
      <c r="AN183" s="19">
        <f t="shared" si="113"/>
        <v>2.4079148363658279E-4</v>
      </c>
      <c r="AO183" s="24"/>
    </row>
    <row r="184" spans="1:41">
      <c r="A184" s="12" t="s">
        <v>397</v>
      </c>
      <c r="B184" s="12">
        <v>1593.1</v>
      </c>
      <c r="C184" s="19">
        <v>17713</v>
      </c>
      <c r="D184" s="19">
        <v>12717</v>
      </c>
      <c r="E184" s="19">
        <v>35726</v>
      </c>
      <c r="F184" s="19">
        <v>19173</v>
      </c>
      <c r="G184" s="19">
        <v>3298</v>
      </c>
      <c r="H184" s="19">
        <v>16813</v>
      </c>
      <c r="I184" s="19">
        <v>49174</v>
      </c>
      <c r="J184" s="19">
        <v>9439</v>
      </c>
      <c r="K184" s="19">
        <v>41874</v>
      </c>
      <c r="L184" s="19">
        <v>43000</v>
      </c>
      <c r="M184" s="19">
        <v>1979</v>
      </c>
      <c r="N184" s="19">
        <v>26613</v>
      </c>
      <c r="O184" s="24"/>
      <c r="P184" s="22">
        <f t="shared" si="100"/>
        <v>10.118573849726948</v>
      </c>
      <c r="Q184" s="22">
        <f t="shared" si="101"/>
        <v>6.9825497457786705</v>
      </c>
      <c r="R184" s="22">
        <f t="shared" si="90"/>
        <v>21.425459795367523</v>
      </c>
      <c r="S184" s="22">
        <f t="shared" si="91"/>
        <v>11.035026049839937</v>
      </c>
      <c r="T184" s="22">
        <f t="shared" si="92"/>
        <v>1.0701776410771453</v>
      </c>
      <c r="U184" s="22">
        <f t="shared" si="93"/>
        <v>9.553637561986065</v>
      </c>
      <c r="V184" s="22">
        <f t="shared" si="94"/>
        <v>29.866863348189067</v>
      </c>
      <c r="W184" s="22">
        <f t="shared" si="95"/>
        <v>4.9249262444291002</v>
      </c>
      <c r="X184" s="22">
        <f t="shared" si="96"/>
        <v>25.28460234762413</v>
      </c>
      <c r="Y184" s="22">
        <f t="shared" si="97"/>
        <v>25.991400414286613</v>
      </c>
      <c r="Z184" s="22">
        <f t="shared" si="98"/>
        <v>0.24223212604356292</v>
      </c>
      <c r="AA184" s="22">
        <f t="shared" si="99"/>
        <v>15.705166028497899</v>
      </c>
      <c r="AB184" s="24"/>
      <c r="AC184" s="19">
        <f t="shared" si="102"/>
        <v>5.7157779042568929E-4</v>
      </c>
      <c r="AD184" s="19">
        <f t="shared" si="103"/>
        <v>5.49373733994284E-4</v>
      </c>
      <c r="AE184" s="19">
        <f t="shared" si="104"/>
        <v>6.0007604267183433E-4</v>
      </c>
      <c r="AF184" s="19">
        <f t="shared" si="105"/>
        <v>5.7588175663829703E-4</v>
      </c>
      <c r="AG184" s="19">
        <f t="shared" si="106"/>
        <v>3.2459824707807794E-4</v>
      </c>
      <c r="AH184" s="19">
        <f t="shared" si="107"/>
        <v>5.6855226933339202E-4</v>
      </c>
      <c r="AI184" s="19">
        <f t="shared" si="108"/>
        <v>6.0774016025758905E-4</v>
      </c>
      <c r="AJ184" s="19">
        <f t="shared" si="109"/>
        <v>5.2203593949868329E-4</v>
      </c>
      <c r="AK184" s="19">
        <f t="shared" si="110"/>
        <v>6.0419064497837713E-4</v>
      </c>
      <c r="AL184" s="19">
        <f t="shared" si="111"/>
        <v>6.0481675462170355E-4</v>
      </c>
      <c r="AM184" s="19">
        <f t="shared" si="112"/>
        <v>1.2241626033075549E-4</v>
      </c>
      <c r="AN184" s="19">
        <f t="shared" si="113"/>
        <v>5.9047982610766923E-4</v>
      </c>
      <c r="AO184" s="24"/>
    </row>
    <row r="185" spans="1:41">
      <c r="A185" s="12" t="s">
        <v>396</v>
      </c>
      <c r="B185" s="12">
        <v>2026.78</v>
      </c>
      <c r="C185" s="19">
        <v>30393</v>
      </c>
      <c r="D185" s="19">
        <v>41368</v>
      </c>
      <c r="E185" s="19">
        <v>16599</v>
      </c>
      <c r="F185" s="19">
        <v>8856</v>
      </c>
      <c r="G185" s="19">
        <v>7825</v>
      </c>
      <c r="H185" s="19">
        <v>5819</v>
      </c>
      <c r="I185" s="19">
        <v>24730</v>
      </c>
      <c r="J185" s="19">
        <v>19600</v>
      </c>
      <c r="K185" s="19">
        <v>36554</v>
      </c>
      <c r="L185" s="19">
        <v>26356</v>
      </c>
      <c r="M185" s="19">
        <v>4210</v>
      </c>
      <c r="N185" s="19">
        <v>45560</v>
      </c>
      <c r="O185" s="24"/>
      <c r="P185" s="22">
        <f t="shared" si="100"/>
        <v>13.995707476884517</v>
      </c>
      <c r="Q185" s="22">
        <f t="shared" si="101"/>
        <v>19.410700717394093</v>
      </c>
      <c r="R185" s="22">
        <f t="shared" si="90"/>
        <v>7.1898380682659191</v>
      </c>
      <c r="S185" s="22">
        <f t="shared" si="91"/>
        <v>3.3694924954854502</v>
      </c>
      <c r="T185" s="22">
        <f t="shared" si="92"/>
        <v>2.8608038366275572</v>
      </c>
      <c r="U185" s="22">
        <f t="shared" si="93"/>
        <v>1.871056552758563</v>
      </c>
      <c r="V185" s="22">
        <f t="shared" si="94"/>
        <v>11.201620304127731</v>
      </c>
      <c r="W185" s="22">
        <f t="shared" si="95"/>
        <v>8.6705118463770123</v>
      </c>
      <c r="X185" s="22">
        <f t="shared" si="96"/>
        <v>17.035504593493126</v>
      </c>
      <c r="Y185" s="22">
        <f t="shared" si="97"/>
        <v>12.003878072607783</v>
      </c>
      <c r="Z185" s="22">
        <f t="shared" si="98"/>
        <v>1.0771864731248584</v>
      </c>
      <c r="AA185" s="22">
        <f t="shared" si="99"/>
        <v>21.479006108211056</v>
      </c>
      <c r="AB185" s="24"/>
      <c r="AC185" s="19">
        <f t="shared" si="102"/>
        <v>4.6070329830820504E-4</v>
      </c>
      <c r="AD185" s="19">
        <f t="shared" si="103"/>
        <v>4.6944045846156272E-4</v>
      </c>
      <c r="AE185" s="19">
        <f t="shared" si="104"/>
        <v>4.3333656774607334E-4</v>
      </c>
      <c r="AF185" s="19">
        <f t="shared" si="105"/>
        <v>3.8062048253669666E-4</v>
      </c>
      <c r="AG185" s="19">
        <f t="shared" si="106"/>
        <v>3.6573164512729886E-4</v>
      </c>
      <c r="AH185" s="19">
        <f t="shared" si="107"/>
        <v>3.2164605098984991E-4</v>
      </c>
      <c r="AI185" s="19">
        <f t="shared" si="108"/>
        <v>4.5316200779924601E-4</v>
      </c>
      <c r="AJ185" s="19">
        <f t="shared" si="109"/>
        <v>4.4256883391297406E-4</v>
      </c>
      <c r="AK185" s="19">
        <f t="shared" si="110"/>
        <v>4.6625396577854353E-4</v>
      </c>
      <c r="AL185" s="19">
        <f t="shared" si="111"/>
        <v>4.5565896749492647E-4</v>
      </c>
      <c r="AM185" s="19">
        <f t="shared" si="112"/>
        <v>2.5592925336215131E-4</v>
      </c>
      <c r="AN185" s="19">
        <f t="shared" si="113"/>
        <v>4.7166674805033953E-4</v>
      </c>
      <c r="AO185" s="24"/>
    </row>
    <row r="186" spans="1:41">
      <c r="A186" s="12" t="s">
        <v>395</v>
      </c>
      <c r="B186" s="12">
        <v>2792.34</v>
      </c>
      <c r="C186" s="19">
        <v>26955</v>
      </c>
      <c r="D186" s="19">
        <v>19856</v>
      </c>
      <c r="E186" s="19">
        <v>38683</v>
      </c>
      <c r="F186" s="19">
        <v>14589</v>
      </c>
      <c r="G186" s="19">
        <v>17633</v>
      </c>
      <c r="H186" s="19">
        <v>3383</v>
      </c>
      <c r="I186" s="19">
        <v>46275</v>
      </c>
      <c r="J186" s="19">
        <v>44673</v>
      </c>
      <c r="K186" s="19">
        <v>16080</v>
      </c>
      <c r="L186" s="19">
        <v>47337</v>
      </c>
      <c r="M186" s="19">
        <v>25902</v>
      </c>
      <c r="N186" s="19">
        <v>34334</v>
      </c>
      <c r="O186" s="24"/>
      <c r="P186" s="22">
        <f t="shared" si="100"/>
        <v>8.6531940952749302</v>
      </c>
      <c r="Q186" s="22">
        <f t="shared" si="101"/>
        <v>6.110881912661065</v>
      </c>
      <c r="R186" s="22">
        <f t="shared" si="90"/>
        <v>12.853255692358381</v>
      </c>
      <c r="S186" s="22">
        <f t="shared" si="91"/>
        <v>4.2246502933023908</v>
      </c>
      <c r="T186" s="22">
        <f t="shared" si="92"/>
        <v>5.3147754213312126</v>
      </c>
      <c r="U186" s="22">
        <f t="shared" si="93"/>
        <v>0.21152868203728767</v>
      </c>
      <c r="V186" s="22">
        <f t="shared" si="94"/>
        <v>15.572122306022907</v>
      </c>
      <c r="W186" s="22">
        <f t="shared" si="95"/>
        <v>14.998409935752809</v>
      </c>
      <c r="X186" s="22">
        <f t="shared" si="96"/>
        <v>4.7586110573927245</v>
      </c>
      <c r="Y186" s="22">
        <f t="shared" si="97"/>
        <v>15.952448484067126</v>
      </c>
      <c r="Z186" s="22">
        <f t="shared" si="98"/>
        <v>8.2760910204344746</v>
      </c>
      <c r="AA186" s="22">
        <f t="shared" si="99"/>
        <v>11.295780599783694</v>
      </c>
      <c r="AB186" s="24"/>
      <c r="AC186" s="19">
        <f t="shared" si="102"/>
        <v>3.2112679902786544E-4</v>
      </c>
      <c r="AD186" s="19">
        <f t="shared" si="103"/>
        <v>3.0785471275468197E-4</v>
      </c>
      <c r="AE186" s="19">
        <f t="shared" si="104"/>
        <v>3.3238187011148127E-4</v>
      </c>
      <c r="AF186" s="19">
        <f t="shared" si="105"/>
        <v>2.896616637559213E-4</v>
      </c>
      <c r="AG186" s="19">
        <f t="shared" si="106"/>
        <v>3.0150160691096894E-4</v>
      </c>
      <c r="AH186" s="19">
        <f t="shared" si="107"/>
        <v>6.2530862875642451E-5</v>
      </c>
      <c r="AI186" s="19">
        <f t="shared" si="108"/>
        <v>3.3662591649845483E-4</v>
      </c>
      <c r="AJ186" s="19">
        <f t="shared" si="109"/>
        <v>3.3585045012604723E-4</v>
      </c>
      <c r="AK186" s="19">
        <f t="shared" si="110"/>
        <v>2.960211260445486E-4</v>
      </c>
      <c r="AL186" s="19">
        <f t="shared" si="111"/>
        <v>3.3711105965480867E-4</v>
      </c>
      <c r="AM186" s="19">
        <f t="shared" si="112"/>
        <v>3.1961764362384537E-4</v>
      </c>
      <c r="AN186" s="19">
        <f t="shared" si="113"/>
        <v>3.2910520475245604E-4</v>
      </c>
      <c r="AO186" s="24"/>
    </row>
    <row r="187" spans="1:41">
      <c r="A187" s="12" t="s">
        <v>395</v>
      </c>
      <c r="B187" s="12">
        <v>1620.17</v>
      </c>
      <c r="C187" s="19">
        <v>47306</v>
      </c>
      <c r="D187" s="19">
        <v>5797</v>
      </c>
      <c r="E187" s="19">
        <v>9143</v>
      </c>
      <c r="F187" s="19">
        <v>28138</v>
      </c>
      <c r="G187" s="19">
        <v>13415</v>
      </c>
      <c r="H187" s="19">
        <v>19191</v>
      </c>
      <c r="I187" s="19">
        <v>4541</v>
      </c>
      <c r="J187" s="19">
        <v>13311</v>
      </c>
      <c r="K187" s="19">
        <v>9956</v>
      </c>
      <c r="L187" s="19">
        <v>8945</v>
      </c>
      <c r="M187" s="19">
        <v>28174</v>
      </c>
      <c r="N187" s="19">
        <v>47274</v>
      </c>
      <c r="O187" s="24"/>
      <c r="P187" s="22">
        <f t="shared" si="100"/>
        <v>28.198170562348395</v>
      </c>
      <c r="Q187" s="22">
        <f t="shared" si="101"/>
        <v>2.5780195905367953</v>
      </c>
      <c r="R187" s="22">
        <f t="shared" si="90"/>
        <v>4.6432349691699013</v>
      </c>
      <c r="S187" s="22">
        <f t="shared" si="91"/>
        <v>16.367313306628319</v>
      </c>
      <c r="T187" s="22">
        <f t="shared" si="92"/>
        <v>7.2799953091342262</v>
      </c>
      <c r="U187" s="22">
        <f t="shared" si="93"/>
        <v>10.845053296876255</v>
      </c>
      <c r="V187" s="22">
        <f t="shared" si="94"/>
        <v>1.8027922995735015</v>
      </c>
      <c r="W187" s="22">
        <f t="shared" si="95"/>
        <v>7.2158045143410874</v>
      </c>
      <c r="X187" s="22">
        <f t="shared" si="96"/>
        <v>5.1450341630816521</v>
      </c>
      <c r="Y187" s="22">
        <f t="shared" si="97"/>
        <v>4.5210255713906564</v>
      </c>
      <c r="Z187" s="22">
        <f t="shared" si="98"/>
        <v>16.389533197133634</v>
      </c>
      <c r="AA187" s="22">
        <f t="shared" si="99"/>
        <v>28.178419548565891</v>
      </c>
      <c r="AB187" s="24"/>
      <c r="AC187" s="19">
        <f t="shared" si="102"/>
        <v>5.9643573667146946E-4</v>
      </c>
      <c r="AD187" s="19">
        <f t="shared" si="103"/>
        <v>4.4491402235682871E-4</v>
      </c>
      <c r="AE187" s="19">
        <f t="shared" si="104"/>
        <v>5.0810392815236474E-4</v>
      </c>
      <c r="AF187" s="19">
        <f t="shared" si="105"/>
        <v>5.8201860073270296E-4</v>
      </c>
      <c r="AG187" s="19">
        <f t="shared" si="106"/>
        <v>5.4297041604293831E-4</v>
      </c>
      <c r="AH187" s="19">
        <f t="shared" si="107"/>
        <v>5.6543095334797653E-4</v>
      </c>
      <c r="AI187" s="19">
        <f t="shared" si="108"/>
        <v>3.9716104348037402E-4</v>
      </c>
      <c r="AJ187" s="19">
        <f t="shared" si="109"/>
        <v>5.4238736951172197E-4</v>
      </c>
      <c r="AK187" s="19">
        <f t="shared" si="110"/>
        <v>5.1704443294023318E-4</v>
      </c>
      <c r="AL187" s="19">
        <f t="shared" si="111"/>
        <v>5.0568046570229725E-4</v>
      </c>
      <c r="AM187" s="19">
        <f t="shared" si="112"/>
        <v>5.820640645787927E-4</v>
      </c>
      <c r="AN187" s="19">
        <f t="shared" si="113"/>
        <v>5.9642141052797509E-4</v>
      </c>
      <c r="AO187" s="24"/>
    </row>
    <row r="188" spans="1:41">
      <c r="A188" s="12" t="s">
        <v>396</v>
      </c>
      <c r="B188" s="12">
        <v>1763.75</v>
      </c>
      <c r="C188" s="19">
        <v>37323</v>
      </c>
      <c r="D188" s="19">
        <v>46424</v>
      </c>
      <c r="E188" s="19">
        <v>33309</v>
      </c>
      <c r="F188" s="19">
        <v>8991</v>
      </c>
      <c r="G188" s="19">
        <v>41219</v>
      </c>
      <c r="H188" s="19">
        <v>45858</v>
      </c>
      <c r="I188" s="19">
        <v>19636</v>
      </c>
      <c r="J188" s="19">
        <v>4823</v>
      </c>
      <c r="K188" s="19">
        <v>30795</v>
      </c>
      <c r="L188" s="19">
        <v>39259</v>
      </c>
      <c r="M188" s="19">
        <v>7677</v>
      </c>
      <c r="N188" s="19">
        <v>37364</v>
      </c>
      <c r="O188" s="24"/>
      <c r="P188" s="22">
        <f t="shared" si="100"/>
        <v>20.161162296243798</v>
      </c>
      <c r="Q188" s="22">
        <f t="shared" si="101"/>
        <v>25.32119064493267</v>
      </c>
      <c r="R188" s="22">
        <f t="shared" si="90"/>
        <v>17.88532955350815</v>
      </c>
      <c r="S188" s="22">
        <f t="shared" si="91"/>
        <v>4.0976612331679663</v>
      </c>
      <c r="T188" s="22">
        <f t="shared" si="92"/>
        <v>22.370092133238838</v>
      </c>
      <c r="U188" s="22">
        <f t="shared" si="93"/>
        <v>25.00028348688873</v>
      </c>
      <c r="V188" s="22">
        <f t="shared" si="94"/>
        <v>10.133097094259391</v>
      </c>
      <c r="W188" s="22">
        <f t="shared" si="95"/>
        <v>1.7345145287030475</v>
      </c>
      <c r="X188" s="22">
        <f t="shared" si="96"/>
        <v>16.459957476966689</v>
      </c>
      <c r="Y188" s="22">
        <f t="shared" si="97"/>
        <v>21.258823529411764</v>
      </c>
      <c r="Z188" s="22">
        <f t="shared" si="98"/>
        <v>3.3526576895818567</v>
      </c>
      <c r="AA188" s="22">
        <f t="shared" si="99"/>
        <v>20.184408221119774</v>
      </c>
      <c r="AB188" s="24"/>
      <c r="AC188" s="19">
        <f t="shared" si="102"/>
        <v>5.4047260006029221E-4</v>
      </c>
      <c r="AD188" s="19">
        <f t="shared" si="103"/>
        <v>5.4573085472915065E-4</v>
      </c>
      <c r="AE188" s="19">
        <f t="shared" si="104"/>
        <v>5.3724033366132635E-4</v>
      </c>
      <c r="AF188" s="19">
        <f t="shared" si="105"/>
        <v>4.5595924810397359E-4</v>
      </c>
      <c r="AG188" s="19">
        <f t="shared" si="106"/>
        <v>5.4300781843728255E-4</v>
      </c>
      <c r="AH188" s="19">
        <f t="shared" si="107"/>
        <v>5.4546470101282522E-4</v>
      </c>
      <c r="AI188" s="19">
        <f t="shared" si="108"/>
        <v>5.1631335035493984E-4</v>
      </c>
      <c r="AJ188" s="19">
        <f t="shared" si="109"/>
        <v>3.597633305881914E-4</v>
      </c>
      <c r="AK188" s="19">
        <f t="shared" si="110"/>
        <v>5.3478681751070495E-4</v>
      </c>
      <c r="AL188" s="19">
        <f t="shared" si="111"/>
        <v>5.4179529432647072E-4</v>
      </c>
      <c r="AM188" s="19">
        <f t="shared" si="112"/>
        <v>4.369053645580255E-4</v>
      </c>
      <c r="AN188" s="19">
        <f t="shared" si="113"/>
        <v>5.4050203229804152E-4</v>
      </c>
      <c r="AO188" s="24"/>
    </row>
    <row r="189" spans="1:41">
      <c r="A189" s="12" t="s">
        <v>398</v>
      </c>
      <c r="B189" s="12">
        <v>314.39999999999998</v>
      </c>
      <c r="C189" s="19">
        <v>37934</v>
      </c>
      <c r="D189" s="19">
        <v>44951</v>
      </c>
      <c r="E189" s="19">
        <v>40887</v>
      </c>
      <c r="F189" s="19">
        <v>14289</v>
      </c>
      <c r="G189" s="19">
        <v>12829</v>
      </c>
      <c r="H189" s="19">
        <v>35174</v>
      </c>
      <c r="I189" s="19">
        <v>24194</v>
      </c>
      <c r="J189" s="19">
        <v>24082</v>
      </c>
      <c r="K189" s="19">
        <v>2916</v>
      </c>
      <c r="L189" s="19">
        <v>19609</v>
      </c>
      <c r="M189" s="19">
        <v>8267</v>
      </c>
      <c r="N189" s="19">
        <v>41302</v>
      </c>
      <c r="O189" s="24"/>
      <c r="P189" s="22">
        <f t="shared" si="100"/>
        <v>119.65521628498728</v>
      </c>
      <c r="Q189" s="22">
        <f t="shared" si="101"/>
        <v>141.97391857506361</v>
      </c>
      <c r="R189" s="22">
        <f t="shared" si="90"/>
        <v>129.04770992366412</v>
      </c>
      <c r="S189" s="22">
        <f t="shared" si="91"/>
        <v>44.448473282442755</v>
      </c>
      <c r="T189" s="22">
        <f t="shared" si="92"/>
        <v>39.804707379134861</v>
      </c>
      <c r="U189" s="22">
        <f t="shared" si="93"/>
        <v>110.8765903307888</v>
      </c>
      <c r="V189" s="22">
        <f t="shared" si="94"/>
        <v>75.952926208651405</v>
      </c>
      <c r="W189" s="22">
        <f t="shared" si="95"/>
        <v>75.596692111959285</v>
      </c>
      <c r="X189" s="22">
        <f t="shared" si="96"/>
        <v>8.2748091603053435</v>
      </c>
      <c r="Y189" s="22">
        <f t="shared" si="97"/>
        <v>61.36959287531807</v>
      </c>
      <c r="Z189" s="22">
        <f t="shared" si="98"/>
        <v>25.294529262086517</v>
      </c>
      <c r="AA189" s="22">
        <f t="shared" si="99"/>
        <v>130.3676844783715</v>
      </c>
      <c r="AB189" s="24"/>
      <c r="AC189" s="19">
        <f t="shared" si="102"/>
        <v>3.1642810941026151E-3</v>
      </c>
      <c r="AD189" s="19">
        <f t="shared" si="103"/>
        <v>3.168422324490495E-3</v>
      </c>
      <c r="AE189" s="19">
        <f t="shared" si="104"/>
        <v>3.1661970897170024E-3</v>
      </c>
      <c r="AF189" s="19">
        <f t="shared" si="105"/>
        <v>3.1203841833190543E-3</v>
      </c>
      <c r="AG189" s="19">
        <f t="shared" si="106"/>
        <v>3.112369970775367E-3</v>
      </c>
      <c r="AH189" s="19">
        <f t="shared" si="107"/>
        <v>3.1621994719447277E-3</v>
      </c>
      <c r="AI189" s="19">
        <f t="shared" si="108"/>
        <v>3.1492154392213662E-3</v>
      </c>
      <c r="AJ189" s="19">
        <f t="shared" si="109"/>
        <v>3.149021998106633E-3</v>
      </c>
      <c r="AK189" s="19">
        <f t="shared" si="110"/>
        <v>2.8458016549754274E-3</v>
      </c>
      <c r="AL189" s="19">
        <f t="shared" si="111"/>
        <v>3.1394901375335089E-3</v>
      </c>
      <c r="AM189" s="19">
        <f t="shared" si="112"/>
        <v>3.0690892014880256E-3</v>
      </c>
      <c r="AN189" s="19">
        <f t="shared" si="113"/>
        <v>3.1664443974261164E-3</v>
      </c>
      <c r="AO189" s="24"/>
    </row>
    <row r="190" spans="1:41">
      <c r="A190" s="12" t="s">
        <v>395</v>
      </c>
      <c r="B190" s="12">
        <v>2167.0300000000002</v>
      </c>
      <c r="C190" s="19">
        <v>13307</v>
      </c>
      <c r="D190" s="19">
        <v>26374</v>
      </c>
      <c r="E190" s="19">
        <v>13832</v>
      </c>
      <c r="F190" s="19">
        <v>36460</v>
      </c>
      <c r="G190" s="19">
        <v>23247</v>
      </c>
      <c r="H190" s="19">
        <v>37908</v>
      </c>
      <c r="I190" s="19">
        <v>2998</v>
      </c>
      <c r="J190" s="19">
        <v>24760</v>
      </c>
      <c r="K190" s="19">
        <v>41677</v>
      </c>
      <c r="L190" s="19">
        <v>11331</v>
      </c>
      <c r="M190" s="19">
        <v>43633</v>
      </c>
      <c r="N190" s="19">
        <v>40314</v>
      </c>
      <c r="O190" s="24"/>
      <c r="P190" s="22">
        <f t="shared" si="100"/>
        <v>5.1406625658158855</v>
      </c>
      <c r="Q190" s="22">
        <f t="shared" si="101"/>
        <v>11.170574472896083</v>
      </c>
      <c r="R190" s="22">
        <f t="shared" si="90"/>
        <v>5.3829296318002049</v>
      </c>
      <c r="S190" s="22">
        <f t="shared" si="91"/>
        <v>15.82487090626341</v>
      </c>
      <c r="T190" s="22">
        <f t="shared" si="92"/>
        <v>9.7275856817856692</v>
      </c>
      <c r="U190" s="22">
        <f t="shared" si="93"/>
        <v>16.493066547302067</v>
      </c>
      <c r="V190" s="22">
        <f t="shared" si="94"/>
        <v>0.38346031203998088</v>
      </c>
      <c r="W190" s="22">
        <f t="shared" si="95"/>
        <v>10.425776292898576</v>
      </c>
      <c r="X190" s="22">
        <f t="shared" si="96"/>
        <v>18.232313350530447</v>
      </c>
      <c r="Y190" s="22">
        <f t="shared" si="97"/>
        <v>4.2288154755587133</v>
      </c>
      <c r="Z190" s="22">
        <f t="shared" si="98"/>
        <v>19.134931219226313</v>
      </c>
      <c r="AA190" s="22">
        <f t="shared" si="99"/>
        <v>17.603341901127347</v>
      </c>
      <c r="AB190" s="24"/>
      <c r="AC190" s="19">
        <f t="shared" si="102"/>
        <v>3.8646195508540659E-4</v>
      </c>
      <c r="AD190" s="19">
        <f t="shared" si="103"/>
        <v>4.2372441487936903E-4</v>
      </c>
      <c r="AE190" s="19">
        <f t="shared" si="104"/>
        <v>3.8931646146014647E-4</v>
      </c>
      <c r="AF190" s="19">
        <f t="shared" si="105"/>
        <v>4.3422222756333596E-4</v>
      </c>
      <c r="AG190" s="19">
        <f t="shared" si="106"/>
        <v>4.1861994421478569E-4</v>
      </c>
      <c r="AH190" s="19">
        <f t="shared" si="107"/>
        <v>4.3527080029485667E-4</v>
      </c>
      <c r="AI190" s="19">
        <f t="shared" si="108"/>
        <v>1.2792173614037291E-4</v>
      </c>
      <c r="AJ190" s="19">
        <f t="shared" si="109"/>
        <v>4.2125073339289776E-4</v>
      </c>
      <c r="AK190" s="19">
        <f t="shared" si="110"/>
        <v>4.3765848974868784E-4</v>
      </c>
      <c r="AL190" s="19">
        <f t="shared" si="111"/>
        <v>3.733469500413733E-4</v>
      </c>
      <c r="AM190" s="19">
        <f t="shared" si="112"/>
        <v>4.3873504879812363E-4</v>
      </c>
      <c r="AN190" s="19">
        <f t="shared" si="113"/>
        <v>4.3684655108211479E-4</v>
      </c>
      <c r="AO190" s="24"/>
    </row>
    <row r="191" spans="1:41">
      <c r="A191" s="12" t="s">
        <v>397</v>
      </c>
      <c r="B191" s="12">
        <v>1229.72</v>
      </c>
      <c r="C191" s="19">
        <v>46096</v>
      </c>
      <c r="D191" s="19">
        <v>26074</v>
      </c>
      <c r="E191" s="19">
        <v>47455</v>
      </c>
      <c r="F191" s="19">
        <v>29353</v>
      </c>
      <c r="G191" s="19">
        <v>17600</v>
      </c>
      <c r="H191" s="19">
        <v>10952</v>
      </c>
      <c r="I191" s="19">
        <v>3753</v>
      </c>
      <c r="J191" s="19">
        <v>47745</v>
      </c>
      <c r="K191" s="19">
        <v>22424</v>
      </c>
      <c r="L191" s="19">
        <v>15214</v>
      </c>
      <c r="M191" s="19">
        <v>49323</v>
      </c>
      <c r="N191" s="19">
        <v>4419</v>
      </c>
      <c r="O191" s="24"/>
      <c r="P191" s="22">
        <f t="shared" si="100"/>
        <v>36.484955924925998</v>
      </c>
      <c r="Q191" s="22">
        <f t="shared" si="101"/>
        <v>20.203200728621148</v>
      </c>
      <c r="R191" s="22">
        <f t="shared" si="90"/>
        <v>37.590085547929611</v>
      </c>
      <c r="S191" s="22">
        <f t="shared" si="91"/>
        <v>22.869661386331845</v>
      </c>
      <c r="T191" s="22">
        <f t="shared" si="92"/>
        <v>13.312201151481638</v>
      </c>
      <c r="U191" s="22">
        <f t="shared" si="93"/>
        <v>7.9060924438083466</v>
      </c>
      <c r="V191" s="22">
        <f t="shared" si="94"/>
        <v>2.0519142569040105</v>
      </c>
      <c r="W191" s="22">
        <f t="shared" si="95"/>
        <v>37.825911589630159</v>
      </c>
      <c r="X191" s="22">
        <f t="shared" si="96"/>
        <v>17.235045376183194</v>
      </c>
      <c r="Y191" s="22">
        <f t="shared" si="97"/>
        <v>11.371922063559184</v>
      </c>
      <c r="Z191" s="22">
        <f t="shared" si="98"/>
        <v>39.109130533780046</v>
      </c>
      <c r="AA191" s="22">
        <f t="shared" si="99"/>
        <v>2.5935009595680314</v>
      </c>
      <c r="AB191" s="24"/>
      <c r="AC191" s="19">
        <f t="shared" si="102"/>
        <v>7.9212635847366111E-4</v>
      </c>
      <c r="AD191" s="19">
        <f t="shared" si="103"/>
        <v>7.7544170948574194E-4</v>
      </c>
      <c r="AE191" s="19">
        <f t="shared" si="104"/>
        <v>7.9274860469493401E-4</v>
      </c>
      <c r="AF191" s="19">
        <f t="shared" si="105"/>
        <v>7.7973268861418954E-4</v>
      </c>
      <c r="AG191" s="19">
        <f t="shared" si="106"/>
        <v>7.5694760171686503E-4</v>
      </c>
      <c r="AH191" s="19">
        <f t="shared" si="107"/>
        <v>7.2240721896124258E-4</v>
      </c>
      <c r="AI191" s="19">
        <f t="shared" si="108"/>
        <v>5.4703883124991538E-4</v>
      </c>
      <c r="AJ191" s="19">
        <f t="shared" si="109"/>
        <v>7.9287680128635636E-4</v>
      </c>
      <c r="AK191" s="19">
        <f t="shared" si="110"/>
        <v>7.6918936808084845E-4</v>
      </c>
      <c r="AL191" s="19">
        <f t="shared" si="111"/>
        <v>7.4802343418920076E-4</v>
      </c>
      <c r="AM191" s="19">
        <f t="shared" si="112"/>
        <v>7.9354794931603238E-4</v>
      </c>
      <c r="AN191" s="19">
        <f t="shared" si="113"/>
        <v>5.8724235645689099E-4</v>
      </c>
      <c r="AO191" s="24"/>
    </row>
    <row r="192" spans="1:41">
      <c r="A192" s="12" t="s">
        <v>397</v>
      </c>
      <c r="B192" s="12">
        <v>2931.34</v>
      </c>
      <c r="C192" s="19">
        <v>46847</v>
      </c>
      <c r="D192" s="19">
        <v>35887</v>
      </c>
      <c r="E192" s="19">
        <v>24514</v>
      </c>
      <c r="F192" s="19">
        <v>33753</v>
      </c>
      <c r="G192" s="19">
        <v>9171</v>
      </c>
      <c r="H192" s="19">
        <v>27788</v>
      </c>
      <c r="I192" s="19">
        <v>36573</v>
      </c>
      <c r="J192" s="19">
        <v>21007</v>
      </c>
      <c r="K192" s="19">
        <v>39386</v>
      </c>
      <c r="L192" s="19">
        <v>29918</v>
      </c>
      <c r="M192" s="19">
        <v>34664</v>
      </c>
      <c r="N192" s="19">
        <v>23694</v>
      </c>
      <c r="O192" s="24"/>
      <c r="P192" s="22">
        <f t="shared" si="100"/>
        <v>14.98142828876896</v>
      </c>
      <c r="Q192" s="22">
        <f t="shared" si="101"/>
        <v>11.242523896920863</v>
      </c>
      <c r="R192" s="22">
        <f t="shared" si="90"/>
        <v>7.3627283085551314</v>
      </c>
      <c r="S192" s="22">
        <f t="shared" si="91"/>
        <v>10.51452919142781</v>
      </c>
      <c r="T192" s="22">
        <f t="shared" si="92"/>
        <v>2.1286033008794609</v>
      </c>
      <c r="U192" s="22">
        <f t="shared" si="93"/>
        <v>8.4796236533462501</v>
      </c>
      <c r="V192" s="22">
        <f t="shared" si="94"/>
        <v>11.476546562323033</v>
      </c>
      <c r="W192" s="22">
        <f t="shared" si="95"/>
        <v>6.1663471313460736</v>
      </c>
      <c r="X192" s="22">
        <f t="shared" si="96"/>
        <v>12.436175946836601</v>
      </c>
      <c r="Y192" s="22">
        <f t="shared" si="97"/>
        <v>9.2062537951926426</v>
      </c>
      <c r="Z192" s="22">
        <f t="shared" si="98"/>
        <v>10.8253085619546</v>
      </c>
      <c r="AA192" s="22">
        <f t="shared" si="99"/>
        <v>7.0829927609898542</v>
      </c>
      <c r="AB192" s="24"/>
      <c r="AC192" s="19">
        <f t="shared" si="102"/>
        <v>3.1989712905132933E-4</v>
      </c>
      <c r="AD192" s="19">
        <f t="shared" si="103"/>
        <v>3.1337384038259076E-4</v>
      </c>
      <c r="AE192" s="19">
        <f t="shared" si="104"/>
        <v>3.0043813138982153E-4</v>
      </c>
      <c r="AF192" s="19">
        <f t="shared" si="105"/>
        <v>3.1161098670470441E-4</v>
      </c>
      <c r="AG192" s="19">
        <f t="shared" si="106"/>
        <v>2.3215543209012377E-4</v>
      </c>
      <c r="AH192" s="19">
        <f t="shared" si="107"/>
        <v>3.0524730227402956E-4</v>
      </c>
      <c r="AI192" s="19">
        <f t="shared" si="108"/>
        <v>3.1389683684649518E-4</v>
      </c>
      <c r="AJ192" s="19">
        <f t="shared" si="109"/>
        <v>2.9362392147245874E-4</v>
      </c>
      <c r="AK192" s="19">
        <f t="shared" si="110"/>
        <v>3.1585090956992286E-4</v>
      </c>
      <c r="AL192" s="19">
        <f t="shared" si="111"/>
        <v>3.0781093591782999E-4</v>
      </c>
      <c r="AM192" s="19">
        <f t="shared" si="112"/>
        <v>3.1239009580929594E-4</v>
      </c>
      <c r="AN192" s="19">
        <f t="shared" si="113"/>
        <v>2.9902552361817304E-4</v>
      </c>
      <c r="AO192" s="24"/>
    </row>
    <row r="193" spans="1:41">
      <c r="A193" s="12" t="s">
        <v>399</v>
      </c>
      <c r="B193" s="12">
        <v>2478.36</v>
      </c>
      <c r="C193" s="19">
        <v>43389</v>
      </c>
      <c r="D193" s="19">
        <v>25131</v>
      </c>
      <c r="E193" s="19">
        <v>30593</v>
      </c>
      <c r="F193" s="19">
        <v>32059</v>
      </c>
      <c r="G193" s="19">
        <v>6747</v>
      </c>
      <c r="H193" s="19">
        <v>44768</v>
      </c>
      <c r="I193" s="19">
        <v>37007</v>
      </c>
      <c r="J193" s="19">
        <v>27899</v>
      </c>
      <c r="K193" s="19">
        <v>26825</v>
      </c>
      <c r="L193" s="19">
        <v>13874</v>
      </c>
      <c r="M193" s="19">
        <v>27935</v>
      </c>
      <c r="N193" s="19">
        <v>19182</v>
      </c>
      <c r="O193" s="24"/>
      <c r="P193" s="22">
        <f t="shared" si="100"/>
        <v>16.507141819590373</v>
      </c>
      <c r="Q193" s="22">
        <f t="shared" si="101"/>
        <v>9.1401733404348029</v>
      </c>
      <c r="R193" s="22">
        <f t="shared" si="90"/>
        <v>11.344050097645216</v>
      </c>
      <c r="S193" s="22">
        <f t="shared" si="91"/>
        <v>11.935570296486386</v>
      </c>
      <c r="T193" s="22">
        <f t="shared" si="92"/>
        <v>1.7223647896189411</v>
      </c>
      <c r="U193" s="22">
        <f t="shared" si="93"/>
        <v>17.063558159428009</v>
      </c>
      <c r="V193" s="22">
        <f t="shared" si="94"/>
        <v>13.932051840733386</v>
      </c>
      <c r="W193" s="22">
        <f t="shared" si="95"/>
        <v>10.257040946432317</v>
      </c>
      <c r="X193" s="22">
        <f t="shared" si="96"/>
        <v>9.8236898594231654</v>
      </c>
      <c r="Y193" s="22">
        <f t="shared" si="97"/>
        <v>4.5980567794832066</v>
      </c>
      <c r="Z193" s="22">
        <f t="shared" si="98"/>
        <v>10.2715666811924</v>
      </c>
      <c r="AA193" s="22">
        <f t="shared" si="99"/>
        <v>6.7397956713310405</v>
      </c>
      <c r="AB193" s="24"/>
      <c r="AC193" s="19">
        <f t="shared" si="102"/>
        <v>3.80590109809125E-4</v>
      </c>
      <c r="AD193" s="19">
        <f t="shared" si="103"/>
        <v>3.6383346629198054E-4</v>
      </c>
      <c r="AE193" s="19">
        <f t="shared" si="104"/>
        <v>3.709429638548215E-4</v>
      </c>
      <c r="AF193" s="19">
        <f t="shared" si="105"/>
        <v>3.7243880239538088E-4</v>
      </c>
      <c r="AG193" s="19">
        <f t="shared" si="106"/>
        <v>2.5534379498750188E-4</v>
      </c>
      <c r="AH193" s="19">
        <f t="shared" si="107"/>
        <v>3.8130058309738906E-4</v>
      </c>
      <c r="AI193" s="19">
        <f t="shared" si="108"/>
        <v>3.7661250103011878E-4</v>
      </c>
      <c r="AJ193" s="19">
        <f t="shared" si="109"/>
        <v>3.6778426914012475E-4</v>
      </c>
      <c r="AK193" s="19">
        <f t="shared" si="110"/>
        <v>3.6634813606309141E-4</v>
      </c>
      <c r="AL193" s="19">
        <f t="shared" si="111"/>
        <v>3.3152523795236722E-4</v>
      </c>
      <c r="AM193" s="19">
        <f t="shared" si="112"/>
        <v>3.6783049495789285E-4</v>
      </c>
      <c r="AN193" s="19">
        <f t="shared" si="113"/>
        <v>3.5148392248724651E-4</v>
      </c>
      <c r="AO193" s="24"/>
    </row>
    <row r="194" spans="1:41">
      <c r="A194" s="12" t="s">
        <v>395</v>
      </c>
      <c r="B194" s="12">
        <v>1591.32</v>
      </c>
      <c r="C194" s="19">
        <v>25596</v>
      </c>
      <c r="D194" s="19">
        <v>15816</v>
      </c>
      <c r="E194" s="19">
        <v>7629</v>
      </c>
      <c r="F194" s="19">
        <v>36611</v>
      </c>
      <c r="G194" s="19">
        <v>45775</v>
      </c>
      <c r="H194" s="19">
        <v>4539</v>
      </c>
      <c r="I194" s="19">
        <v>27410</v>
      </c>
      <c r="J194" s="19">
        <v>32547</v>
      </c>
      <c r="K194" s="19">
        <v>17773</v>
      </c>
      <c r="L194" s="19">
        <v>18612</v>
      </c>
      <c r="M194" s="19">
        <v>37722</v>
      </c>
      <c r="N194" s="19">
        <v>14410</v>
      </c>
      <c r="O194" s="24"/>
      <c r="P194" s="22">
        <f t="shared" si="100"/>
        <v>15.084759822034538</v>
      </c>
      <c r="Q194" s="22">
        <f t="shared" si="101"/>
        <v>8.9389186335872104</v>
      </c>
      <c r="R194" s="22">
        <f t="shared" si="90"/>
        <v>3.7941331724605991</v>
      </c>
      <c r="S194" s="22">
        <f t="shared" si="91"/>
        <v>22.006686273031196</v>
      </c>
      <c r="T194" s="22">
        <f t="shared" si="92"/>
        <v>27.765427443883066</v>
      </c>
      <c r="U194" s="22">
        <f t="shared" si="93"/>
        <v>1.8523489932885908</v>
      </c>
      <c r="V194" s="22">
        <f t="shared" si="94"/>
        <v>16.224693964758817</v>
      </c>
      <c r="W194" s="22">
        <f t="shared" si="95"/>
        <v>19.452831611492346</v>
      </c>
      <c r="X194" s="22">
        <f t="shared" si="96"/>
        <v>10.16871528039615</v>
      </c>
      <c r="Y194" s="22">
        <f t="shared" si="97"/>
        <v>10.695950531634116</v>
      </c>
      <c r="Z194" s="22">
        <f t="shared" si="98"/>
        <v>22.704848804765856</v>
      </c>
      <c r="AA194" s="22">
        <f t="shared" si="99"/>
        <v>8.0553754116079741</v>
      </c>
      <c r="AB194" s="24"/>
      <c r="AC194" s="19">
        <f t="shared" si="102"/>
        <v>5.8968804205809149E-4</v>
      </c>
      <c r="AD194" s="19">
        <f t="shared" si="103"/>
        <v>5.65501619028001E-4</v>
      </c>
      <c r="AE194" s="19">
        <f t="shared" si="104"/>
        <v>4.9757780166519562E-4</v>
      </c>
      <c r="AF194" s="19">
        <f t="shared" si="105"/>
        <v>6.0145645670920994E-4</v>
      </c>
      <c r="AG194" s="19">
        <f t="shared" si="106"/>
        <v>6.0693127580961181E-4</v>
      </c>
      <c r="AH194" s="19">
        <f t="shared" si="107"/>
        <v>4.08262885797333E-4</v>
      </c>
      <c r="AI194" s="19">
        <f t="shared" si="108"/>
        <v>5.9227666809343667E-4</v>
      </c>
      <c r="AJ194" s="19">
        <f t="shared" si="109"/>
        <v>5.980417616732361E-4</v>
      </c>
      <c r="AK194" s="19">
        <f t="shared" si="110"/>
        <v>5.7247153437435061E-4</v>
      </c>
      <c r="AL194" s="19">
        <f t="shared" si="111"/>
        <v>5.7501078973760499E-4</v>
      </c>
      <c r="AM194" s="19">
        <f t="shared" si="112"/>
        <v>6.0226189146791011E-4</v>
      </c>
      <c r="AN194" s="19">
        <f t="shared" si="113"/>
        <v>5.5932553704275874E-4</v>
      </c>
      <c r="AO194" s="24"/>
    </row>
    <row r="195" spans="1:41">
      <c r="A195" s="12" t="s">
        <v>398</v>
      </c>
      <c r="B195" s="12">
        <v>413.51</v>
      </c>
      <c r="C195" s="19">
        <v>48982</v>
      </c>
      <c r="D195" s="19">
        <v>5282</v>
      </c>
      <c r="E195" s="19">
        <v>7389</v>
      </c>
      <c r="F195" s="19">
        <v>31678</v>
      </c>
      <c r="G195" s="19">
        <v>30777</v>
      </c>
      <c r="H195" s="19">
        <v>8174</v>
      </c>
      <c r="I195" s="19">
        <v>32939</v>
      </c>
      <c r="J195" s="19">
        <v>26790</v>
      </c>
      <c r="K195" s="19">
        <v>34363</v>
      </c>
      <c r="L195" s="19">
        <v>33894</v>
      </c>
      <c r="M195" s="19">
        <v>36980</v>
      </c>
      <c r="N195" s="19">
        <v>12734</v>
      </c>
      <c r="O195" s="24"/>
      <c r="P195" s="22">
        <f t="shared" si="100"/>
        <v>117.45420908805107</v>
      </c>
      <c r="Q195" s="22">
        <f t="shared" si="101"/>
        <v>11.773572585910861</v>
      </c>
      <c r="R195" s="22">
        <f t="shared" si="90"/>
        <v>16.868975357306958</v>
      </c>
      <c r="S195" s="22">
        <f t="shared" si="91"/>
        <v>75.607579018645268</v>
      </c>
      <c r="T195" s="22">
        <f t="shared" si="92"/>
        <v>73.428671616164067</v>
      </c>
      <c r="U195" s="22">
        <f t="shared" si="93"/>
        <v>18.767357500423206</v>
      </c>
      <c r="V195" s="22">
        <f t="shared" si="94"/>
        <v>78.657082053638376</v>
      </c>
      <c r="W195" s="22">
        <f t="shared" si="95"/>
        <v>63.786824986094658</v>
      </c>
      <c r="X195" s="22">
        <f t="shared" si="96"/>
        <v>82.100771444463248</v>
      </c>
      <c r="Y195" s="22">
        <f t="shared" si="97"/>
        <v>80.966578800996345</v>
      </c>
      <c r="Z195" s="22">
        <f t="shared" si="98"/>
        <v>88.429518028584553</v>
      </c>
      <c r="AA195" s="22">
        <f t="shared" si="99"/>
        <v>29.794902178907403</v>
      </c>
      <c r="AB195" s="24"/>
      <c r="AC195" s="19">
        <f t="shared" si="102"/>
        <v>2.4036693104777765E-3</v>
      </c>
      <c r="AD195" s="19">
        <f t="shared" si="103"/>
        <v>2.2339785108033265E-3</v>
      </c>
      <c r="AE195" s="19">
        <f t="shared" si="104"/>
        <v>2.2882088368911691E-3</v>
      </c>
      <c r="AF195" s="19">
        <f t="shared" si="105"/>
        <v>2.392463773358125E-3</v>
      </c>
      <c r="AG195" s="19">
        <f t="shared" si="106"/>
        <v>2.3915352006065537E-3</v>
      </c>
      <c r="AH195" s="19">
        <f t="shared" si="107"/>
        <v>2.3012657422696176E-3</v>
      </c>
      <c r="AI195" s="19">
        <f t="shared" si="108"/>
        <v>2.3936780650782728E-3</v>
      </c>
      <c r="AJ195" s="19">
        <f t="shared" si="109"/>
        <v>2.3866765025180739E-3</v>
      </c>
      <c r="AK195" s="19">
        <f t="shared" si="110"/>
        <v>2.3949421774815752E-3</v>
      </c>
      <c r="AL195" s="19">
        <f t="shared" si="111"/>
        <v>2.3945375675828756E-3</v>
      </c>
      <c r="AM195" s="19">
        <f t="shared" si="112"/>
        <v>2.3970114818451351E-3</v>
      </c>
      <c r="AN195" s="19">
        <f t="shared" si="113"/>
        <v>2.3452787442811004E-3</v>
      </c>
      <c r="AO195" s="24"/>
    </row>
    <row r="196" spans="1:41">
      <c r="A196" s="12" t="s">
        <v>396</v>
      </c>
      <c r="B196" s="12">
        <v>2585.2800000000002</v>
      </c>
      <c r="C196" s="19">
        <v>34179</v>
      </c>
      <c r="D196" s="19">
        <v>10775</v>
      </c>
      <c r="E196" s="19">
        <v>24409</v>
      </c>
      <c r="F196" s="19">
        <v>28843</v>
      </c>
      <c r="G196" s="19">
        <v>14914</v>
      </c>
      <c r="H196" s="19">
        <v>33379</v>
      </c>
      <c r="I196" s="19">
        <v>13618</v>
      </c>
      <c r="J196" s="19">
        <v>29147</v>
      </c>
      <c r="K196" s="19">
        <v>35706</v>
      </c>
      <c r="L196" s="19">
        <v>23830</v>
      </c>
      <c r="M196" s="19">
        <v>23216</v>
      </c>
      <c r="N196" s="19">
        <v>16156</v>
      </c>
      <c r="O196" s="24"/>
      <c r="P196" s="22">
        <f t="shared" si="100"/>
        <v>12.22061826958782</v>
      </c>
      <c r="Q196" s="22">
        <f t="shared" si="101"/>
        <v>3.1678270825597221</v>
      </c>
      <c r="R196" s="22">
        <f t="shared" si="90"/>
        <v>8.441530511201881</v>
      </c>
      <c r="S196" s="22">
        <f t="shared" si="91"/>
        <v>10.156625201138754</v>
      </c>
      <c r="T196" s="22">
        <f t="shared" si="92"/>
        <v>4.7688142096794151</v>
      </c>
      <c r="U196" s="22">
        <f t="shared" si="93"/>
        <v>11.911174031439534</v>
      </c>
      <c r="V196" s="22">
        <f t="shared" si="94"/>
        <v>4.2675145438791926</v>
      </c>
      <c r="W196" s="22">
        <f t="shared" si="95"/>
        <v>10.274214011635102</v>
      </c>
      <c r="X196" s="22">
        <f t="shared" si="96"/>
        <v>12.811269959153361</v>
      </c>
      <c r="Y196" s="22">
        <f t="shared" si="97"/>
        <v>8.2175702438420597</v>
      </c>
      <c r="Z196" s="22">
        <f t="shared" si="98"/>
        <v>7.9800717910632502</v>
      </c>
      <c r="AA196" s="22">
        <f t="shared" si="99"/>
        <v>5.2492263894046287</v>
      </c>
      <c r="AB196" s="24"/>
      <c r="AC196" s="19">
        <f t="shared" si="102"/>
        <v>3.5767545231735843E-4</v>
      </c>
      <c r="AD196" s="19">
        <f t="shared" si="103"/>
        <v>2.9408433325987744E-4</v>
      </c>
      <c r="AE196" s="19">
        <f t="shared" si="104"/>
        <v>3.4595644692958272E-4</v>
      </c>
      <c r="AF196" s="19">
        <f t="shared" si="105"/>
        <v>3.5225888300756625E-4</v>
      </c>
      <c r="AG196" s="19">
        <f t="shared" si="106"/>
        <v>3.1985648020700576E-4</v>
      </c>
      <c r="AH196" s="19">
        <f t="shared" si="107"/>
        <v>3.5697372622359072E-4</v>
      </c>
      <c r="AI196" s="19">
        <f t="shared" si="108"/>
        <v>3.1347130909456912E-4</v>
      </c>
      <c r="AJ196" s="19">
        <f t="shared" si="109"/>
        <v>3.5262074699470507E-4</v>
      </c>
      <c r="AK196" s="19">
        <f t="shared" si="110"/>
        <v>3.5892758296405365E-4</v>
      </c>
      <c r="AL196" s="19">
        <f t="shared" si="111"/>
        <v>3.4496034325195437E-4</v>
      </c>
      <c r="AM196" s="19">
        <f t="shared" si="112"/>
        <v>3.4384974744715784E-4</v>
      </c>
      <c r="AN196" s="19">
        <f t="shared" si="113"/>
        <v>3.2501438867978604E-4</v>
      </c>
      <c r="AO196" s="24"/>
    </row>
    <row r="197" spans="1:41">
      <c r="A197" s="12" t="s">
        <v>396</v>
      </c>
      <c r="B197" s="12">
        <v>2409.35</v>
      </c>
      <c r="C197" s="19">
        <v>28478</v>
      </c>
      <c r="D197" s="19">
        <v>13280</v>
      </c>
      <c r="E197" s="19">
        <v>38909</v>
      </c>
      <c r="F197" s="19">
        <v>21560</v>
      </c>
      <c r="G197" s="19">
        <v>37619</v>
      </c>
      <c r="H197" s="19">
        <v>42558</v>
      </c>
      <c r="I197" s="19">
        <v>30311</v>
      </c>
      <c r="J197" s="19">
        <v>39326</v>
      </c>
      <c r="K197" s="19">
        <v>19973</v>
      </c>
      <c r="L197" s="19">
        <v>18937</v>
      </c>
      <c r="M197" s="19">
        <v>42559</v>
      </c>
      <c r="N197" s="19">
        <v>8120</v>
      </c>
      <c r="O197" s="24"/>
      <c r="P197" s="22">
        <f t="shared" ref="P197:P204" si="114">(C197-B197)/B197</f>
        <v>10.819785419303964</v>
      </c>
      <c r="Q197" s="22">
        <f t="shared" ref="Q197:Q204" si="115">(D197-B197)/B197</f>
        <v>4.5118600452404172</v>
      </c>
      <c r="R197" s="22">
        <f t="shared" si="90"/>
        <v>15.149168862971342</v>
      </c>
      <c r="S197" s="22">
        <f t="shared" si="91"/>
        <v>7.9484715794716427</v>
      </c>
      <c r="T197" s="22">
        <f t="shared" si="92"/>
        <v>14.613754747130971</v>
      </c>
      <c r="U197" s="22">
        <f t="shared" si="93"/>
        <v>16.663685226305851</v>
      </c>
      <c r="V197" s="22">
        <f t="shared" si="94"/>
        <v>11.580571523439932</v>
      </c>
      <c r="W197" s="22">
        <f t="shared" si="95"/>
        <v>15.322244588789509</v>
      </c>
      <c r="X197" s="22">
        <f t="shared" si="96"/>
        <v>7.2897877020773247</v>
      </c>
      <c r="Y197" s="22">
        <f t="shared" si="97"/>
        <v>6.8597962105962198</v>
      </c>
      <c r="Z197" s="22">
        <f t="shared" si="98"/>
        <v>16.664100276008053</v>
      </c>
      <c r="AA197" s="22">
        <f t="shared" si="99"/>
        <v>2.37020358187893</v>
      </c>
      <c r="AB197" s="24"/>
      <c r="AC197" s="19">
        <f t="shared" ref="AC197:AC204" si="116">P197 /(C197 - P197)</f>
        <v>3.800792820977099E-4</v>
      </c>
      <c r="AD197" s="19">
        <f t="shared" ref="AD197:AD204" si="117">Q197 / (D197 - Q197)</f>
        <v>3.3986396565420702E-4</v>
      </c>
      <c r="AE197" s="19">
        <f t="shared" ref="AE197:AE204" si="118">R197 / (E197 - R197)</f>
        <v>3.8950035903473606E-4</v>
      </c>
      <c r="AF197" s="19">
        <f t="shared" ref="AF197:AF204" si="119">S197 / (F197 - S197)</f>
        <v>3.6880347882381649E-4</v>
      </c>
      <c r="AG197" s="19">
        <f t="shared" ref="AG197:AG204" si="120">T197 / (G197 - T197)</f>
        <v>3.886183556306757E-4</v>
      </c>
      <c r="AH197" s="19">
        <f t="shared" ref="AH197:AH204" si="121">U197 / (H197 - U197)</f>
        <v>3.9170573070406605E-4</v>
      </c>
      <c r="AI197" s="19">
        <f t="shared" ref="AI197:AI204" si="122">V197 / (I197 - V197)</f>
        <v>3.8220440331460825E-4</v>
      </c>
      <c r="AJ197" s="19">
        <f t="shared" ref="AJ197:AJ204" si="123">W197 / (J197 - W197)</f>
        <v>3.8977309636134078E-4</v>
      </c>
      <c r="AK197" s="19">
        <f t="shared" ref="AK197:AK204" si="124">X197 / (K197 - X197)</f>
        <v>3.651153715326973E-4</v>
      </c>
      <c r="AL197" s="19">
        <f t="shared" ref="AL197:AL204" si="125">Y197 / (L197 - Y197)</f>
        <v>3.623742949998351E-4</v>
      </c>
      <c r="AM197" s="19">
        <f t="shared" ref="AM197:AM204" si="126">Z197 / (M197 - Z197)</f>
        <v>3.9170628324892163E-4</v>
      </c>
      <c r="AN197" s="19">
        <f t="shared" ref="AN197:AN204" si="127">AA197 / (N197 - AA197)</f>
        <v>2.9198222157467379E-4</v>
      </c>
      <c r="AO197" s="24"/>
    </row>
    <row r="198" spans="1:41">
      <c r="A198" s="12" t="s">
        <v>398</v>
      </c>
      <c r="B198" s="12">
        <v>594.53</v>
      </c>
      <c r="C198" s="19">
        <v>16010</v>
      </c>
      <c r="D198" s="19">
        <v>45409</v>
      </c>
      <c r="E198" s="19">
        <v>22889</v>
      </c>
      <c r="F198" s="19">
        <v>6444</v>
      </c>
      <c r="G198" s="19">
        <v>49654</v>
      </c>
      <c r="H198" s="19">
        <v>41514</v>
      </c>
      <c r="I198" s="19">
        <v>35601</v>
      </c>
      <c r="J198" s="19">
        <v>14215</v>
      </c>
      <c r="K198" s="19">
        <v>32546</v>
      </c>
      <c r="L198" s="19">
        <v>18389</v>
      </c>
      <c r="M198" s="19">
        <v>10213</v>
      </c>
      <c r="N198" s="19">
        <v>1461</v>
      </c>
      <c r="O198" s="24"/>
      <c r="P198" s="22">
        <f t="shared" si="114"/>
        <v>25.928834541570652</v>
      </c>
      <c r="Q198" s="22">
        <f t="shared" si="115"/>
        <v>75.377979244108801</v>
      </c>
      <c r="R198" s="22">
        <f t="shared" ref="R198:R204" si="128">(E198-B198)/B198</f>
        <v>37.499318789632149</v>
      </c>
      <c r="S198" s="22">
        <f t="shared" ref="S198:S204" si="129">(F198-B198)/B198</f>
        <v>9.8388138529594809</v>
      </c>
      <c r="T198" s="22">
        <f t="shared" ref="T198:T204" si="130">(G198-B198)/B198</f>
        <v>82.518073099759476</v>
      </c>
      <c r="U198" s="22">
        <f t="shared" ref="U198:U204" si="131">(H198-B198)/B198</f>
        <v>68.826585706356283</v>
      </c>
      <c r="V198" s="22">
        <f t="shared" ref="V198:V204" si="132">(I198-B198)/B198</f>
        <v>58.880914335693745</v>
      </c>
      <c r="W198" s="22">
        <f t="shared" ref="W198:W204" si="133">(J198-B198)/B198</f>
        <v>22.909642911207172</v>
      </c>
      <c r="X198" s="22">
        <f t="shared" ref="X198:X204" si="134">(K198-B198)/B198</f>
        <v>53.742401560896845</v>
      </c>
      <c r="Y198" s="22">
        <f t="shared" ref="Y198:Y204" si="135">(L198-B198)/B198</f>
        <v>29.930314702369941</v>
      </c>
      <c r="Z198" s="22">
        <f t="shared" ref="Z198:Z204" si="136">(M198-B198)/B198</f>
        <v>16.17827527626865</v>
      </c>
      <c r="AA198" s="22">
        <f t="shared" ref="AA198:AA204" si="137">(N198-B198)/B198</f>
        <v>1.4574033269977966</v>
      </c>
      <c r="AB198" s="24"/>
      <c r="AC198" s="19">
        <f t="shared" si="116"/>
        <v>1.6221671108173524E-3</v>
      </c>
      <c r="AD198" s="19">
        <f t="shared" si="117"/>
        <v>1.662738953653365E-3</v>
      </c>
      <c r="AE198" s="19">
        <f t="shared" si="118"/>
        <v>1.641000270081428E-3</v>
      </c>
      <c r="AF198" s="19">
        <f t="shared" si="119"/>
        <v>1.529152529492542E-3</v>
      </c>
      <c r="AG198" s="19">
        <f t="shared" si="120"/>
        <v>1.6646279250122757E-3</v>
      </c>
      <c r="AH198" s="19">
        <f t="shared" si="121"/>
        <v>1.6606658878792222E-3</v>
      </c>
      <c r="AI198" s="19">
        <f t="shared" si="122"/>
        <v>1.6566517655792503E-3</v>
      </c>
      <c r="AJ198" s="19">
        <f t="shared" si="123"/>
        <v>1.614254301852303E-3</v>
      </c>
      <c r="AK198" s="19">
        <f t="shared" si="124"/>
        <v>1.6540063859237215E-3</v>
      </c>
      <c r="AL198" s="19">
        <f t="shared" si="125"/>
        <v>1.6302740397754923E-3</v>
      </c>
      <c r="AM198" s="19">
        <f t="shared" si="126"/>
        <v>1.58659979678197E-3</v>
      </c>
      <c r="AN198" s="19">
        <f t="shared" si="127"/>
        <v>9.9853428760484134E-4</v>
      </c>
      <c r="AO198" s="24"/>
    </row>
    <row r="199" spans="1:41">
      <c r="A199" s="12" t="s">
        <v>399</v>
      </c>
      <c r="B199" s="12">
        <v>921.07</v>
      </c>
      <c r="C199" s="19">
        <v>46914</v>
      </c>
      <c r="D199" s="19">
        <v>44531</v>
      </c>
      <c r="E199" s="19">
        <v>35209</v>
      </c>
      <c r="F199" s="19">
        <v>23479</v>
      </c>
      <c r="G199" s="19">
        <v>18457</v>
      </c>
      <c r="H199" s="19">
        <v>25427</v>
      </c>
      <c r="I199" s="19">
        <v>1720</v>
      </c>
      <c r="J199" s="19">
        <v>24035</v>
      </c>
      <c r="K199" s="19">
        <v>43798</v>
      </c>
      <c r="L199" s="19">
        <v>19633</v>
      </c>
      <c r="M199" s="19">
        <v>17847</v>
      </c>
      <c r="N199" s="19">
        <v>16288</v>
      </c>
      <c r="O199" s="24"/>
      <c r="P199" s="22">
        <f t="shared" si="114"/>
        <v>49.934239525768938</v>
      </c>
      <c r="Q199" s="22">
        <f t="shared" si="115"/>
        <v>47.347031170269361</v>
      </c>
      <c r="R199" s="22">
        <f t="shared" si="128"/>
        <v>37.226193448923532</v>
      </c>
      <c r="S199" s="22">
        <f t="shared" si="129"/>
        <v>24.491005026762352</v>
      </c>
      <c r="T199" s="22">
        <f t="shared" si="130"/>
        <v>19.038650699729661</v>
      </c>
      <c r="U199" s="22">
        <f t="shared" si="131"/>
        <v>26.605936573767465</v>
      </c>
      <c r="V199" s="22">
        <f t="shared" si="132"/>
        <v>0.86739335772525428</v>
      </c>
      <c r="W199" s="22">
        <f t="shared" si="133"/>
        <v>25.094650786585166</v>
      </c>
      <c r="X199" s="22">
        <f t="shared" si="134"/>
        <v>46.551217605610866</v>
      </c>
      <c r="Y199" s="22">
        <f t="shared" si="135"/>
        <v>20.315426623383672</v>
      </c>
      <c r="Z199" s="22">
        <f t="shared" si="136"/>
        <v>18.376377474024775</v>
      </c>
      <c r="AA199" s="22">
        <f t="shared" si="137"/>
        <v>16.683780820133105</v>
      </c>
      <c r="AB199" s="24"/>
      <c r="AC199" s="19">
        <f t="shared" si="116"/>
        <v>1.0655123219779222E-3</v>
      </c>
      <c r="AD199" s="19">
        <f t="shared" si="117"/>
        <v>1.0643692235313056E-3</v>
      </c>
      <c r="AE199" s="19">
        <f t="shared" si="118"/>
        <v>1.058411033053721E-3</v>
      </c>
      <c r="AF199" s="19">
        <f t="shared" si="119"/>
        <v>1.044191759972944E-3</v>
      </c>
      <c r="AG199" s="19">
        <f t="shared" si="120"/>
        <v>1.0325789461779183E-3</v>
      </c>
      <c r="AH199" s="19">
        <f t="shared" si="121"/>
        <v>1.0474615672233637E-3</v>
      </c>
      <c r="AI199" s="19">
        <f t="shared" si="122"/>
        <v>5.0455290905068934E-4</v>
      </c>
      <c r="AJ199" s="19">
        <f t="shared" si="123"/>
        <v>1.0451790801169188E-3</v>
      </c>
      <c r="AK199" s="19">
        <f t="shared" si="124"/>
        <v>1.0639925968427154E-3</v>
      </c>
      <c r="AL199" s="19">
        <f t="shared" si="125"/>
        <v>1.0358309974026197E-3</v>
      </c>
      <c r="AM199" s="19">
        <f t="shared" si="126"/>
        <v>1.0307232831370521E-3</v>
      </c>
      <c r="AN199" s="19">
        <f t="shared" si="127"/>
        <v>1.0253491847492364E-3</v>
      </c>
      <c r="AO199" s="24"/>
    </row>
    <row r="200" spans="1:41">
      <c r="A200" s="12" t="s">
        <v>396</v>
      </c>
      <c r="B200" s="12">
        <v>2390.5500000000002</v>
      </c>
      <c r="C200" s="19">
        <v>46404</v>
      </c>
      <c r="D200" s="19">
        <v>5568</v>
      </c>
      <c r="E200" s="19">
        <v>25515</v>
      </c>
      <c r="F200" s="19">
        <v>1140</v>
      </c>
      <c r="G200" s="19">
        <v>14658</v>
      </c>
      <c r="H200" s="19">
        <v>43280</v>
      </c>
      <c r="I200" s="19">
        <v>17997</v>
      </c>
      <c r="J200" s="19">
        <v>8692</v>
      </c>
      <c r="K200" s="19">
        <v>39785</v>
      </c>
      <c r="L200" s="19">
        <v>13658</v>
      </c>
      <c r="M200" s="19">
        <v>46823</v>
      </c>
      <c r="N200" s="19">
        <v>9681</v>
      </c>
      <c r="O200" s="24"/>
      <c r="P200" s="22">
        <f t="shared" si="114"/>
        <v>18.411432515529896</v>
      </c>
      <c r="Q200" s="22">
        <f t="shared" si="115"/>
        <v>1.3291711112505489</v>
      </c>
      <c r="R200" s="22">
        <f t="shared" si="128"/>
        <v>9.6732760243458618</v>
      </c>
      <c r="S200" s="22">
        <f t="shared" si="129"/>
        <v>-0.52312229403275401</v>
      </c>
      <c r="T200" s="22">
        <f t="shared" si="130"/>
        <v>5.1316433456735897</v>
      </c>
      <c r="U200" s="22">
        <f t="shared" si="131"/>
        <v>17.104620275668776</v>
      </c>
      <c r="V200" s="22">
        <f t="shared" si="132"/>
        <v>6.5283930476250234</v>
      </c>
      <c r="W200" s="22">
        <f t="shared" si="133"/>
        <v>2.6359833511116686</v>
      </c>
      <c r="X200" s="22">
        <f t="shared" si="134"/>
        <v>15.64261362447972</v>
      </c>
      <c r="Y200" s="22">
        <f t="shared" si="135"/>
        <v>4.713329568509339</v>
      </c>
      <c r="Z200" s="22">
        <f t="shared" si="136"/>
        <v>18.586705988161718</v>
      </c>
      <c r="AA200" s="22">
        <f t="shared" si="137"/>
        <v>3.0496956767271128</v>
      </c>
      <c r="AB200" s="24"/>
      <c r="AC200" s="19">
        <f t="shared" si="116"/>
        <v>3.9692139485831608E-4</v>
      </c>
      <c r="AD200" s="19">
        <f t="shared" si="117"/>
        <v>2.3877307498634432E-4</v>
      </c>
      <c r="AE200" s="19">
        <f t="shared" si="118"/>
        <v>3.79264932734727E-4</v>
      </c>
      <c r="AF200" s="19">
        <f t="shared" si="119"/>
        <v>-4.5866873174877244E-4</v>
      </c>
      <c r="AG200" s="19">
        <f t="shared" si="120"/>
        <v>3.502142529891187E-4</v>
      </c>
      <c r="AH200" s="19">
        <f t="shared" si="121"/>
        <v>3.9536466816516072E-4</v>
      </c>
      <c r="AI200" s="19">
        <f t="shared" si="122"/>
        <v>3.628805953648342E-4</v>
      </c>
      <c r="AJ200" s="19">
        <f t="shared" si="123"/>
        <v>3.0335745470682371E-4</v>
      </c>
      <c r="AK200" s="19">
        <f t="shared" si="124"/>
        <v>3.9333332627191709E-4</v>
      </c>
      <c r="AL200" s="19">
        <f t="shared" si="125"/>
        <v>3.4521574784750209E-4</v>
      </c>
      <c r="AM200" s="19">
        <f t="shared" si="126"/>
        <v>3.9711438900869001E-4</v>
      </c>
      <c r="AN200" s="19">
        <f t="shared" si="127"/>
        <v>3.1511793105248452E-4</v>
      </c>
      <c r="AO200" s="24"/>
    </row>
    <row r="201" spans="1:41">
      <c r="A201" s="12" t="s">
        <v>395</v>
      </c>
      <c r="B201" s="12">
        <v>596.41999999999996</v>
      </c>
      <c r="C201" s="19">
        <v>27897</v>
      </c>
      <c r="D201" s="19">
        <v>10499</v>
      </c>
      <c r="E201" s="19">
        <v>47696</v>
      </c>
      <c r="F201" s="19">
        <v>14730</v>
      </c>
      <c r="G201" s="19">
        <v>5722</v>
      </c>
      <c r="H201" s="19">
        <v>27887</v>
      </c>
      <c r="I201" s="19">
        <v>21485</v>
      </c>
      <c r="J201" s="19">
        <v>36023</v>
      </c>
      <c r="K201" s="19">
        <v>5038</v>
      </c>
      <c r="L201" s="19">
        <v>27367</v>
      </c>
      <c r="M201" s="19">
        <v>2878</v>
      </c>
      <c r="N201" s="19">
        <v>20903</v>
      </c>
      <c r="O201" s="24"/>
      <c r="P201" s="22">
        <f t="shared" si="114"/>
        <v>45.774085376077267</v>
      </c>
      <c r="Q201" s="22">
        <f t="shared" si="115"/>
        <v>16.603366754971329</v>
      </c>
      <c r="R201" s="22">
        <f t="shared" si="128"/>
        <v>78.970490593876804</v>
      </c>
      <c r="S201" s="22">
        <f t="shared" si="129"/>
        <v>23.697360920156939</v>
      </c>
      <c r="T201" s="22">
        <f t="shared" si="130"/>
        <v>8.5939103316454855</v>
      </c>
      <c r="U201" s="22">
        <f t="shared" si="131"/>
        <v>45.757318668052719</v>
      </c>
      <c r="V201" s="22">
        <f t="shared" si="132"/>
        <v>35.023272190738076</v>
      </c>
      <c r="W201" s="22">
        <f t="shared" si="133"/>
        <v>59.398712316823719</v>
      </c>
      <c r="X201" s="22">
        <f t="shared" si="134"/>
        <v>7.4470675027665072</v>
      </c>
      <c r="Y201" s="22">
        <f t="shared" si="135"/>
        <v>44.885449850776304</v>
      </c>
      <c r="Z201" s="22">
        <f t="shared" si="136"/>
        <v>3.8254585694644714</v>
      </c>
      <c r="AA201" s="22">
        <f t="shared" si="137"/>
        <v>34.047449783709475</v>
      </c>
      <c r="AB201" s="24"/>
      <c r="AC201" s="19">
        <f t="shared" si="116"/>
        <v>1.6435213845306012E-3</v>
      </c>
      <c r="AD201" s="19">
        <f t="shared" si="117"/>
        <v>1.5839284980224445E-3</v>
      </c>
      <c r="AE201" s="19">
        <f t="shared" si="118"/>
        <v>1.6584505881089709E-3</v>
      </c>
      <c r="AF201" s="19">
        <f t="shared" si="119"/>
        <v>1.6113744903620219E-3</v>
      </c>
      <c r="AG201" s="19">
        <f t="shared" si="120"/>
        <v>1.5041658507673724E-3</v>
      </c>
      <c r="AH201" s="19">
        <f t="shared" si="121"/>
        <v>1.6435084881729731E-3</v>
      </c>
      <c r="AI201" s="19">
        <f t="shared" si="122"/>
        <v>1.6327883538135237E-3</v>
      </c>
      <c r="AJ201" s="19">
        <f t="shared" si="123"/>
        <v>1.6516341575938506E-3</v>
      </c>
      <c r="AK201" s="19">
        <f t="shared" si="124"/>
        <v>1.4803675863658359E-3</v>
      </c>
      <c r="AL201" s="19">
        <f t="shared" si="125"/>
        <v>1.642824890745184E-3</v>
      </c>
      <c r="AM201" s="19">
        <f t="shared" si="126"/>
        <v>1.3309764296918663E-3</v>
      </c>
      <c r="AN201" s="19">
        <f t="shared" si="127"/>
        <v>1.6314881976842006E-3</v>
      </c>
      <c r="AO201" s="24"/>
    </row>
    <row r="202" spans="1:41">
      <c r="A202" s="12" t="s">
        <v>399</v>
      </c>
      <c r="B202" s="12">
        <v>2757.37</v>
      </c>
      <c r="C202" s="19">
        <v>23754</v>
      </c>
      <c r="D202" s="19">
        <v>45938</v>
      </c>
      <c r="E202" s="19">
        <v>4024</v>
      </c>
      <c r="F202" s="19">
        <v>34929</v>
      </c>
      <c r="G202" s="19">
        <v>34015</v>
      </c>
      <c r="H202" s="19">
        <v>28900</v>
      </c>
      <c r="I202" s="19">
        <v>27941</v>
      </c>
      <c r="J202" s="19">
        <v>6713</v>
      </c>
      <c r="K202" s="19">
        <v>35325</v>
      </c>
      <c r="L202" s="19">
        <v>26893</v>
      </c>
      <c r="M202" s="19">
        <v>31169</v>
      </c>
      <c r="N202" s="19">
        <v>22685</v>
      </c>
      <c r="O202" s="24"/>
      <c r="P202" s="22">
        <f t="shared" si="114"/>
        <v>7.6147307035327145</v>
      </c>
      <c r="Q202" s="22">
        <f t="shared" si="115"/>
        <v>15.660078262982479</v>
      </c>
      <c r="R202" s="22">
        <f t="shared" si="128"/>
        <v>0.45936163808266578</v>
      </c>
      <c r="S202" s="22">
        <f t="shared" si="129"/>
        <v>11.667505630365168</v>
      </c>
      <c r="T202" s="22">
        <f t="shared" si="130"/>
        <v>11.336030347758916</v>
      </c>
      <c r="U202" s="22">
        <f t="shared" si="131"/>
        <v>9.481001824202048</v>
      </c>
      <c r="V202" s="22">
        <f t="shared" si="132"/>
        <v>9.1332066425615714</v>
      </c>
      <c r="W202" s="22">
        <f t="shared" si="133"/>
        <v>1.4345662714833338</v>
      </c>
      <c r="X202" s="22">
        <f t="shared" si="134"/>
        <v>11.811120741866345</v>
      </c>
      <c r="Y202" s="22">
        <f t="shared" si="135"/>
        <v>8.7531343272756299</v>
      </c>
      <c r="Z202" s="22">
        <f t="shared" si="136"/>
        <v>10.303887399949954</v>
      </c>
      <c r="AA202" s="22">
        <f t="shared" si="137"/>
        <v>7.227042435364134</v>
      </c>
      <c r="AB202" s="24"/>
      <c r="AC202" s="19">
        <f t="shared" si="116"/>
        <v>3.206690457169659E-4</v>
      </c>
      <c r="AD202" s="19">
        <f t="shared" si="117"/>
        <v>3.4101220211494253E-4</v>
      </c>
      <c r="AE202" s="19">
        <f t="shared" si="118"/>
        <v>1.1416850962133769E-4</v>
      </c>
      <c r="AF202" s="19">
        <f t="shared" si="119"/>
        <v>3.3414653402422811E-4</v>
      </c>
      <c r="AG202" s="19">
        <f t="shared" si="120"/>
        <v>3.3337673133919193E-4</v>
      </c>
      <c r="AH202" s="19">
        <f t="shared" si="121"/>
        <v>3.2817000708089378E-4</v>
      </c>
      <c r="AI202" s="19">
        <f t="shared" si="122"/>
        <v>3.2698160528008696E-4</v>
      </c>
      <c r="AJ202" s="19">
        <f t="shared" si="123"/>
        <v>2.1374540495038884E-4</v>
      </c>
      <c r="AK202" s="19">
        <f t="shared" si="124"/>
        <v>3.3446769087466441E-4</v>
      </c>
      <c r="AL202" s="19">
        <f t="shared" si="125"/>
        <v>3.2558599729465027E-4</v>
      </c>
      <c r="AM202" s="19">
        <f t="shared" si="126"/>
        <v>3.306905835441309E-4</v>
      </c>
      <c r="AN202" s="19">
        <f t="shared" si="127"/>
        <v>3.186839575864704E-4</v>
      </c>
      <c r="AO202" s="24"/>
    </row>
    <row r="203" spans="1:41">
      <c r="A203" s="12" t="s">
        <v>395</v>
      </c>
      <c r="B203" s="12">
        <v>1302.3599999999999</v>
      </c>
      <c r="C203" s="19">
        <v>1034</v>
      </c>
      <c r="D203" s="19">
        <v>36489</v>
      </c>
      <c r="E203" s="19">
        <v>22921</v>
      </c>
      <c r="F203" s="19">
        <v>45189</v>
      </c>
      <c r="G203" s="19">
        <v>19322</v>
      </c>
      <c r="H203" s="19">
        <v>21432</v>
      </c>
      <c r="I203" s="19">
        <v>35102</v>
      </c>
      <c r="J203" s="19">
        <v>6580</v>
      </c>
      <c r="K203" s="19">
        <v>13700</v>
      </c>
      <c r="L203" s="19">
        <v>23036</v>
      </c>
      <c r="M203" s="19">
        <v>43682</v>
      </c>
      <c r="N203" s="19">
        <v>35839</v>
      </c>
      <c r="O203" s="24"/>
      <c r="P203" s="22">
        <f t="shared" si="114"/>
        <v>-0.20605669707300586</v>
      </c>
      <c r="Q203" s="22">
        <f t="shared" si="115"/>
        <v>27.017598820602601</v>
      </c>
      <c r="R203" s="22">
        <f t="shared" si="128"/>
        <v>16.599588439448386</v>
      </c>
      <c r="S203" s="22">
        <f t="shared" si="129"/>
        <v>33.697779415829729</v>
      </c>
      <c r="T203" s="22">
        <f t="shared" si="130"/>
        <v>13.83614361620443</v>
      </c>
      <c r="U203" s="22">
        <f t="shared" si="131"/>
        <v>15.456279369759514</v>
      </c>
      <c r="V203" s="22">
        <f t="shared" si="132"/>
        <v>25.95260910961639</v>
      </c>
      <c r="W203" s="22">
        <f t="shared" si="133"/>
        <v>4.052366473171781</v>
      </c>
      <c r="X203" s="22">
        <f t="shared" si="134"/>
        <v>9.5193648453576589</v>
      </c>
      <c r="Y203" s="22">
        <f t="shared" si="135"/>
        <v>16.68788967720139</v>
      </c>
      <c r="Z203" s="22">
        <f t="shared" si="136"/>
        <v>32.540649282840384</v>
      </c>
      <c r="AA203" s="22">
        <f t="shared" si="137"/>
        <v>26.518504868085632</v>
      </c>
      <c r="AB203" s="24"/>
      <c r="AC203" s="19">
        <f t="shared" si="116"/>
        <v>-1.9924143330883766E-4</v>
      </c>
      <c r="AD203" s="19">
        <f t="shared" si="117"/>
        <v>7.4097997534354281E-4</v>
      </c>
      <c r="AE203" s="19">
        <f t="shared" si="118"/>
        <v>7.2473359446991088E-4</v>
      </c>
      <c r="AF203" s="19">
        <f t="shared" si="119"/>
        <v>7.4626406554020364E-4</v>
      </c>
      <c r="AG203" s="19">
        <f t="shared" si="120"/>
        <v>7.1659551468068934E-4</v>
      </c>
      <c r="AH203" s="19">
        <f t="shared" si="121"/>
        <v>7.216981213859782E-4</v>
      </c>
      <c r="AI203" s="19">
        <f t="shared" si="122"/>
        <v>7.3989548538346873E-4</v>
      </c>
      <c r="AJ203" s="19">
        <f t="shared" si="123"/>
        <v>6.1624068484231621E-4</v>
      </c>
      <c r="AK203" s="19">
        <f t="shared" si="124"/>
        <v>6.9532729339784284E-4</v>
      </c>
      <c r="AL203" s="19">
        <f t="shared" si="125"/>
        <v>7.2495170999127556E-4</v>
      </c>
      <c r="AM203" s="19">
        <f t="shared" si="126"/>
        <v>7.4549948079266973E-4</v>
      </c>
      <c r="AN203" s="19">
        <f t="shared" si="127"/>
        <v>7.4048219394376132E-4</v>
      </c>
      <c r="AO203" s="24"/>
    </row>
    <row r="204" spans="1:41">
      <c r="A204" s="12" t="s">
        <v>397</v>
      </c>
      <c r="B204" s="12">
        <v>306.76</v>
      </c>
      <c r="C204" s="19">
        <v>33889</v>
      </c>
      <c r="D204" s="19">
        <v>46059</v>
      </c>
      <c r="E204" s="19">
        <v>48953</v>
      </c>
      <c r="F204" s="19">
        <v>36285</v>
      </c>
      <c r="G204" s="19">
        <v>31355</v>
      </c>
      <c r="H204" s="19">
        <v>21968</v>
      </c>
      <c r="I204" s="19">
        <v>48179</v>
      </c>
      <c r="J204" s="19">
        <v>5140</v>
      </c>
      <c r="K204" s="19">
        <v>24345</v>
      </c>
      <c r="L204" s="19">
        <v>31392</v>
      </c>
      <c r="M204" s="19">
        <v>45099</v>
      </c>
      <c r="N204" s="19">
        <v>28665</v>
      </c>
      <c r="O204" s="24"/>
      <c r="P204" s="22">
        <f t="shared" si="114"/>
        <v>109.4739861781197</v>
      </c>
      <c r="Q204" s="22">
        <f t="shared" si="115"/>
        <v>149.14669448428739</v>
      </c>
      <c r="R204" s="22">
        <f t="shared" si="128"/>
        <v>158.58077976268092</v>
      </c>
      <c r="S204" s="22">
        <f t="shared" si="129"/>
        <v>117.28465249706611</v>
      </c>
      <c r="T204" s="22">
        <f t="shared" si="130"/>
        <v>101.2134567740253</v>
      </c>
      <c r="U204" s="22">
        <f t="shared" si="131"/>
        <v>70.612987351675585</v>
      </c>
      <c r="V204" s="22">
        <f t="shared" si="132"/>
        <v>156.05763463293781</v>
      </c>
      <c r="W204" s="22">
        <f t="shared" si="133"/>
        <v>15.755769983048637</v>
      </c>
      <c r="X204" s="22">
        <f t="shared" si="134"/>
        <v>78.36171599947842</v>
      </c>
      <c r="Y204" s="22">
        <f t="shared" si="135"/>
        <v>101.33407223888382</v>
      </c>
      <c r="Z204" s="22">
        <f t="shared" si="136"/>
        <v>146.01721215282305</v>
      </c>
      <c r="AA204" s="22">
        <f t="shared" si="137"/>
        <v>92.444386491067945</v>
      </c>
      <c r="AB204" s="24"/>
      <c r="AC204" s="19">
        <f t="shared" si="116"/>
        <v>3.2408384337105625E-3</v>
      </c>
      <c r="AD204" s="19">
        <f t="shared" si="117"/>
        <v>3.2486859300499787E-3</v>
      </c>
      <c r="AE204" s="19">
        <f t="shared" si="118"/>
        <v>3.2499778109237151E-3</v>
      </c>
      <c r="AF204" s="19">
        <f t="shared" si="119"/>
        <v>3.2427995899155845E-3</v>
      </c>
      <c r="AG204" s="19">
        <f t="shared" si="120"/>
        <v>3.2384382172073985E-3</v>
      </c>
      <c r="AH204" s="19">
        <f t="shared" si="121"/>
        <v>3.2247220780674997E-3</v>
      </c>
      <c r="AI204" s="19">
        <f t="shared" si="122"/>
        <v>3.2496475006804802E-3</v>
      </c>
      <c r="AJ204" s="19">
        <f t="shared" si="123"/>
        <v>3.0747500071823305E-3</v>
      </c>
      <c r="AK204" s="19">
        <f t="shared" si="124"/>
        <v>3.2291953703016156E-3</v>
      </c>
      <c r="AL204" s="19">
        <f t="shared" si="125"/>
        <v>3.2384760513831093E-3</v>
      </c>
      <c r="AM204" s="19">
        <f t="shared" si="126"/>
        <v>3.2482207652814107E-3</v>
      </c>
      <c r="AN204" s="19">
        <f t="shared" si="127"/>
        <v>3.2354259010475353E-3</v>
      </c>
      <c r="AO204" s="24"/>
    </row>
    <row r="205" spans="1:41">
      <c r="B205" s="28">
        <f>SUM(B5:B204)</f>
        <v>308619.49000000017</v>
      </c>
    </row>
    <row r="206" spans="1:41">
      <c r="B206" s="13" t="s">
        <v>490</v>
      </c>
      <c r="D206" s="21" t="s">
        <v>489</v>
      </c>
      <c r="E206" s="21"/>
      <c r="P206" s="63" t="s">
        <v>476</v>
      </c>
      <c r="Q206" s="63"/>
      <c r="AC206" s="63" t="s">
        <v>488</v>
      </c>
      <c r="AD206" s="63"/>
    </row>
    <row r="207" spans="1:41">
      <c r="C207" s="27">
        <v>5290374</v>
      </c>
      <c r="D207" s="27">
        <v>5241674</v>
      </c>
      <c r="E207" s="27">
        <v>5358484</v>
      </c>
      <c r="F207" s="27">
        <v>5284275</v>
      </c>
      <c r="G207" s="27">
        <v>5125081</v>
      </c>
      <c r="H207" s="27">
        <v>5116527</v>
      </c>
      <c r="I207" s="27">
        <v>5129855</v>
      </c>
      <c r="J207" s="27">
        <v>5219142</v>
      </c>
      <c r="K207" s="27">
        <v>5080906</v>
      </c>
      <c r="L207" s="27">
        <v>5055445</v>
      </c>
      <c r="M207" s="27">
        <v>5155607</v>
      </c>
      <c r="N207" s="27">
        <v>5368759</v>
      </c>
      <c r="P207" s="26">
        <f t="shared" ref="P207:AA207" si="138">SUM(P5:P204)</f>
        <v>6480.9271037748003</v>
      </c>
      <c r="Q207" s="26">
        <f t="shared" si="138"/>
        <v>6363.0849381701264</v>
      </c>
      <c r="R207" s="26">
        <f t="shared" si="138"/>
        <v>6104.5227034120535</v>
      </c>
      <c r="S207" s="26">
        <f t="shared" si="138"/>
        <v>6673.6190178739025</v>
      </c>
      <c r="T207" s="26">
        <f t="shared" si="138"/>
        <v>5880.2703588301247</v>
      </c>
      <c r="U207" s="26">
        <f t="shared" si="138"/>
        <v>5544.094763819603</v>
      </c>
      <c r="V207" s="26">
        <f t="shared" si="138"/>
        <v>6142.4436867983959</v>
      </c>
      <c r="W207" s="26">
        <f t="shared" si="138"/>
        <v>6085.9541105242688</v>
      </c>
      <c r="X207" s="26">
        <f t="shared" si="138"/>
        <v>5856.2607281442788</v>
      </c>
      <c r="Y207" s="26">
        <f t="shared" si="138"/>
        <v>5984.2119172496914</v>
      </c>
      <c r="Z207" s="26">
        <f t="shared" si="138"/>
        <v>5739.897257593112</v>
      </c>
      <c r="AA207" s="26">
        <f t="shared" si="138"/>
        <v>5712.0356729835657</v>
      </c>
      <c r="AC207" s="40">
        <v>0.245629331068281</v>
      </c>
      <c r="AD207" s="40">
        <v>0.28440412415079103</v>
      </c>
      <c r="AE207" s="40">
        <v>0.25631554673573198</v>
      </c>
      <c r="AF207" s="40">
        <v>0.35399826627460002</v>
      </c>
      <c r="AG207" s="40">
        <v>0.29574376500961003</v>
      </c>
      <c r="AH207" s="40">
        <v>0.22543590633633931</v>
      </c>
      <c r="AI207" s="40">
        <v>0.28249136433682898</v>
      </c>
      <c r="AJ207" s="40">
        <v>0.244595080381622</v>
      </c>
      <c r="AK207" s="40">
        <v>0.30290004357404299</v>
      </c>
      <c r="AL207" s="40">
        <v>0.28153078970268502</v>
      </c>
      <c r="AM207" s="40">
        <v>0.353687215459842</v>
      </c>
      <c r="AN207" s="40">
        <v>0.37508895374963902</v>
      </c>
    </row>
    <row r="208" spans="1:41">
      <c r="AC208" s="39" t="s">
        <v>499</v>
      </c>
    </row>
    <row r="209" spans="29:40">
      <c r="AC209" s="38">
        <v>0.245629331068281</v>
      </c>
      <c r="AD209" s="38">
        <v>0.28440412415079103</v>
      </c>
      <c r="AE209" s="38">
        <v>0.25631554673573198</v>
      </c>
      <c r="AF209" s="38">
        <v>0.35399826627460002</v>
      </c>
      <c r="AG209" s="38">
        <v>0.29574376500961003</v>
      </c>
      <c r="AH209" s="38">
        <v>0.22543590633633931</v>
      </c>
      <c r="AI209" s="38">
        <v>0.28249136433682898</v>
      </c>
      <c r="AJ209" s="38">
        <v>0.244595080381622</v>
      </c>
      <c r="AK209" s="38">
        <v>0.30290004357404299</v>
      </c>
      <c r="AL209" s="38">
        <v>0.28153078970268502</v>
      </c>
      <c r="AM209" s="38">
        <v>0.353687215459842</v>
      </c>
      <c r="AN209" s="38">
        <v>0.37508895374963902</v>
      </c>
    </row>
  </sheetData>
  <mergeCells count="5">
    <mergeCell ref="AE1:AM2"/>
    <mergeCell ref="P206:Q206"/>
    <mergeCell ref="AC206:AD206"/>
    <mergeCell ref="E1:K2"/>
    <mergeCell ref="S1:Y2"/>
  </mergeCells>
  <phoneticPr fontId="5"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DA319-953A-4286-8C08-417F5B710055}">
  <sheetPr>
    <tabColor rgb="FF92D050"/>
  </sheetPr>
  <dimension ref="A1:Q36"/>
  <sheetViews>
    <sheetView topLeftCell="A20" zoomScale="77" workbookViewId="0">
      <selection activeCell="C13" sqref="C13"/>
    </sheetView>
  </sheetViews>
  <sheetFormatPr defaultRowHeight="14.4"/>
  <cols>
    <col min="1" max="1" width="18.5546875" bestFit="1" customWidth="1"/>
    <col min="2" max="2" width="19.33203125" bestFit="1" customWidth="1"/>
    <col min="3" max="3" width="17.21875" bestFit="1" customWidth="1"/>
    <col min="5" max="5" width="13.33203125" bestFit="1" customWidth="1"/>
    <col min="6" max="6" width="10.88671875" bestFit="1" customWidth="1"/>
    <col min="7" max="7" width="20.21875" bestFit="1" customWidth="1"/>
    <col min="8" max="8" width="13.33203125" bestFit="1" customWidth="1"/>
    <col min="9" max="9" width="23.6640625" bestFit="1" customWidth="1"/>
    <col min="10" max="10" width="17" bestFit="1" customWidth="1"/>
    <col min="11" max="11" width="16.109375" bestFit="1" customWidth="1"/>
    <col min="12" max="12" width="15.5546875" bestFit="1" customWidth="1"/>
    <col min="13" max="13" width="16.5546875" bestFit="1" customWidth="1"/>
    <col min="14" max="14" width="16.44140625" bestFit="1" customWidth="1"/>
    <col min="15" max="15" width="16.33203125" bestFit="1" customWidth="1"/>
    <col min="16" max="16" width="16.6640625" bestFit="1" customWidth="1"/>
    <col min="17" max="17" width="16.5546875" bestFit="1" customWidth="1"/>
  </cols>
  <sheetData>
    <row r="1" spans="1:17">
      <c r="A1" s="14" t="s">
        <v>437</v>
      </c>
      <c r="B1" s="14" t="s">
        <v>436</v>
      </c>
      <c r="C1" s="41" t="s">
        <v>438</v>
      </c>
      <c r="E1" s="42" t="s">
        <v>439</v>
      </c>
      <c r="F1" s="42" t="s">
        <v>440</v>
      </c>
      <c r="G1" s="32" t="s">
        <v>441</v>
      </c>
      <c r="H1" s="32" t="s">
        <v>442</v>
      </c>
      <c r="I1" s="32" t="s">
        <v>443</v>
      </c>
      <c r="J1" s="32" t="s">
        <v>444</v>
      </c>
      <c r="K1" s="32" t="s">
        <v>445</v>
      </c>
      <c r="L1" s="32" t="s">
        <v>446</v>
      </c>
      <c r="M1" s="32" t="s">
        <v>447</v>
      </c>
      <c r="N1" s="32" t="s">
        <v>448</v>
      </c>
      <c r="O1" s="32" t="s">
        <v>449</v>
      </c>
      <c r="P1" s="32" t="s">
        <v>450</v>
      </c>
      <c r="Q1" s="32" t="s">
        <v>451</v>
      </c>
    </row>
    <row r="2" spans="1:17">
      <c r="A2">
        <v>62426129</v>
      </c>
      <c r="B2">
        <v>10356</v>
      </c>
      <c r="C2" s="15">
        <v>15606532.25</v>
      </c>
      <c r="E2" s="18" t="s">
        <v>398</v>
      </c>
      <c r="F2" s="32">
        <v>1179622</v>
      </c>
      <c r="G2" s="32">
        <v>1015569</v>
      </c>
      <c r="H2" s="32">
        <v>974261</v>
      </c>
      <c r="I2" s="32">
        <v>1106674</v>
      </c>
      <c r="J2" s="32">
        <v>1238868</v>
      </c>
      <c r="K2" s="32">
        <v>948111</v>
      </c>
      <c r="L2" s="32">
        <v>1213355</v>
      </c>
      <c r="M2" s="32">
        <v>1188564</v>
      </c>
      <c r="N2" s="32">
        <v>1135958</v>
      </c>
      <c r="O2" s="32">
        <v>1298384</v>
      </c>
      <c r="P2" s="32">
        <v>1069896</v>
      </c>
      <c r="Q2" s="32">
        <v>1187712</v>
      </c>
    </row>
    <row r="3" spans="1:17">
      <c r="E3" s="18" t="s">
        <v>396</v>
      </c>
      <c r="F3" s="32">
        <v>1229923</v>
      </c>
      <c r="G3" s="32">
        <v>1112660</v>
      </c>
      <c r="H3" s="32">
        <v>1207389</v>
      </c>
      <c r="I3" s="32">
        <v>1059574</v>
      </c>
      <c r="J3" s="32">
        <v>1008024</v>
      </c>
      <c r="K3" s="32">
        <v>1094497</v>
      </c>
      <c r="L3" s="32">
        <v>1002984</v>
      </c>
      <c r="M3" s="32">
        <v>1073295</v>
      </c>
      <c r="N3" s="32">
        <v>1188076</v>
      </c>
      <c r="O3" s="32">
        <v>1030652</v>
      </c>
      <c r="P3" s="32">
        <v>1052916</v>
      </c>
      <c r="Q3" s="32">
        <v>1122229</v>
      </c>
    </row>
    <row r="4" spans="1:17">
      <c r="E4" s="18" t="s">
        <v>395</v>
      </c>
      <c r="F4" s="32">
        <v>859322</v>
      </c>
      <c r="G4" s="32">
        <v>826134</v>
      </c>
      <c r="H4" s="32">
        <v>848185</v>
      </c>
      <c r="I4" s="32">
        <v>894715</v>
      </c>
      <c r="J4" s="32">
        <v>845917</v>
      </c>
      <c r="K4" s="32">
        <v>866009</v>
      </c>
      <c r="L4" s="32">
        <v>763428</v>
      </c>
      <c r="M4" s="32">
        <v>718726</v>
      </c>
      <c r="N4" s="32">
        <v>668295</v>
      </c>
      <c r="O4" s="32">
        <v>761982</v>
      </c>
      <c r="P4" s="32">
        <v>865414</v>
      </c>
      <c r="Q4" s="32">
        <v>916811</v>
      </c>
    </row>
    <row r="5" spans="1:17">
      <c r="E5" s="18" t="s">
        <v>397</v>
      </c>
      <c r="F5" s="32">
        <v>979556</v>
      </c>
      <c r="G5" s="32">
        <v>1015133</v>
      </c>
      <c r="H5" s="32">
        <v>1175490</v>
      </c>
      <c r="I5" s="32">
        <v>1018600</v>
      </c>
      <c r="J5" s="32">
        <v>954177</v>
      </c>
      <c r="K5" s="32">
        <v>1044155</v>
      </c>
      <c r="L5" s="32">
        <v>1138429</v>
      </c>
      <c r="M5" s="32">
        <v>935869</v>
      </c>
      <c r="N5" s="32">
        <v>1092171</v>
      </c>
      <c r="O5" s="32">
        <v>1049498</v>
      </c>
      <c r="P5" s="32">
        <v>1050740</v>
      </c>
      <c r="Q5" s="32">
        <v>890221</v>
      </c>
    </row>
    <row r="6" spans="1:17">
      <c r="E6" s="18" t="s">
        <v>399</v>
      </c>
      <c r="F6" s="32">
        <v>1041951</v>
      </c>
      <c r="G6" s="32">
        <v>1272178</v>
      </c>
      <c r="H6" s="32">
        <v>1153159</v>
      </c>
      <c r="I6" s="32">
        <v>1204712</v>
      </c>
      <c r="J6" s="32">
        <v>1078095</v>
      </c>
      <c r="K6" s="32">
        <v>1163755</v>
      </c>
      <c r="L6" s="32">
        <v>1011659</v>
      </c>
      <c r="M6" s="32">
        <v>1302688</v>
      </c>
      <c r="N6" s="32">
        <v>996406</v>
      </c>
      <c r="O6" s="32">
        <v>914929</v>
      </c>
      <c r="P6" s="32">
        <v>1116641</v>
      </c>
      <c r="Q6" s="32">
        <v>1251786</v>
      </c>
    </row>
    <row r="10" spans="1:17">
      <c r="A10" s="14" t="s">
        <v>439</v>
      </c>
      <c r="B10" t="s">
        <v>502</v>
      </c>
      <c r="E10" s="14" t="s">
        <v>439</v>
      </c>
    </row>
    <row r="11" spans="1:17">
      <c r="A11" s="16" t="s">
        <v>398</v>
      </c>
      <c r="B11">
        <v>455951</v>
      </c>
      <c r="E11" s="16" t="s">
        <v>432</v>
      </c>
    </row>
    <row r="12" spans="1:17">
      <c r="A12" s="17" t="s">
        <v>411</v>
      </c>
      <c r="B12">
        <v>106069</v>
      </c>
      <c r="E12" s="16" t="s">
        <v>434</v>
      </c>
    </row>
    <row r="13" spans="1:17">
      <c r="A13" s="17" t="s">
        <v>408</v>
      </c>
      <c r="B13">
        <v>84900</v>
      </c>
      <c r="E13" s="16" t="s">
        <v>433</v>
      </c>
    </row>
    <row r="14" spans="1:17">
      <c r="A14" s="17" t="s">
        <v>409</v>
      </c>
      <c r="B14">
        <v>106022</v>
      </c>
      <c r="E14" s="16" t="s">
        <v>435</v>
      </c>
    </row>
    <row r="15" spans="1:17">
      <c r="A15" s="17" t="s">
        <v>410</v>
      </c>
      <c r="B15">
        <v>158960</v>
      </c>
      <c r="E15" s="16" t="s">
        <v>501</v>
      </c>
    </row>
    <row r="16" spans="1:17">
      <c r="A16" s="16" t="s">
        <v>396</v>
      </c>
      <c r="B16">
        <v>466870</v>
      </c>
    </row>
    <row r="17" spans="1:9">
      <c r="A17" s="17" t="s">
        <v>411</v>
      </c>
      <c r="B17">
        <v>148528</v>
      </c>
    </row>
    <row r="18" spans="1:9">
      <c r="A18" s="17" t="s">
        <v>408</v>
      </c>
      <c r="B18">
        <v>127319</v>
      </c>
    </row>
    <row r="19" spans="1:9">
      <c r="A19" s="17" t="s">
        <v>409</v>
      </c>
      <c r="B19">
        <v>137959</v>
      </c>
    </row>
    <row r="20" spans="1:9">
      <c r="A20" s="17" t="s">
        <v>410</v>
      </c>
      <c r="B20">
        <v>53064</v>
      </c>
    </row>
    <row r="21" spans="1:9">
      <c r="A21" s="16" t="s">
        <v>395</v>
      </c>
      <c r="B21">
        <v>350187</v>
      </c>
    </row>
    <row r="22" spans="1:9">
      <c r="A22" s="17" t="s">
        <v>411</v>
      </c>
      <c r="B22">
        <v>106169</v>
      </c>
      <c r="H22" s="14" t="s">
        <v>439</v>
      </c>
      <c r="I22" t="s">
        <v>504</v>
      </c>
    </row>
    <row r="23" spans="1:9">
      <c r="A23" s="17" t="s">
        <v>408</v>
      </c>
      <c r="B23">
        <v>63713</v>
      </c>
      <c r="H23" s="16" t="s">
        <v>452</v>
      </c>
      <c r="I23" s="37">
        <v>1116480.92710377</v>
      </c>
    </row>
    <row r="24" spans="1:9">
      <c r="A24" s="17" t="s">
        <v>409</v>
      </c>
      <c r="B24">
        <v>74214</v>
      </c>
      <c r="H24" s="16" t="s">
        <v>453</v>
      </c>
      <c r="I24" s="37">
        <v>2116363.0849381699</v>
      </c>
    </row>
    <row r="25" spans="1:9">
      <c r="A25" s="17" t="s">
        <v>410</v>
      </c>
      <c r="B25">
        <v>106091</v>
      </c>
      <c r="H25" s="16" t="s">
        <v>454</v>
      </c>
      <c r="I25" s="37">
        <v>1126104.5227034099</v>
      </c>
    </row>
    <row r="26" spans="1:9">
      <c r="A26" s="16" t="s">
        <v>397</v>
      </c>
      <c r="B26">
        <v>413964</v>
      </c>
      <c r="H26" s="16" t="s">
        <v>455</v>
      </c>
      <c r="I26" s="37">
        <v>3106673.6190178702</v>
      </c>
    </row>
    <row r="27" spans="1:9">
      <c r="A27" s="17" t="s">
        <v>411</v>
      </c>
      <c r="B27">
        <v>127508</v>
      </c>
      <c r="H27" s="16" t="s">
        <v>456</v>
      </c>
      <c r="I27" s="37">
        <v>2145580.2703588302</v>
      </c>
    </row>
    <row r="28" spans="1:9">
      <c r="A28" s="17" t="s">
        <v>408</v>
      </c>
      <c r="B28">
        <v>84867</v>
      </c>
      <c r="H28" s="16" t="s">
        <v>457</v>
      </c>
      <c r="I28" s="37">
        <v>1125544.09476381</v>
      </c>
    </row>
    <row r="29" spans="1:9">
      <c r="A29" s="17" t="s">
        <v>409</v>
      </c>
      <c r="B29">
        <v>42435</v>
      </c>
      <c r="H29" s="16" t="s">
        <v>458</v>
      </c>
      <c r="I29" s="37">
        <v>2216142.4436867898</v>
      </c>
    </row>
    <row r="30" spans="1:9">
      <c r="A30" s="17" t="s">
        <v>410</v>
      </c>
      <c r="B30">
        <v>159154</v>
      </c>
      <c r="H30" s="16" t="s">
        <v>459</v>
      </c>
      <c r="I30" s="37">
        <v>1556085.95411052</v>
      </c>
    </row>
    <row r="31" spans="1:9">
      <c r="A31" s="16" t="s">
        <v>399</v>
      </c>
      <c r="B31">
        <v>435182</v>
      </c>
      <c r="H31" s="16" t="s">
        <v>460</v>
      </c>
      <c r="I31" s="37">
        <v>3105856.2607281399</v>
      </c>
    </row>
    <row r="32" spans="1:9">
      <c r="A32" s="17" t="s">
        <v>411</v>
      </c>
      <c r="B32">
        <v>138111</v>
      </c>
      <c r="H32" s="16" t="s">
        <v>461</v>
      </c>
      <c r="I32" s="37">
        <v>2115984.2119172402</v>
      </c>
    </row>
    <row r="33" spans="1:9">
      <c r="A33" s="17" t="s">
        <v>408</v>
      </c>
      <c r="B33">
        <v>106019</v>
      </c>
      <c r="H33" s="16" t="s">
        <v>462</v>
      </c>
      <c r="I33" s="37">
        <v>3115739.8972575902</v>
      </c>
    </row>
    <row r="34" spans="1:9">
      <c r="A34" s="17" t="s">
        <v>409</v>
      </c>
      <c r="B34">
        <v>53178</v>
      </c>
      <c r="H34" s="16" t="s">
        <v>463</v>
      </c>
      <c r="I34" s="37">
        <v>3655712.0356729799</v>
      </c>
    </row>
    <row r="35" spans="1:9">
      <c r="A35" s="17" t="s">
        <v>410</v>
      </c>
      <c r="B35">
        <v>137874</v>
      </c>
      <c r="H35" s="16" t="s">
        <v>501</v>
      </c>
      <c r="I35" s="37">
        <v>26502267.322259121</v>
      </c>
    </row>
    <row r="36" spans="1:9">
      <c r="A36" s="16" t="s">
        <v>501</v>
      </c>
      <c r="B36">
        <v>2122154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B9BCA-D31C-414A-B426-EED9E4E0F6D1}">
  <sheetPr>
    <tabColor rgb="FFFFC000"/>
  </sheetPr>
  <dimension ref="A1:Z201"/>
  <sheetViews>
    <sheetView zoomScale="75" zoomScaleNormal="85" workbookViewId="0">
      <selection activeCell="O2" sqref="O2"/>
    </sheetView>
  </sheetViews>
  <sheetFormatPr defaultRowHeight="14.4"/>
  <cols>
    <col min="13" max="13" width="10.88671875" bestFit="1" customWidth="1"/>
    <col min="14" max="14" width="10.21875" bestFit="1" customWidth="1"/>
    <col min="15" max="15" width="12" bestFit="1" customWidth="1"/>
    <col min="16" max="16" width="10.5546875" customWidth="1"/>
    <col min="17" max="17" width="14.88671875" customWidth="1"/>
    <col min="22" max="22" width="12.21875" customWidth="1"/>
    <col min="23" max="23" width="11.5546875" customWidth="1"/>
    <col min="25" max="25" width="10.88671875" customWidth="1"/>
    <col min="26" max="26" width="13" bestFit="1" customWidth="1"/>
  </cols>
  <sheetData>
    <row r="1" spans="1:26">
      <c r="A1" s="46" t="s">
        <v>452</v>
      </c>
      <c r="B1" s="46" t="s">
        <v>453</v>
      </c>
      <c r="C1" s="46" t="s">
        <v>454</v>
      </c>
      <c r="D1" s="46" t="s">
        <v>455</v>
      </c>
      <c r="E1" s="46" t="s">
        <v>456</v>
      </c>
      <c r="F1" s="46" t="s">
        <v>457</v>
      </c>
      <c r="G1" s="46" t="s">
        <v>458</v>
      </c>
      <c r="H1" s="46" t="s">
        <v>459</v>
      </c>
      <c r="I1" s="46" t="s">
        <v>460</v>
      </c>
      <c r="J1" s="46" t="s">
        <v>461</v>
      </c>
      <c r="K1" s="46" t="s">
        <v>462</v>
      </c>
      <c r="L1" s="46" t="s">
        <v>463</v>
      </c>
      <c r="M1" s="50" t="s">
        <v>526</v>
      </c>
      <c r="N1" s="51" t="s">
        <v>2</v>
      </c>
      <c r="O1" s="52" t="s">
        <v>532</v>
      </c>
      <c r="P1" s="6" t="s">
        <v>412</v>
      </c>
      <c r="Q1" s="5" t="s">
        <v>10</v>
      </c>
      <c r="R1" s="5" t="s">
        <v>503</v>
      </c>
      <c r="S1" s="5" t="s">
        <v>429</v>
      </c>
      <c r="T1" s="5" t="s">
        <v>8</v>
      </c>
      <c r="U1" s="7" t="s">
        <v>525</v>
      </c>
      <c r="V1" s="7" t="s">
        <v>431</v>
      </c>
      <c r="W1" s="45" t="s">
        <v>500</v>
      </c>
      <c r="X1" s="48" t="s">
        <v>9</v>
      </c>
      <c r="Y1" s="45"/>
      <c r="Z1" s="45"/>
    </row>
    <row r="2" spans="1:26">
      <c r="A2" s="47">
        <v>21465</v>
      </c>
      <c r="B2" s="47">
        <v>23462</v>
      </c>
      <c r="C2" s="47">
        <v>43359</v>
      </c>
      <c r="D2" s="47">
        <v>8494</v>
      </c>
      <c r="E2" s="47">
        <v>21412</v>
      </c>
      <c r="F2" s="47">
        <v>37504</v>
      </c>
      <c r="G2" s="47">
        <v>38537</v>
      </c>
      <c r="H2" s="47">
        <v>15742</v>
      </c>
      <c r="I2" s="47">
        <v>33904</v>
      </c>
      <c r="J2" s="47">
        <v>33903</v>
      </c>
      <c r="K2" s="47">
        <v>1147</v>
      </c>
      <c r="L2" s="47">
        <v>38837</v>
      </c>
      <c r="M2" s="53" t="s">
        <v>527</v>
      </c>
      <c r="N2" s="54" t="s">
        <v>395</v>
      </c>
      <c r="O2" s="55" t="s">
        <v>395</v>
      </c>
      <c r="P2" s="9" t="s">
        <v>413</v>
      </c>
      <c r="Q2" s="12" t="s">
        <v>408</v>
      </c>
      <c r="R2" s="8" t="s">
        <v>212</v>
      </c>
      <c r="S2" s="8" t="s">
        <v>400</v>
      </c>
      <c r="T2" s="12">
        <v>2219.2800000000002</v>
      </c>
      <c r="U2" s="43">
        <v>45</v>
      </c>
      <c r="V2" s="12" t="s">
        <v>432</v>
      </c>
      <c r="W2" s="12">
        <f>U2+10109+450</f>
        <v>10604</v>
      </c>
      <c r="X2" s="12">
        <v>2287707.5299999998</v>
      </c>
      <c r="Y2" s="12"/>
      <c r="Z2" s="12"/>
    </row>
    <row r="3" spans="1:26">
      <c r="A3" s="47">
        <v>39237</v>
      </c>
      <c r="B3" s="47">
        <v>39561</v>
      </c>
      <c r="C3" s="47">
        <v>33935</v>
      </c>
      <c r="D3" s="47">
        <v>10955</v>
      </c>
      <c r="E3" s="47">
        <v>1113</v>
      </c>
      <c r="F3" s="47">
        <v>6956</v>
      </c>
      <c r="G3" s="47">
        <v>9458</v>
      </c>
      <c r="H3" s="47">
        <v>29247</v>
      </c>
      <c r="I3" s="47">
        <v>14492</v>
      </c>
      <c r="J3" s="47">
        <v>4927</v>
      </c>
      <c r="K3" s="47">
        <v>45694</v>
      </c>
      <c r="L3" s="47">
        <v>33554</v>
      </c>
      <c r="M3" s="53" t="s">
        <v>527</v>
      </c>
      <c r="N3" s="54" t="s">
        <v>396</v>
      </c>
      <c r="O3" s="55" t="s">
        <v>528</v>
      </c>
      <c r="P3" s="11" t="s">
        <v>414</v>
      </c>
      <c r="Q3" s="12" t="s">
        <v>409</v>
      </c>
      <c r="R3" s="10" t="s">
        <v>213</v>
      </c>
      <c r="S3" s="10" t="s">
        <v>401</v>
      </c>
      <c r="T3" s="12">
        <v>2314.79</v>
      </c>
      <c r="U3" s="12">
        <v>64</v>
      </c>
      <c r="V3" s="12" t="s">
        <v>432</v>
      </c>
      <c r="W3" s="12">
        <f t="shared" ref="W3:W66" si="0">U3+10109+450</f>
        <v>10623</v>
      </c>
      <c r="X3" s="12">
        <v>3445603.01</v>
      </c>
      <c r="Y3" s="12"/>
      <c r="Z3" s="12"/>
    </row>
    <row r="4" spans="1:26">
      <c r="A4" s="47">
        <v>30084</v>
      </c>
      <c r="B4" s="47">
        <v>32747</v>
      </c>
      <c r="C4" s="47">
        <v>2283</v>
      </c>
      <c r="D4" s="47">
        <v>6953</v>
      </c>
      <c r="E4" s="47">
        <v>15503</v>
      </c>
      <c r="F4" s="47">
        <v>23083</v>
      </c>
      <c r="G4" s="47">
        <v>31732</v>
      </c>
      <c r="H4" s="47">
        <v>34482</v>
      </c>
      <c r="I4" s="47">
        <v>32673</v>
      </c>
      <c r="J4" s="47">
        <v>23951</v>
      </c>
      <c r="K4" s="47">
        <v>1820</v>
      </c>
      <c r="L4" s="47">
        <v>2842</v>
      </c>
      <c r="M4" s="53" t="s">
        <v>527</v>
      </c>
      <c r="N4" s="54" t="s">
        <v>397</v>
      </c>
      <c r="O4" s="55" t="s">
        <v>529</v>
      </c>
      <c r="P4" s="11" t="s">
        <v>413</v>
      </c>
      <c r="Q4" s="12" t="s">
        <v>410</v>
      </c>
      <c r="R4" s="10" t="s">
        <v>214</v>
      </c>
      <c r="S4" s="10" t="s">
        <v>402</v>
      </c>
      <c r="T4" s="12">
        <v>1539.29</v>
      </c>
      <c r="U4" s="12">
        <v>31</v>
      </c>
      <c r="V4" s="12" t="s">
        <v>432</v>
      </c>
      <c r="W4" s="12">
        <f t="shared" si="0"/>
        <v>10590</v>
      </c>
      <c r="X4" s="12">
        <v>3536584.82</v>
      </c>
      <c r="Y4" s="12"/>
      <c r="Z4" s="12"/>
    </row>
    <row r="5" spans="1:26">
      <c r="A5" s="47">
        <v>23463</v>
      </c>
      <c r="B5" s="47">
        <v>19206</v>
      </c>
      <c r="C5" s="47">
        <v>40324</v>
      </c>
      <c r="D5" s="47">
        <v>37770</v>
      </c>
      <c r="E5" s="47">
        <v>11021</v>
      </c>
      <c r="F5" s="47">
        <v>3700</v>
      </c>
      <c r="G5" s="47">
        <v>17477</v>
      </c>
      <c r="H5" s="47">
        <v>30865</v>
      </c>
      <c r="I5" s="47">
        <v>39069</v>
      </c>
      <c r="J5" s="47">
        <v>220</v>
      </c>
      <c r="K5" s="47">
        <v>10390</v>
      </c>
      <c r="L5" s="47">
        <v>20661</v>
      </c>
      <c r="M5" s="53" t="s">
        <v>527</v>
      </c>
      <c r="N5" s="54" t="s">
        <v>398</v>
      </c>
      <c r="O5" s="55" t="s">
        <v>530</v>
      </c>
      <c r="P5" s="11" t="s">
        <v>414</v>
      </c>
      <c r="Q5" s="12" t="s">
        <v>408</v>
      </c>
      <c r="R5" s="10" t="s">
        <v>215</v>
      </c>
      <c r="S5" s="10" t="s">
        <v>400</v>
      </c>
      <c r="T5" s="12">
        <v>1652.74</v>
      </c>
      <c r="U5" s="12">
        <v>96</v>
      </c>
      <c r="V5" s="12" t="s">
        <v>433</v>
      </c>
      <c r="W5" s="12">
        <f t="shared" si="0"/>
        <v>10655</v>
      </c>
      <c r="X5" s="12">
        <v>2882455.52</v>
      </c>
      <c r="Y5" s="12"/>
      <c r="Z5" s="12"/>
    </row>
    <row r="6" spans="1:26">
      <c r="A6" s="47">
        <v>31988</v>
      </c>
      <c r="B6" s="47">
        <v>20892</v>
      </c>
      <c r="C6" s="47">
        <v>3586</v>
      </c>
      <c r="D6" s="47">
        <v>873</v>
      </c>
      <c r="E6" s="47">
        <v>25674</v>
      </c>
      <c r="F6" s="47">
        <v>11107</v>
      </c>
      <c r="G6" s="47">
        <v>9260</v>
      </c>
      <c r="H6" s="47">
        <v>14317</v>
      </c>
      <c r="I6" s="47">
        <v>31213</v>
      </c>
      <c r="J6" s="47">
        <v>2315</v>
      </c>
      <c r="K6" s="47">
        <v>6234</v>
      </c>
      <c r="L6" s="47">
        <v>11279</v>
      </c>
      <c r="M6" s="53" t="s">
        <v>527</v>
      </c>
      <c r="N6" s="54" t="s">
        <v>397</v>
      </c>
      <c r="O6" s="55" t="s">
        <v>529</v>
      </c>
      <c r="P6" s="11" t="s">
        <v>415</v>
      </c>
      <c r="Q6" s="12" t="s">
        <v>409</v>
      </c>
      <c r="R6" s="10" t="s">
        <v>216</v>
      </c>
      <c r="S6" s="10" t="s">
        <v>400</v>
      </c>
      <c r="T6" s="12">
        <v>1566.29</v>
      </c>
      <c r="U6" s="12">
        <v>38</v>
      </c>
      <c r="V6" s="12" t="s">
        <v>434</v>
      </c>
      <c r="W6" s="12">
        <f t="shared" si="0"/>
        <v>10597</v>
      </c>
      <c r="X6" s="12">
        <v>2220128.2400000002</v>
      </c>
      <c r="Y6" s="12"/>
      <c r="Z6" s="12"/>
    </row>
    <row r="7" spans="1:26">
      <c r="A7" s="47">
        <v>32828</v>
      </c>
      <c r="B7" s="47">
        <v>22702</v>
      </c>
      <c r="C7" s="47">
        <v>42316</v>
      </c>
      <c r="D7" s="47">
        <v>21855</v>
      </c>
      <c r="E7" s="47">
        <v>22982</v>
      </c>
      <c r="F7" s="47">
        <v>37680</v>
      </c>
      <c r="G7" s="47">
        <v>22582</v>
      </c>
      <c r="H7" s="47">
        <v>22272</v>
      </c>
      <c r="I7" s="47">
        <v>42562</v>
      </c>
      <c r="J7" s="47">
        <v>24031</v>
      </c>
      <c r="K7" s="47">
        <v>39681</v>
      </c>
      <c r="L7" s="47">
        <v>720</v>
      </c>
      <c r="M7" s="53" t="s">
        <v>527</v>
      </c>
      <c r="N7" s="54" t="s">
        <v>398</v>
      </c>
      <c r="O7" s="55" t="s">
        <v>530</v>
      </c>
      <c r="P7" s="11" t="s">
        <v>414</v>
      </c>
      <c r="Q7" s="12" t="s">
        <v>408</v>
      </c>
      <c r="R7" s="10" t="s">
        <v>217</v>
      </c>
      <c r="S7" s="10" t="s">
        <v>400</v>
      </c>
      <c r="T7" s="12">
        <v>1784.77</v>
      </c>
      <c r="U7" s="12">
        <v>86</v>
      </c>
      <c r="V7" s="12" t="s">
        <v>435</v>
      </c>
      <c r="W7" s="12">
        <f t="shared" si="0"/>
        <v>10645</v>
      </c>
      <c r="X7" s="12">
        <v>3299188.04</v>
      </c>
    </row>
    <row r="8" spans="1:26">
      <c r="A8" s="47">
        <v>32287</v>
      </c>
      <c r="B8" s="47">
        <v>4186</v>
      </c>
      <c r="C8" s="47">
        <v>31236</v>
      </c>
      <c r="D8" s="47">
        <v>-445</v>
      </c>
      <c r="E8" s="47">
        <v>19715</v>
      </c>
      <c r="F8" s="47">
        <v>22495</v>
      </c>
      <c r="G8" s="47">
        <v>2775</v>
      </c>
      <c r="H8" s="47">
        <v>13842</v>
      </c>
      <c r="I8" s="47">
        <v>9872</v>
      </c>
      <c r="J8" s="47">
        <v>37534</v>
      </c>
      <c r="K8" s="47">
        <v>2248</v>
      </c>
      <c r="L8" s="47">
        <v>5508</v>
      </c>
      <c r="M8" s="53" t="s">
        <v>527</v>
      </c>
      <c r="N8" s="54" t="s">
        <v>397</v>
      </c>
      <c r="O8" s="55" t="s">
        <v>529</v>
      </c>
      <c r="P8" s="11" t="s">
        <v>414</v>
      </c>
      <c r="Q8" s="12" t="s">
        <v>411</v>
      </c>
      <c r="R8" s="10" t="s">
        <v>218</v>
      </c>
      <c r="S8" s="10" t="s">
        <v>400</v>
      </c>
      <c r="T8" s="12">
        <v>136.71</v>
      </c>
      <c r="U8" s="12">
        <v>86</v>
      </c>
      <c r="V8" s="12" t="s">
        <v>435</v>
      </c>
      <c r="W8" s="12">
        <f t="shared" si="0"/>
        <v>10645</v>
      </c>
      <c r="X8" s="12">
        <v>2297188.6800000002</v>
      </c>
    </row>
    <row r="9" spans="1:26">
      <c r="A9" s="47">
        <v>37168</v>
      </c>
      <c r="B9" s="47">
        <v>-3389</v>
      </c>
      <c r="C9" s="47">
        <v>36978</v>
      </c>
      <c r="D9" s="47">
        <v>4486</v>
      </c>
      <c r="E9" s="47">
        <v>43109</v>
      </c>
      <c r="F9" s="47">
        <v>41933</v>
      </c>
      <c r="G9" s="47">
        <v>-8309</v>
      </c>
      <c r="H9" s="47">
        <v>12163</v>
      </c>
      <c r="I9" s="47">
        <v>4310</v>
      </c>
      <c r="J9" s="47">
        <v>32778</v>
      </c>
      <c r="K9" s="47">
        <v>38025</v>
      </c>
      <c r="L9" s="47">
        <v>38253</v>
      </c>
      <c r="M9" s="53" t="s">
        <v>527</v>
      </c>
      <c r="N9" s="54" t="s">
        <v>396</v>
      </c>
      <c r="O9" s="55" t="s">
        <v>528</v>
      </c>
      <c r="P9" s="11" t="s">
        <v>414</v>
      </c>
      <c r="Q9" s="12" t="s">
        <v>409</v>
      </c>
      <c r="R9" s="10" t="s">
        <v>219</v>
      </c>
      <c r="S9" s="10" t="s">
        <v>400</v>
      </c>
      <c r="T9" s="12">
        <v>1216.77</v>
      </c>
      <c r="U9" s="12">
        <v>61</v>
      </c>
      <c r="V9" s="12" t="s">
        <v>434</v>
      </c>
      <c r="W9" s="12">
        <f t="shared" si="0"/>
        <v>10620</v>
      </c>
      <c r="X9" s="12">
        <v>2644362.2000000002</v>
      </c>
    </row>
    <row r="10" spans="1:26">
      <c r="A10" s="47">
        <v>25403</v>
      </c>
      <c r="B10" s="47">
        <v>11017</v>
      </c>
      <c r="C10" s="47">
        <v>28634</v>
      </c>
      <c r="D10" s="47">
        <v>26258</v>
      </c>
      <c r="E10" s="47">
        <v>38064</v>
      </c>
      <c r="F10" s="47">
        <v>2878</v>
      </c>
      <c r="G10" s="47">
        <v>35441</v>
      </c>
      <c r="H10" s="47">
        <v>21076</v>
      </c>
      <c r="I10" s="47">
        <v>44131</v>
      </c>
      <c r="J10" s="47">
        <v>32230</v>
      </c>
      <c r="K10" s="47">
        <v>40511</v>
      </c>
      <c r="L10" s="47">
        <v>47767</v>
      </c>
      <c r="M10" s="53" t="s">
        <v>527</v>
      </c>
      <c r="N10" s="54" t="s">
        <v>398</v>
      </c>
      <c r="O10" s="55" t="s">
        <v>530</v>
      </c>
      <c r="P10" s="11" t="s">
        <v>416</v>
      </c>
      <c r="Q10" s="12" t="s">
        <v>410</v>
      </c>
      <c r="R10" s="10" t="s">
        <v>220</v>
      </c>
      <c r="S10" s="10" t="s">
        <v>403</v>
      </c>
      <c r="T10" s="12">
        <v>1838.26</v>
      </c>
      <c r="U10" s="12">
        <v>52</v>
      </c>
      <c r="V10" s="12" t="s">
        <v>434</v>
      </c>
      <c r="W10" s="12">
        <f t="shared" si="0"/>
        <v>10611</v>
      </c>
      <c r="X10" s="12">
        <v>2770073</v>
      </c>
    </row>
    <row r="11" spans="1:26">
      <c r="A11" s="47">
        <v>10955</v>
      </c>
      <c r="B11" s="47">
        <v>6531</v>
      </c>
      <c r="C11" s="47">
        <v>18851</v>
      </c>
      <c r="D11" s="47">
        <v>31654</v>
      </c>
      <c r="E11" s="47">
        <v>19351</v>
      </c>
      <c r="F11" s="47">
        <v>47556</v>
      </c>
      <c r="G11" s="47">
        <v>26054</v>
      </c>
      <c r="H11" s="47">
        <v>14565</v>
      </c>
      <c r="I11" s="47">
        <v>8416</v>
      </c>
      <c r="J11" s="47">
        <v>17735</v>
      </c>
      <c r="K11" s="47">
        <v>27808</v>
      </c>
      <c r="L11" s="47">
        <v>14565</v>
      </c>
      <c r="M11" s="53" t="s">
        <v>527</v>
      </c>
      <c r="N11" s="54" t="s">
        <v>395</v>
      </c>
      <c r="O11" s="55" t="s">
        <v>395</v>
      </c>
      <c r="P11" s="11" t="s">
        <v>413</v>
      </c>
      <c r="Q11" s="12" t="s">
        <v>410</v>
      </c>
      <c r="R11" s="10" t="s">
        <v>221</v>
      </c>
      <c r="S11" s="10" t="s">
        <v>402</v>
      </c>
      <c r="T11" s="12">
        <v>1813.28</v>
      </c>
      <c r="U11" s="12">
        <v>6</v>
      </c>
      <c r="V11" s="12" t="s">
        <v>434</v>
      </c>
      <c r="W11" s="12">
        <f t="shared" si="0"/>
        <v>10565</v>
      </c>
      <c r="X11" s="12">
        <v>2941042.11</v>
      </c>
    </row>
    <row r="12" spans="1:26">
      <c r="A12" s="47">
        <v>4123</v>
      </c>
      <c r="B12" s="47">
        <v>25707</v>
      </c>
      <c r="C12" s="47">
        <v>39676</v>
      </c>
      <c r="D12" s="47">
        <v>24955</v>
      </c>
      <c r="E12" s="47">
        <v>-1750</v>
      </c>
      <c r="F12" s="47">
        <v>5912</v>
      </c>
      <c r="G12" s="47">
        <v>23906</v>
      </c>
      <c r="H12" s="47">
        <v>2834</v>
      </c>
      <c r="I12" s="47">
        <v>8278</v>
      </c>
      <c r="J12" s="47">
        <v>7874</v>
      </c>
      <c r="K12" s="47">
        <v>36334</v>
      </c>
      <c r="L12" s="47">
        <v>47740</v>
      </c>
      <c r="M12" s="53" t="s">
        <v>527</v>
      </c>
      <c r="N12" s="54" t="s">
        <v>397</v>
      </c>
      <c r="O12" s="55" t="s">
        <v>529</v>
      </c>
      <c r="P12" s="11" t="s">
        <v>414</v>
      </c>
      <c r="Q12" s="12" t="s">
        <v>410</v>
      </c>
      <c r="R12" s="10" t="s">
        <v>222</v>
      </c>
      <c r="S12" s="10" t="s">
        <v>403</v>
      </c>
      <c r="T12" s="12">
        <v>2389.2199999999998</v>
      </c>
      <c r="U12" s="12">
        <v>81</v>
      </c>
      <c r="V12" s="12" t="s">
        <v>434</v>
      </c>
      <c r="W12" s="12">
        <f t="shared" si="0"/>
        <v>10640</v>
      </c>
      <c r="X12" s="12">
        <v>2639222.4300000002</v>
      </c>
    </row>
    <row r="13" spans="1:26">
      <c r="A13" s="47">
        <v>33522</v>
      </c>
      <c r="B13" s="47">
        <v>33993</v>
      </c>
      <c r="C13" s="47">
        <v>33779</v>
      </c>
      <c r="D13" s="47">
        <v>33221</v>
      </c>
      <c r="E13" s="47">
        <v>45388</v>
      </c>
      <c r="F13" s="47">
        <v>17973</v>
      </c>
      <c r="G13" s="47">
        <v>5864</v>
      </c>
      <c r="H13" s="47">
        <v>4363</v>
      </c>
      <c r="I13" s="47">
        <v>28435</v>
      </c>
      <c r="J13" s="47">
        <v>-4305</v>
      </c>
      <c r="K13" s="47">
        <v>11618</v>
      </c>
      <c r="L13" s="47">
        <v>30442</v>
      </c>
      <c r="M13" s="53" t="s">
        <v>527</v>
      </c>
      <c r="N13" s="54" t="s">
        <v>397</v>
      </c>
      <c r="O13" s="55" t="s">
        <v>529</v>
      </c>
      <c r="P13" s="11" t="s">
        <v>414</v>
      </c>
      <c r="Q13" s="12" t="s">
        <v>410</v>
      </c>
      <c r="R13" s="10" t="s">
        <v>223</v>
      </c>
      <c r="S13" s="10" t="s">
        <v>401</v>
      </c>
      <c r="T13" s="12">
        <v>1982.28</v>
      </c>
      <c r="U13" s="12">
        <v>1</v>
      </c>
      <c r="V13" s="12" t="s">
        <v>433</v>
      </c>
      <c r="W13" s="12">
        <f t="shared" si="0"/>
        <v>10560</v>
      </c>
      <c r="X13" s="12">
        <v>1538430.53</v>
      </c>
    </row>
    <row r="14" spans="1:26">
      <c r="A14" s="47">
        <v>28877</v>
      </c>
      <c r="B14" s="47">
        <v>28985</v>
      </c>
      <c r="C14" s="47">
        <v>11590</v>
      </c>
      <c r="D14" s="47">
        <v>40819</v>
      </c>
      <c r="E14" s="47">
        <v>36017</v>
      </c>
      <c r="F14" s="47">
        <v>814</v>
      </c>
      <c r="G14" s="47">
        <v>16030</v>
      </c>
      <c r="H14" s="47">
        <v>35512</v>
      </c>
      <c r="I14" s="47">
        <v>25470</v>
      </c>
      <c r="J14" s="47">
        <v>9479</v>
      </c>
      <c r="K14" s="47">
        <v>2563</v>
      </c>
      <c r="L14" s="47">
        <v>35255</v>
      </c>
      <c r="M14" s="53" t="s">
        <v>527</v>
      </c>
      <c r="N14" s="54" t="s">
        <v>398</v>
      </c>
      <c r="O14" s="55" t="s">
        <v>530</v>
      </c>
      <c r="P14" s="11" t="s">
        <v>416</v>
      </c>
      <c r="Q14" s="12" t="s">
        <v>408</v>
      </c>
      <c r="R14" s="10" t="s">
        <v>224</v>
      </c>
      <c r="S14" s="10" t="s">
        <v>400</v>
      </c>
      <c r="T14" s="12">
        <v>2976.79</v>
      </c>
      <c r="U14" s="12">
        <v>16</v>
      </c>
      <c r="V14" s="12" t="s">
        <v>435</v>
      </c>
      <c r="W14" s="12">
        <f t="shared" si="0"/>
        <v>10575</v>
      </c>
      <c r="X14" s="12">
        <v>1528462.53</v>
      </c>
    </row>
    <row r="15" spans="1:26">
      <c r="A15" s="47">
        <v>39262</v>
      </c>
      <c r="B15" s="47">
        <v>7771</v>
      </c>
      <c r="C15" s="47">
        <v>7405</v>
      </c>
      <c r="D15" s="47">
        <v>28319</v>
      </c>
      <c r="E15" s="47">
        <v>16446</v>
      </c>
      <c r="F15" s="47">
        <v>9284</v>
      </c>
      <c r="G15" s="47">
        <v>15778</v>
      </c>
      <c r="H15" s="47">
        <v>1022</v>
      </c>
      <c r="I15" s="47">
        <v>44212</v>
      </c>
      <c r="J15" s="47">
        <v>1009</v>
      </c>
      <c r="K15" s="47">
        <v>29139</v>
      </c>
      <c r="L15" s="47">
        <v>21065</v>
      </c>
      <c r="M15" s="53" t="s">
        <v>527</v>
      </c>
      <c r="N15" s="54" t="s">
        <v>395</v>
      </c>
      <c r="O15" s="55" t="s">
        <v>395</v>
      </c>
      <c r="P15" s="11" t="s">
        <v>414</v>
      </c>
      <c r="Q15" s="12" t="s">
        <v>408</v>
      </c>
      <c r="R15" s="10" t="s">
        <v>225</v>
      </c>
      <c r="S15" s="10" t="s">
        <v>402</v>
      </c>
      <c r="T15" s="12">
        <v>887.37</v>
      </c>
      <c r="U15" s="12">
        <v>77</v>
      </c>
      <c r="V15" s="12" t="s">
        <v>432</v>
      </c>
      <c r="W15" s="12">
        <f t="shared" si="0"/>
        <v>10636</v>
      </c>
      <c r="X15" s="12">
        <v>2760392.9</v>
      </c>
    </row>
    <row r="16" spans="1:26">
      <c r="A16" s="47">
        <v>23206</v>
      </c>
      <c r="B16" s="47">
        <v>28813</v>
      </c>
      <c r="C16" s="47">
        <v>40301</v>
      </c>
      <c r="D16" s="47">
        <v>30771</v>
      </c>
      <c r="E16" s="47">
        <v>43569</v>
      </c>
      <c r="F16" s="47">
        <v>46440</v>
      </c>
      <c r="G16" s="47">
        <v>35307</v>
      </c>
      <c r="H16" s="47">
        <v>17901</v>
      </c>
      <c r="I16" s="47">
        <v>2062</v>
      </c>
      <c r="J16" s="47">
        <v>13552</v>
      </c>
      <c r="K16" s="47">
        <v>3310</v>
      </c>
      <c r="L16" s="47">
        <v>10746</v>
      </c>
      <c r="M16" s="53" t="s">
        <v>527</v>
      </c>
      <c r="N16" s="54" t="s">
        <v>395</v>
      </c>
      <c r="O16" s="55" t="s">
        <v>395</v>
      </c>
      <c r="P16" s="11" t="s">
        <v>415</v>
      </c>
      <c r="Q16" s="12" t="s">
        <v>410</v>
      </c>
      <c r="R16" s="10" t="s">
        <v>226</v>
      </c>
      <c r="S16" s="10" t="s">
        <v>400</v>
      </c>
      <c r="T16" s="12">
        <v>1109.5</v>
      </c>
      <c r="U16" s="12">
        <v>74</v>
      </c>
      <c r="V16" s="12" t="s">
        <v>432</v>
      </c>
      <c r="W16" s="12">
        <f t="shared" si="0"/>
        <v>10633</v>
      </c>
      <c r="X16" s="12">
        <v>1269964.02</v>
      </c>
    </row>
    <row r="17" spans="1:24">
      <c r="A17" s="47">
        <v>46542</v>
      </c>
      <c r="B17" s="47">
        <v>16921</v>
      </c>
      <c r="C17" s="47">
        <v>4725</v>
      </c>
      <c r="D17" s="47">
        <v>28146</v>
      </c>
      <c r="E17" s="47">
        <v>9044</v>
      </c>
      <c r="F17" s="47">
        <v>16204</v>
      </c>
      <c r="G17" s="47">
        <v>16898</v>
      </c>
      <c r="H17" s="47">
        <v>12256</v>
      </c>
      <c r="I17" s="47">
        <v>40152</v>
      </c>
      <c r="J17" s="47">
        <v>-5880</v>
      </c>
      <c r="K17" s="47">
        <v>8862</v>
      </c>
      <c r="L17" s="47">
        <v>37334</v>
      </c>
      <c r="M17" s="53" t="s">
        <v>527</v>
      </c>
      <c r="N17" s="54" t="s">
        <v>396</v>
      </c>
      <c r="O17" s="55" t="s">
        <v>528</v>
      </c>
      <c r="P17" s="11" t="s">
        <v>416</v>
      </c>
      <c r="Q17" s="12" t="s">
        <v>410</v>
      </c>
      <c r="R17" s="10" t="s">
        <v>227</v>
      </c>
      <c r="S17" s="10" t="s">
        <v>402</v>
      </c>
      <c r="T17" s="12">
        <v>1182.3499999999999</v>
      </c>
      <c r="U17" s="12">
        <v>57</v>
      </c>
      <c r="V17" s="12" t="s">
        <v>433</v>
      </c>
      <c r="W17" s="12">
        <f t="shared" si="0"/>
        <v>10616</v>
      </c>
      <c r="X17" s="12">
        <v>1440641.18</v>
      </c>
    </row>
    <row r="18" spans="1:24">
      <c r="A18" s="47">
        <v>32475</v>
      </c>
      <c r="B18" s="47">
        <v>17672</v>
      </c>
      <c r="C18" s="47">
        <v>4859</v>
      </c>
      <c r="D18" s="47">
        <v>41478</v>
      </c>
      <c r="E18" s="47">
        <v>37865</v>
      </c>
      <c r="F18" s="47">
        <v>23231</v>
      </c>
      <c r="G18" s="47">
        <v>37229</v>
      </c>
      <c r="H18" s="47">
        <v>-7182</v>
      </c>
      <c r="I18" s="47">
        <v>25193</v>
      </c>
      <c r="J18" s="47">
        <v>9362</v>
      </c>
      <c r="K18" s="47">
        <v>-444</v>
      </c>
      <c r="L18" s="47">
        <v>32642</v>
      </c>
      <c r="M18" s="53" t="s">
        <v>527</v>
      </c>
      <c r="N18" s="54" t="s">
        <v>395</v>
      </c>
      <c r="O18" s="55" t="s">
        <v>395</v>
      </c>
      <c r="P18" s="11" t="s">
        <v>414</v>
      </c>
      <c r="Q18" s="12" t="s">
        <v>410</v>
      </c>
      <c r="R18" s="10" t="s">
        <v>228</v>
      </c>
      <c r="S18" s="10" t="s">
        <v>403</v>
      </c>
      <c r="T18" s="12">
        <v>1424.15</v>
      </c>
      <c r="U18" s="12">
        <v>49</v>
      </c>
      <c r="V18" s="12" t="s">
        <v>435</v>
      </c>
      <c r="W18" s="12">
        <f t="shared" si="0"/>
        <v>10608</v>
      </c>
      <c r="X18" s="12">
        <v>3370088.03</v>
      </c>
    </row>
    <row r="19" spans="1:24">
      <c r="A19" s="47">
        <v>26354</v>
      </c>
      <c r="B19" s="47">
        <v>39077</v>
      </c>
      <c r="C19" s="47">
        <v>20081</v>
      </c>
      <c r="D19" s="47">
        <v>42153</v>
      </c>
      <c r="E19" s="47">
        <v>-137</v>
      </c>
      <c r="F19" s="47">
        <v>22817</v>
      </c>
      <c r="G19" s="47">
        <v>34112</v>
      </c>
      <c r="H19" s="47">
        <v>-2644</v>
      </c>
      <c r="I19" s="47">
        <v>38116</v>
      </c>
      <c r="J19" s="47">
        <v>19546</v>
      </c>
      <c r="K19" s="47">
        <v>32303</v>
      </c>
      <c r="L19" s="47">
        <v>31540</v>
      </c>
      <c r="M19" s="53" t="s">
        <v>527</v>
      </c>
      <c r="N19" s="54" t="s">
        <v>395</v>
      </c>
      <c r="O19" s="55" t="s">
        <v>395</v>
      </c>
      <c r="P19" s="11" t="s">
        <v>414</v>
      </c>
      <c r="Q19" s="12" t="s">
        <v>408</v>
      </c>
      <c r="R19" s="10" t="s">
        <v>229</v>
      </c>
      <c r="S19" s="10" t="s">
        <v>402</v>
      </c>
      <c r="T19" s="12">
        <v>2516.19</v>
      </c>
      <c r="U19" s="12">
        <v>82</v>
      </c>
      <c r="V19" s="12" t="s">
        <v>434</v>
      </c>
      <c r="W19" s="12">
        <f t="shared" si="0"/>
        <v>10641</v>
      </c>
      <c r="X19" s="12">
        <v>1407653.76</v>
      </c>
    </row>
    <row r="20" spans="1:24">
      <c r="A20" s="47">
        <v>41477</v>
      </c>
      <c r="B20" s="47">
        <v>2976</v>
      </c>
      <c r="C20" s="47">
        <v>4990</v>
      </c>
      <c r="D20" s="47">
        <v>18892</v>
      </c>
      <c r="E20" s="47">
        <v>24946</v>
      </c>
      <c r="F20" s="47">
        <v>7211</v>
      </c>
      <c r="G20" s="47">
        <v>-6179</v>
      </c>
      <c r="H20" s="47">
        <v>5960</v>
      </c>
      <c r="I20" s="47">
        <v>269</v>
      </c>
      <c r="J20" s="47">
        <v>30219</v>
      </c>
      <c r="K20" s="47">
        <v>5984</v>
      </c>
      <c r="L20" s="47">
        <v>6759</v>
      </c>
      <c r="M20" s="53" t="s">
        <v>527</v>
      </c>
      <c r="N20" s="54" t="s">
        <v>395</v>
      </c>
      <c r="O20" s="55" t="s">
        <v>395</v>
      </c>
      <c r="P20" s="11" t="s">
        <v>414</v>
      </c>
      <c r="Q20" s="12" t="s">
        <v>410</v>
      </c>
      <c r="R20" s="10" t="s">
        <v>230</v>
      </c>
      <c r="S20" s="10" t="s">
        <v>401</v>
      </c>
      <c r="T20" s="12">
        <v>745.59</v>
      </c>
      <c r="U20" s="12">
        <v>73</v>
      </c>
      <c r="V20" s="12" t="s">
        <v>433</v>
      </c>
      <c r="W20" s="12">
        <f t="shared" si="0"/>
        <v>10632</v>
      </c>
      <c r="X20" s="12">
        <v>1330962.31</v>
      </c>
    </row>
    <row r="21" spans="1:24">
      <c r="A21" s="47">
        <v>30976</v>
      </c>
      <c r="B21" s="47">
        <v>8152</v>
      </c>
      <c r="C21" s="47">
        <v>20320</v>
      </c>
      <c r="D21" s="47">
        <v>41473</v>
      </c>
      <c r="E21" s="47">
        <v>7384</v>
      </c>
      <c r="F21" s="47">
        <v>10525</v>
      </c>
      <c r="G21" s="47">
        <v>-5160</v>
      </c>
      <c r="H21" s="47">
        <v>30998</v>
      </c>
      <c r="I21" s="47">
        <v>27555</v>
      </c>
      <c r="J21" s="47">
        <v>-3532</v>
      </c>
      <c r="K21" s="47">
        <v>37769</v>
      </c>
      <c r="L21" s="47">
        <v>25424</v>
      </c>
      <c r="M21" s="53" t="s">
        <v>527</v>
      </c>
      <c r="N21" s="54" t="s">
        <v>399</v>
      </c>
      <c r="O21" s="55" t="s">
        <v>531</v>
      </c>
      <c r="P21" s="11" t="s">
        <v>413</v>
      </c>
      <c r="Q21" s="12" t="s">
        <v>410</v>
      </c>
      <c r="R21" s="10" t="s">
        <v>231</v>
      </c>
      <c r="S21" s="10" t="s">
        <v>401</v>
      </c>
      <c r="T21" s="12">
        <v>2339.1999999999998</v>
      </c>
      <c r="U21" s="12">
        <v>18</v>
      </c>
      <c r="V21" s="12" t="s">
        <v>433</v>
      </c>
      <c r="W21" s="12">
        <f t="shared" si="0"/>
        <v>10577</v>
      </c>
      <c r="X21" s="12">
        <v>1535243.55</v>
      </c>
    </row>
    <row r="22" spans="1:24">
      <c r="A22" s="47">
        <v>2522</v>
      </c>
      <c r="B22" s="47">
        <v>13911</v>
      </c>
      <c r="C22" s="47">
        <v>36056</v>
      </c>
      <c r="D22" s="47">
        <v>-778</v>
      </c>
      <c r="E22" s="47">
        <v>41953</v>
      </c>
      <c r="F22" s="47">
        <v>8893</v>
      </c>
      <c r="G22" s="47">
        <v>30464</v>
      </c>
      <c r="H22" s="47">
        <v>15496</v>
      </c>
      <c r="I22" s="47">
        <v>25702</v>
      </c>
      <c r="J22" s="47">
        <v>-3396</v>
      </c>
      <c r="K22" s="47">
        <v>29923</v>
      </c>
      <c r="L22" s="47">
        <v>32243</v>
      </c>
      <c r="M22" s="53" t="s">
        <v>527</v>
      </c>
      <c r="N22" s="54" t="s">
        <v>396</v>
      </c>
      <c r="O22" s="55" t="s">
        <v>528</v>
      </c>
      <c r="P22" s="11" t="s">
        <v>416</v>
      </c>
      <c r="Q22" s="12" t="s">
        <v>411</v>
      </c>
      <c r="R22" s="10" t="s">
        <v>232</v>
      </c>
      <c r="S22" s="10" t="s">
        <v>402</v>
      </c>
      <c r="T22" s="12">
        <v>1245.67</v>
      </c>
      <c r="U22" s="12">
        <v>78</v>
      </c>
      <c r="V22" s="12" t="s">
        <v>434</v>
      </c>
      <c r="W22" s="12">
        <f t="shared" si="0"/>
        <v>10637</v>
      </c>
      <c r="X22" s="12">
        <v>3101745.47</v>
      </c>
    </row>
    <row r="23" spans="1:24">
      <c r="A23" s="47">
        <v>46409</v>
      </c>
      <c r="B23" s="47">
        <v>-56</v>
      </c>
      <c r="C23" s="47">
        <v>12761</v>
      </c>
      <c r="D23" s="47">
        <v>-3869</v>
      </c>
      <c r="E23" s="47">
        <v>28205</v>
      </c>
      <c r="F23" s="47">
        <v>4464</v>
      </c>
      <c r="G23" s="47">
        <v>6905</v>
      </c>
      <c r="H23" s="47">
        <v>16683</v>
      </c>
      <c r="I23" s="47">
        <v>29601</v>
      </c>
      <c r="J23" s="47">
        <v>100</v>
      </c>
      <c r="K23" s="47">
        <v>35851</v>
      </c>
      <c r="L23" s="47">
        <v>5318</v>
      </c>
      <c r="M23" s="53" t="s">
        <v>527</v>
      </c>
      <c r="N23" s="54" t="s">
        <v>397</v>
      </c>
      <c r="O23" s="55" t="s">
        <v>529</v>
      </c>
      <c r="P23" s="11" t="s">
        <v>415</v>
      </c>
      <c r="Q23" s="12" t="s">
        <v>411</v>
      </c>
      <c r="R23" s="10" t="s">
        <v>233</v>
      </c>
      <c r="S23" s="10" t="s">
        <v>402</v>
      </c>
      <c r="T23" s="12">
        <v>1825.47</v>
      </c>
      <c r="U23" s="12">
        <v>67</v>
      </c>
      <c r="V23" s="12" t="s">
        <v>435</v>
      </c>
      <c r="W23" s="12">
        <f t="shared" si="0"/>
        <v>10626</v>
      </c>
      <c r="X23" s="12">
        <v>2307723.98</v>
      </c>
    </row>
    <row r="24" spans="1:24">
      <c r="A24" s="47">
        <v>45608</v>
      </c>
      <c r="B24" s="47">
        <v>37564</v>
      </c>
      <c r="C24" s="47">
        <v>11054</v>
      </c>
      <c r="D24" s="47">
        <v>29422</v>
      </c>
      <c r="E24" s="47">
        <v>-117</v>
      </c>
      <c r="F24" s="47">
        <v>38343</v>
      </c>
      <c r="G24" s="47">
        <v>20148</v>
      </c>
      <c r="H24" s="47">
        <v>27311</v>
      </c>
      <c r="I24" s="47">
        <v>25183</v>
      </c>
      <c r="J24" s="47">
        <v>23022</v>
      </c>
      <c r="K24" s="47">
        <v>35358</v>
      </c>
      <c r="L24" s="47">
        <v>48025</v>
      </c>
      <c r="M24" s="53" t="s">
        <v>527</v>
      </c>
      <c r="N24" s="54" t="s">
        <v>398</v>
      </c>
      <c r="O24" s="55" t="s">
        <v>530</v>
      </c>
      <c r="P24" s="11" t="s">
        <v>413</v>
      </c>
      <c r="Q24" s="12" t="s">
        <v>410</v>
      </c>
      <c r="R24" s="10" t="s">
        <v>234</v>
      </c>
      <c r="S24" s="10" t="s">
        <v>402</v>
      </c>
      <c r="T24" s="12">
        <v>1915.99</v>
      </c>
      <c r="U24" s="12">
        <v>78</v>
      </c>
      <c r="V24" s="12" t="s">
        <v>435</v>
      </c>
      <c r="W24" s="12">
        <f t="shared" si="0"/>
        <v>10637</v>
      </c>
      <c r="X24" s="12">
        <v>3302487.3</v>
      </c>
    </row>
    <row r="25" spans="1:24">
      <c r="A25" s="47">
        <v>3031</v>
      </c>
      <c r="B25" s="47">
        <v>15329</v>
      </c>
      <c r="C25" s="47">
        <v>34684</v>
      </c>
      <c r="D25" s="47">
        <v>2331</v>
      </c>
      <c r="E25" s="47">
        <v>-1039</v>
      </c>
      <c r="F25" s="47">
        <v>34774</v>
      </c>
      <c r="G25" s="47">
        <v>14050</v>
      </c>
      <c r="H25" s="47">
        <v>40329</v>
      </c>
      <c r="I25" s="47">
        <v>20754</v>
      </c>
      <c r="J25" s="47">
        <v>31969</v>
      </c>
      <c r="K25" s="47">
        <v>7662</v>
      </c>
      <c r="L25" s="47">
        <v>10045</v>
      </c>
      <c r="M25" s="53" t="s">
        <v>527</v>
      </c>
      <c r="N25" s="54" t="s">
        <v>397</v>
      </c>
      <c r="O25" s="55" t="s">
        <v>529</v>
      </c>
      <c r="P25" s="11" t="s">
        <v>415</v>
      </c>
      <c r="Q25" s="12" t="s">
        <v>409</v>
      </c>
      <c r="R25" s="10" t="s">
        <v>235</v>
      </c>
      <c r="S25" s="10" t="s">
        <v>402</v>
      </c>
      <c r="T25" s="12">
        <v>1149.9000000000001</v>
      </c>
      <c r="U25" s="12">
        <v>14</v>
      </c>
      <c r="V25" s="12" t="s">
        <v>432</v>
      </c>
      <c r="W25" s="12">
        <f t="shared" si="0"/>
        <v>10573</v>
      </c>
      <c r="X25" s="12">
        <v>3244653.5</v>
      </c>
    </row>
    <row r="26" spans="1:24">
      <c r="A26" s="47">
        <v>8085</v>
      </c>
      <c r="B26" s="47">
        <v>18860</v>
      </c>
      <c r="C26" s="47">
        <v>13359</v>
      </c>
      <c r="D26" s="47">
        <v>-1945</v>
      </c>
      <c r="E26" s="47">
        <v>11252</v>
      </c>
      <c r="F26" s="47">
        <v>40747</v>
      </c>
      <c r="G26" s="47">
        <v>-4266</v>
      </c>
      <c r="H26" s="47">
        <v>13970</v>
      </c>
      <c r="I26" s="47">
        <v>23341</v>
      </c>
      <c r="J26" s="47">
        <v>4773</v>
      </c>
      <c r="K26" s="47">
        <v>9506</v>
      </c>
      <c r="L26" s="47">
        <v>17652</v>
      </c>
      <c r="M26" s="53" t="s">
        <v>527</v>
      </c>
      <c r="N26" s="54" t="s">
        <v>396</v>
      </c>
      <c r="O26" s="55" t="s">
        <v>528</v>
      </c>
      <c r="P26" s="11" t="s">
        <v>413</v>
      </c>
      <c r="Q26" s="12" t="s">
        <v>410</v>
      </c>
      <c r="R26" s="10" t="s">
        <v>236</v>
      </c>
      <c r="S26" s="10" t="s">
        <v>401</v>
      </c>
      <c r="T26" s="12">
        <v>1562.21</v>
      </c>
      <c r="U26" s="12">
        <v>32</v>
      </c>
      <c r="V26" s="12" t="s">
        <v>434</v>
      </c>
      <c r="W26" s="12">
        <f t="shared" si="0"/>
        <v>10591</v>
      </c>
      <c r="X26" s="12">
        <v>3368338.67</v>
      </c>
    </row>
    <row r="27" spans="1:24">
      <c r="A27" s="47">
        <v>44901</v>
      </c>
      <c r="B27" s="47">
        <v>6204</v>
      </c>
      <c r="C27" s="47">
        <v>39291</v>
      </c>
      <c r="D27" s="47">
        <v>-2567</v>
      </c>
      <c r="E27" s="47">
        <v>33321</v>
      </c>
      <c r="F27" s="47">
        <v>46</v>
      </c>
      <c r="G27" s="47">
        <v>2340</v>
      </c>
      <c r="H27" s="47">
        <v>30885</v>
      </c>
      <c r="I27" s="47">
        <v>748</v>
      </c>
      <c r="J27" s="47">
        <v>17871</v>
      </c>
      <c r="K27" s="47">
        <v>6287</v>
      </c>
      <c r="L27" s="47">
        <v>18833</v>
      </c>
      <c r="M27" s="53" t="s">
        <v>527</v>
      </c>
      <c r="N27" s="54" t="s">
        <v>398</v>
      </c>
      <c r="O27" s="55" t="s">
        <v>530</v>
      </c>
      <c r="P27" s="11" t="s">
        <v>413</v>
      </c>
      <c r="Q27" s="12" t="s">
        <v>411</v>
      </c>
      <c r="R27" s="10" t="s">
        <v>237</v>
      </c>
      <c r="S27" s="10" t="s">
        <v>400</v>
      </c>
      <c r="T27" s="12">
        <v>1268.44</v>
      </c>
      <c r="U27" s="12">
        <v>49</v>
      </c>
      <c r="V27" s="12" t="s">
        <v>433</v>
      </c>
      <c r="W27" s="12">
        <f t="shared" si="0"/>
        <v>10608</v>
      </c>
      <c r="X27" s="12">
        <v>3305037.22</v>
      </c>
    </row>
    <row r="28" spans="1:24">
      <c r="A28" s="47">
        <v>-1354</v>
      </c>
      <c r="B28" s="47">
        <v>20936</v>
      </c>
      <c r="C28" s="47">
        <v>19162</v>
      </c>
      <c r="D28" s="47">
        <v>12922</v>
      </c>
      <c r="E28" s="47">
        <v>28759</v>
      </c>
      <c r="F28" s="47">
        <v>38637</v>
      </c>
      <c r="G28" s="47">
        <v>3642</v>
      </c>
      <c r="H28" s="47">
        <v>14382</v>
      </c>
      <c r="I28" s="47">
        <v>16119</v>
      </c>
      <c r="J28" s="47">
        <v>36296</v>
      </c>
      <c r="K28" s="47">
        <v>30475</v>
      </c>
      <c r="L28" s="47">
        <v>497</v>
      </c>
      <c r="M28" s="53" t="s">
        <v>527</v>
      </c>
      <c r="N28" s="54" t="s">
        <v>396</v>
      </c>
      <c r="O28" s="55" t="s">
        <v>528</v>
      </c>
      <c r="P28" s="11" t="s">
        <v>414</v>
      </c>
      <c r="Q28" s="12" t="s">
        <v>409</v>
      </c>
      <c r="R28" s="10" t="s">
        <v>238</v>
      </c>
      <c r="S28" s="10" t="s">
        <v>402</v>
      </c>
      <c r="T28" s="12">
        <v>253.94</v>
      </c>
      <c r="U28" s="12">
        <v>72</v>
      </c>
      <c r="V28" s="12" t="s">
        <v>433</v>
      </c>
      <c r="W28" s="12">
        <f t="shared" si="0"/>
        <v>10631</v>
      </c>
      <c r="X28" s="12">
        <v>1795482.22</v>
      </c>
    </row>
    <row r="29" spans="1:24">
      <c r="A29" s="47">
        <v>27407</v>
      </c>
      <c r="B29" s="47">
        <v>-927</v>
      </c>
      <c r="C29" s="47">
        <v>31828</v>
      </c>
      <c r="D29" s="47">
        <v>7184</v>
      </c>
      <c r="E29" s="47">
        <v>21150</v>
      </c>
      <c r="F29" s="47">
        <v>42153</v>
      </c>
      <c r="G29" s="47">
        <v>14819</v>
      </c>
      <c r="H29" s="47">
        <v>10492</v>
      </c>
      <c r="I29" s="47">
        <v>35</v>
      </c>
      <c r="J29" s="47">
        <v>13552</v>
      </c>
      <c r="K29" s="47">
        <v>15450</v>
      </c>
      <c r="L29" s="47">
        <v>36121</v>
      </c>
      <c r="M29" s="53" t="s">
        <v>527</v>
      </c>
      <c r="N29" s="54" t="s">
        <v>395</v>
      </c>
      <c r="O29" s="55" t="s">
        <v>395</v>
      </c>
      <c r="P29" s="11" t="s">
        <v>413</v>
      </c>
      <c r="Q29" s="12" t="s">
        <v>409</v>
      </c>
      <c r="R29" s="10" t="s">
        <v>239</v>
      </c>
      <c r="S29" s="10" t="s">
        <v>402</v>
      </c>
      <c r="T29" s="12">
        <v>1339.64</v>
      </c>
      <c r="U29" s="12">
        <v>42</v>
      </c>
      <c r="V29" s="12" t="s">
        <v>433</v>
      </c>
      <c r="W29" s="12">
        <f t="shared" si="0"/>
        <v>10601</v>
      </c>
      <c r="X29" s="12">
        <v>1722306.46</v>
      </c>
    </row>
    <row r="30" spans="1:24">
      <c r="A30" s="47">
        <v>25070</v>
      </c>
      <c r="B30" s="47">
        <v>-7402</v>
      </c>
      <c r="C30" s="47">
        <v>28169</v>
      </c>
      <c r="D30" s="47">
        <v>40872</v>
      </c>
      <c r="E30" s="47">
        <v>35177</v>
      </c>
      <c r="F30" s="47">
        <v>47324</v>
      </c>
      <c r="G30" s="47">
        <v>37085</v>
      </c>
      <c r="H30" s="47">
        <v>39763</v>
      </c>
      <c r="I30" s="47">
        <v>10674</v>
      </c>
      <c r="J30" s="47">
        <v>9143</v>
      </c>
      <c r="K30" s="47">
        <v>29727</v>
      </c>
      <c r="L30" s="47">
        <v>32367</v>
      </c>
      <c r="M30" s="53" t="s">
        <v>527</v>
      </c>
      <c r="N30" s="54" t="s">
        <v>398</v>
      </c>
      <c r="O30" s="55" t="s">
        <v>530</v>
      </c>
      <c r="P30" s="11" t="s">
        <v>415</v>
      </c>
      <c r="Q30" s="12" t="s">
        <v>410</v>
      </c>
      <c r="R30" s="10" t="s">
        <v>240</v>
      </c>
      <c r="S30" s="10" t="s">
        <v>401</v>
      </c>
      <c r="T30" s="12">
        <v>337.31</v>
      </c>
      <c r="U30" s="12">
        <v>47</v>
      </c>
      <c r="V30" s="12" t="s">
        <v>433</v>
      </c>
      <c r="W30" s="12">
        <f t="shared" si="0"/>
        <v>10606</v>
      </c>
      <c r="X30" s="12">
        <v>1944990.52</v>
      </c>
    </row>
    <row r="31" spans="1:24">
      <c r="A31" s="47">
        <v>8457</v>
      </c>
      <c r="B31" s="47">
        <v>-2895</v>
      </c>
      <c r="C31" s="47">
        <v>32476</v>
      </c>
      <c r="D31" s="47">
        <v>25451</v>
      </c>
      <c r="E31" s="47">
        <v>10470</v>
      </c>
      <c r="F31" s="47">
        <v>10871</v>
      </c>
      <c r="G31" s="47">
        <v>-7851</v>
      </c>
      <c r="H31" s="47">
        <v>16404</v>
      </c>
      <c r="I31" s="47">
        <v>20750</v>
      </c>
      <c r="J31" s="47">
        <v>6729</v>
      </c>
      <c r="K31" s="47">
        <v>47309</v>
      </c>
      <c r="L31" s="47">
        <v>42767</v>
      </c>
      <c r="M31" s="53" t="s">
        <v>527</v>
      </c>
      <c r="N31" s="54" t="s">
        <v>395</v>
      </c>
      <c r="O31" s="55" t="s">
        <v>395</v>
      </c>
      <c r="P31" s="11" t="s">
        <v>415</v>
      </c>
      <c r="Q31" s="12" t="s">
        <v>411</v>
      </c>
      <c r="R31" s="10" t="s">
        <v>241</v>
      </c>
      <c r="S31" s="10" t="s">
        <v>401</v>
      </c>
      <c r="T31" s="12">
        <v>1244.81</v>
      </c>
      <c r="U31" s="12">
        <v>38</v>
      </c>
      <c r="V31" s="12" t="s">
        <v>432</v>
      </c>
      <c r="W31" s="12">
        <f t="shared" si="0"/>
        <v>10597</v>
      </c>
      <c r="X31" s="12">
        <v>3309710.56</v>
      </c>
    </row>
    <row r="32" spans="1:24">
      <c r="A32" s="47">
        <v>18130</v>
      </c>
      <c r="B32" s="47">
        <v>14695</v>
      </c>
      <c r="C32" s="47">
        <v>41865</v>
      </c>
      <c r="D32" s="47">
        <v>31415</v>
      </c>
      <c r="E32" s="47">
        <v>35808</v>
      </c>
      <c r="F32" s="47">
        <v>42700</v>
      </c>
      <c r="G32" s="47">
        <v>25265</v>
      </c>
      <c r="H32" s="47">
        <v>8223</v>
      </c>
      <c r="I32" s="47">
        <v>30406</v>
      </c>
      <c r="J32" s="47">
        <v>33472</v>
      </c>
      <c r="K32" s="47">
        <v>35264</v>
      </c>
      <c r="L32" s="47">
        <v>10548</v>
      </c>
      <c r="M32" s="53" t="s">
        <v>527</v>
      </c>
      <c r="N32" s="54" t="s">
        <v>397</v>
      </c>
      <c r="O32" s="55" t="s">
        <v>529</v>
      </c>
      <c r="P32" s="11" t="s">
        <v>416</v>
      </c>
      <c r="Q32" s="12" t="s">
        <v>411</v>
      </c>
      <c r="R32" s="10" t="s">
        <v>242</v>
      </c>
      <c r="S32" s="10" t="s">
        <v>403</v>
      </c>
      <c r="T32" s="12">
        <v>1799.11</v>
      </c>
      <c r="U32" s="12">
        <v>66</v>
      </c>
      <c r="V32" s="12" t="s">
        <v>434</v>
      </c>
      <c r="W32" s="12">
        <f t="shared" si="0"/>
        <v>10625</v>
      </c>
      <c r="X32" s="12">
        <v>3166864.37</v>
      </c>
    </row>
    <row r="33" spans="1:24">
      <c r="A33" s="47">
        <v>5830</v>
      </c>
      <c r="B33" s="47">
        <v>39860</v>
      </c>
      <c r="C33" s="47">
        <v>38338</v>
      </c>
      <c r="D33" s="47">
        <v>37974</v>
      </c>
      <c r="E33" s="47">
        <v>13522</v>
      </c>
      <c r="F33" s="47">
        <v>22675</v>
      </c>
      <c r="G33" s="47">
        <v>15840</v>
      </c>
      <c r="H33" s="47">
        <v>-4155</v>
      </c>
      <c r="I33" s="47">
        <v>16757</v>
      </c>
      <c r="J33" s="47">
        <v>28539</v>
      </c>
      <c r="K33" s="47">
        <v>31744</v>
      </c>
      <c r="L33" s="47">
        <v>38347</v>
      </c>
      <c r="M33" s="53" t="s">
        <v>527</v>
      </c>
      <c r="N33" s="54" t="s">
        <v>397</v>
      </c>
      <c r="O33" s="55" t="s">
        <v>529</v>
      </c>
      <c r="P33" s="11" t="s">
        <v>415</v>
      </c>
      <c r="Q33" s="12" t="s">
        <v>409</v>
      </c>
      <c r="R33" s="10" t="s">
        <v>243</v>
      </c>
      <c r="S33" s="10" t="s">
        <v>402</v>
      </c>
      <c r="T33" s="12">
        <v>1759.27</v>
      </c>
      <c r="U33" s="12">
        <v>91</v>
      </c>
      <c r="V33" s="12" t="s">
        <v>432</v>
      </c>
      <c r="W33" s="12">
        <f t="shared" si="0"/>
        <v>10650</v>
      </c>
      <c r="X33" s="12">
        <v>1736248.64</v>
      </c>
    </row>
    <row r="34" spans="1:24">
      <c r="A34" s="47">
        <v>4785</v>
      </c>
      <c r="B34" s="47">
        <v>21971</v>
      </c>
      <c r="C34" s="47">
        <v>35820</v>
      </c>
      <c r="D34" s="47">
        <v>17672</v>
      </c>
      <c r="E34" s="47">
        <v>-1260</v>
      </c>
      <c r="F34" s="47">
        <v>33528</v>
      </c>
      <c r="G34" s="47">
        <v>2260</v>
      </c>
      <c r="H34" s="47">
        <v>-6026</v>
      </c>
      <c r="I34" s="47">
        <v>29584</v>
      </c>
      <c r="J34" s="47">
        <v>25642</v>
      </c>
      <c r="K34" s="47">
        <v>41256</v>
      </c>
      <c r="L34" s="47">
        <v>40438</v>
      </c>
      <c r="M34" s="53" t="s">
        <v>527</v>
      </c>
      <c r="N34" s="54" t="s">
        <v>398</v>
      </c>
      <c r="O34" s="55" t="s">
        <v>530</v>
      </c>
      <c r="P34" s="11" t="s">
        <v>415</v>
      </c>
      <c r="Q34" s="12" t="s">
        <v>410</v>
      </c>
      <c r="R34" s="10" t="s">
        <v>244</v>
      </c>
      <c r="S34" s="10" t="s">
        <v>403</v>
      </c>
      <c r="T34" s="12">
        <v>2004.73</v>
      </c>
      <c r="U34" s="12">
        <v>63</v>
      </c>
      <c r="V34" s="12" t="s">
        <v>432</v>
      </c>
      <c r="W34" s="12">
        <f t="shared" si="0"/>
        <v>10622</v>
      </c>
      <c r="X34" s="12">
        <v>3043212.82</v>
      </c>
    </row>
    <row r="35" spans="1:24">
      <c r="A35" s="47">
        <v>14435</v>
      </c>
      <c r="B35" s="47">
        <v>15432</v>
      </c>
      <c r="C35" s="47">
        <v>17462</v>
      </c>
      <c r="D35" s="47">
        <v>26657</v>
      </c>
      <c r="E35" s="47">
        <v>44523</v>
      </c>
      <c r="F35" s="47">
        <v>14489</v>
      </c>
      <c r="G35" s="47">
        <v>34609</v>
      </c>
      <c r="H35" s="47">
        <v>34683</v>
      </c>
      <c r="I35" s="47">
        <v>16881</v>
      </c>
      <c r="J35" s="47">
        <v>38069</v>
      </c>
      <c r="K35" s="47">
        <v>13072</v>
      </c>
      <c r="L35" s="47">
        <v>28235</v>
      </c>
      <c r="M35" s="53" t="s">
        <v>527</v>
      </c>
      <c r="N35" s="54" t="s">
        <v>398</v>
      </c>
      <c r="O35" s="55" t="s">
        <v>530</v>
      </c>
      <c r="P35" s="11" t="s">
        <v>413</v>
      </c>
      <c r="Q35" s="12" t="s">
        <v>408</v>
      </c>
      <c r="R35" s="10" t="s">
        <v>245</v>
      </c>
      <c r="S35" s="10" t="s">
        <v>401</v>
      </c>
      <c r="T35" s="12">
        <v>331.02</v>
      </c>
      <c r="U35" s="12">
        <v>65</v>
      </c>
      <c r="V35" s="12" t="s">
        <v>433</v>
      </c>
      <c r="W35" s="12">
        <f t="shared" si="0"/>
        <v>10624</v>
      </c>
      <c r="X35" s="12">
        <v>2183729.61</v>
      </c>
    </row>
    <row r="36" spans="1:24">
      <c r="A36" s="47">
        <v>44373</v>
      </c>
      <c r="B36" s="47">
        <v>13249</v>
      </c>
      <c r="C36" s="47">
        <v>41605</v>
      </c>
      <c r="D36" s="47">
        <v>24298</v>
      </c>
      <c r="E36" s="47">
        <v>8539</v>
      </c>
      <c r="F36" s="47">
        <v>23683</v>
      </c>
      <c r="G36" s="47">
        <v>-7837</v>
      </c>
      <c r="H36" s="47">
        <v>17811</v>
      </c>
      <c r="I36" s="47">
        <v>35781</v>
      </c>
      <c r="J36" s="47">
        <v>40305</v>
      </c>
      <c r="K36" s="47">
        <v>7189</v>
      </c>
      <c r="L36" s="47">
        <v>17543</v>
      </c>
      <c r="M36" s="53" t="s">
        <v>527</v>
      </c>
      <c r="N36" s="54" t="s">
        <v>396</v>
      </c>
      <c r="O36" s="55" t="s">
        <v>528</v>
      </c>
      <c r="P36" s="11" t="s">
        <v>415</v>
      </c>
      <c r="Q36" s="12" t="s">
        <v>408</v>
      </c>
      <c r="R36" s="10" t="s">
        <v>246</v>
      </c>
      <c r="S36" s="10" t="s">
        <v>401</v>
      </c>
      <c r="T36" s="12">
        <v>1973.76</v>
      </c>
      <c r="U36" s="12">
        <v>64</v>
      </c>
      <c r="V36" s="12" t="s">
        <v>433</v>
      </c>
      <c r="W36" s="12">
        <f t="shared" si="0"/>
        <v>10623</v>
      </c>
      <c r="X36" s="12">
        <v>2163410.39</v>
      </c>
    </row>
    <row r="37" spans="1:24">
      <c r="A37" s="47">
        <v>13122</v>
      </c>
      <c r="B37" s="47">
        <v>40189</v>
      </c>
      <c r="C37" s="47">
        <v>28253</v>
      </c>
      <c r="D37" s="47">
        <v>-1409</v>
      </c>
      <c r="E37" s="47">
        <v>12586</v>
      </c>
      <c r="F37" s="47">
        <v>6055</v>
      </c>
      <c r="G37" s="47">
        <v>30072</v>
      </c>
      <c r="H37" s="47">
        <v>11584</v>
      </c>
      <c r="I37" s="47">
        <v>13318</v>
      </c>
      <c r="J37" s="47">
        <v>22012</v>
      </c>
      <c r="K37" s="47">
        <v>17167</v>
      </c>
      <c r="L37" s="47">
        <v>14978</v>
      </c>
      <c r="M37" s="53" t="s">
        <v>527</v>
      </c>
      <c r="N37" s="54" t="s">
        <v>396</v>
      </c>
      <c r="O37" s="55" t="s">
        <v>528</v>
      </c>
      <c r="P37" s="11" t="s">
        <v>414</v>
      </c>
      <c r="Q37" s="12" t="s">
        <v>411</v>
      </c>
      <c r="R37" s="10" t="s">
        <v>247</v>
      </c>
      <c r="S37" s="10" t="s">
        <v>400</v>
      </c>
      <c r="T37" s="12">
        <v>970.84</v>
      </c>
      <c r="U37" s="12">
        <v>14</v>
      </c>
      <c r="V37" s="12" t="s">
        <v>433</v>
      </c>
      <c r="W37" s="12">
        <f t="shared" si="0"/>
        <v>10573</v>
      </c>
      <c r="X37" s="12">
        <v>2381425.0499999998</v>
      </c>
    </row>
    <row r="38" spans="1:24">
      <c r="A38" s="47">
        <v>23452</v>
      </c>
      <c r="B38" s="47">
        <v>35495</v>
      </c>
      <c r="C38" s="47">
        <v>26315</v>
      </c>
      <c r="D38" s="47">
        <v>10559</v>
      </c>
      <c r="E38" s="47">
        <v>13747</v>
      </c>
      <c r="F38" s="47">
        <v>40287</v>
      </c>
      <c r="G38" s="47">
        <v>10044</v>
      </c>
      <c r="H38" s="47">
        <v>3009</v>
      </c>
      <c r="I38" s="47">
        <v>1528</v>
      </c>
      <c r="J38" s="47">
        <v>13624</v>
      </c>
      <c r="K38" s="47">
        <v>10189</v>
      </c>
      <c r="L38" s="47">
        <v>47070</v>
      </c>
      <c r="M38" s="53" t="s">
        <v>527</v>
      </c>
      <c r="N38" s="54" t="s">
        <v>395</v>
      </c>
      <c r="O38" s="55" t="s">
        <v>395</v>
      </c>
      <c r="P38" s="11" t="s">
        <v>414</v>
      </c>
      <c r="Q38" s="12" t="s">
        <v>408</v>
      </c>
      <c r="R38" s="10" t="s">
        <v>248</v>
      </c>
      <c r="S38" s="10" t="s">
        <v>402</v>
      </c>
      <c r="T38" s="12">
        <v>1227.19</v>
      </c>
      <c r="U38" s="12">
        <v>11</v>
      </c>
      <c r="V38" s="12" t="s">
        <v>434</v>
      </c>
      <c r="W38" s="12">
        <f t="shared" si="0"/>
        <v>10570</v>
      </c>
      <c r="X38" s="12">
        <v>1836290.7</v>
      </c>
    </row>
    <row r="39" spans="1:24">
      <c r="A39" s="47">
        <v>2759</v>
      </c>
      <c r="B39" s="47">
        <v>-2505</v>
      </c>
      <c r="C39" s="47">
        <v>6592</v>
      </c>
      <c r="D39" s="47">
        <v>33221</v>
      </c>
      <c r="E39" s="47">
        <v>19247</v>
      </c>
      <c r="F39" s="47">
        <v>31282</v>
      </c>
      <c r="G39" s="47">
        <v>16766</v>
      </c>
      <c r="H39" s="47">
        <v>38214</v>
      </c>
      <c r="I39" s="47">
        <v>12603</v>
      </c>
      <c r="J39" s="47">
        <v>7631</v>
      </c>
      <c r="K39" s="47">
        <v>24616</v>
      </c>
      <c r="L39" s="47">
        <v>4409</v>
      </c>
      <c r="M39" s="53" t="s">
        <v>527</v>
      </c>
      <c r="N39" s="54" t="s">
        <v>398</v>
      </c>
      <c r="O39" s="55" t="s">
        <v>530</v>
      </c>
      <c r="P39" s="11" t="s">
        <v>413</v>
      </c>
      <c r="Q39" s="12" t="s">
        <v>411</v>
      </c>
      <c r="R39" s="10" t="s">
        <v>249</v>
      </c>
      <c r="S39" s="10" t="s">
        <v>403</v>
      </c>
      <c r="T39" s="12">
        <v>2581.06</v>
      </c>
      <c r="U39" s="12">
        <v>5</v>
      </c>
      <c r="V39" s="12" t="s">
        <v>434</v>
      </c>
      <c r="W39" s="12">
        <f t="shared" si="0"/>
        <v>10564</v>
      </c>
      <c r="X39" s="12">
        <v>2155130.2200000002</v>
      </c>
    </row>
    <row r="40" spans="1:24">
      <c r="A40" s="47">
        <v>34144</v>
      </c>
      <c r="B40" s="47">
        <v>28984</v>
      </c>
      <c r="C40" s="47">
        <v>43664</v>
      </c>
      <c r="D40" s="47">
        <v>35733</v>
      </c>
      <c r="E40" s="47">
        <v>-2178</v>
      </c>
      <c r="F40" s="47">
        <v>25043</v>
      </c>
      <c r="G40" s="47">
        <v>34893</v>
      </c>
      <c r="H40" s="47">
        <v>35671</v>
      </c>
      <c r="I40" s="47">
        <v>6591</v>
      </c>
      <c r="J40" s="47">
        <v>-1062</v>
      </c>
      <c r="K40" s="47">
        <v>29804</v>
      </c>
      <c r="L40" s="47">
        <v>22994</v>
      </c>
      <c r="M40" s="53" t="s">
        <v>527</v>
      </c>
      <c r="N40" s="54" t="s">
        <v>397</v>
      </c>
      <c r="O40" s="55" t="s">
        <v>529</v>
      </c>
      <c r="P40" s="11" t="s">
        <v>415</v>
      </c>
      <c r="Q40" s="12" t="s">
        <v>411</v>
      </c>
      <c r="R40" s="10" t="s">
        <v>250</v>
      </c>
      <c r="S40" s="10" t="s">
        <v>401</v>
      </c>
      <c r="T40" s="12">
        <v>76.64</v>
      </c>
      <c r="U40" s="12">
        <v>34</v>
      </c>
      <c r="V40" s="12" t="s">
        <v>433</v>
      </c>
      <c r="W40" s="12">
        <f t="shared" si="0"/>
        <v>10593</v>
      </c>
      <c r="X40" s="12">
        <v>2254107.5499999998</v>
      </c>
    </row>
    <row r="41" spans="1:24">
      <c r="A41" s="47">
        <v>339</v>
      </c>
      <c r="B41" s="47">
        <v>30384</v>
      </c>
      <c r="C41" s="47">
        <v>36307</v>
      </c>
      <c r="D41" s="47">
        <v>51</v>
      </c>
      <c r="E41" s="47">
        <v>608</v>
      </c>
      <c r="F41" s="47">
        <v>17167</v>
      </c>
      <c r="G41" s="47">
        <v>32391</v>
      </c>
      <c r="H41" s="47">
        <v>-2204</v>
      </c>
      <c r="I41" s="47">
        <v>31738</v>
      </c>
      <c r="J41" s="47">
        <v>-6633</v>
      </c>
      <c r="K41" s="47">
        <v>13609</v>
      </c>
      <c r="L41" s="47">
        <v>19586</v>
      </c>
      <c r="M41" s="53" t="s">
        <v>527</v>
      </c>
      <c r="N41" s="54" t="s">
        <v>396</v>
      </c>
      <c r="O41" s="55" t="s">
        <v>528</v>
      </c>
      <c r="P41" s="11" t="s">
        <v>416</v>
      </c>
      <c r="Q41" s="12" t="s">
        <v>411</v>
      </c>
      <c r="R41" s="10" t="s">
        <v>251</v>
      </c>
      <c r="S41" s="10" t="s">
        <v>401</v>
      </c>
      <c r="T41" s="12">
        <v>1785.82</v>
      </c>
      <c r="U41" s="12">
        <v>43</v>
      </c>
      <c r="V41" s="12" t="s">
        <v>433</v>
      </c>
      <c r="W41" s="12">
        <f t="shared" si="0"/>
        <v>10602</v>
      </c>
      <c r="X41" s="12">
        <v>2738818.83</v>
      </c>
    </row>
    <row r="42" spans="1:24">
      <c r="A42" s="47">
        <v>3727</v>
      </c>
      <c r="B42" s="47">
        <v>646</v>
      </c>
      <c r="C42" s="47">
        <v>15664</v>
      </c>
      <c r="D42" s="47">
        <v>32097</v>
      </c>
      <c r="E42" s="47">
        <v>25166</v>
      </c>
      <c r="F42" s="47">
        <v>14155</v>
      </c>
      <c r="G42" s="47">
        <v>10833</v>
      </c>
      <c r="H42" s="47">
        <v>28625</v>
      </c>
      <c r="I42" s="47">
        <v>29693</v>
      </c>
      <c r="J42" s="47">
        <v>17969</v>
      </c>
      <c r="K42" s="47">
        <v>40715</v>
      </c>
      <c r="L42" s="47">
        <v>23327</v>
      </c>
      <c r="M42" s="53" t="s">
        <v>527</v>
      </c>
      <c r="N42" s="54" t="s">
        <v>396</v>
      </c>
      <c r="O42" s="55" t="s">
        <v>528</v>
      </c>
      <c r="P42" s="11" t="s">
        <v>413</v>
      </c>
      <c r="Q42" s="12" t="s">
        <v>408</v>
      </c>
      <c r="R42" s="10" t="s">
        <v>252</v>
      </c>
      <c r="S42" s="10" t="s">
        <v>403</v>
      </c>
      <c r="T42" s="12">
        <v>1816.21</v>
      </c>
      <c r="U42" s="12">
        <v>56</v>
      </c>
      <c r="V42" s="12" t="s">
        <v>432</v>
      </c>
      <c r="W42" s="12">
        <f t="shared" si="0"/>
        <v>10615</v>
      </c>
      <c r="X42" s="12">
        <v>1174947.81</v>
      </c>
    </row>
    <row r="43" spans="1:24">
      <c r="A43" s="47">
        <v>20468</v>
      </c>
      <c r="B43" s="47">
        <v>-7813</v>
      </c>
      <c r="C43" s="47">
        <v>21414</v>
      </c>
      <c r="D43" s="47">
        <v>6938</v>
      </c>
      <c r="E43" s="47">
        <v>13056</v>
      </c>
      <c r="F43" s="47">
        <v>11647</v>
      </c>
      <c r="G43" s="47">
        <v>8724</v>
      </c>
      <c r="H43" s="47">
        <v>38000</v>
      </c>
      <c r="I43" s="47">
        <v>13629</v>
      </c>
      <c r="J43" s="47">
        <v>-2535</v>
      </c>
      <c r="K43" s="47">
        <v>46278</v>
      </c>
      <c r="L43" s="47">
        <v>30304</v>
      </c>
      <c r="M43" s="53" t="s">
        <v>527</v>
      </c>
      <c r="N43" s="54" t="s">
        <v>397</v>
      </c>
      <c r="O43" s="55" t="s">
        <v>529</v>
      </c>
      <c r="P43" s="11" t="s">
        <v>414</v>
      </c>
      <c r="Q43" s="12" t="s">
        <v>411</v>
      </c>
      <c r="R43" s="10" t="s">
        <v>253</v>
      </c>
      <c r="S43" s="10" t="s">
        <v>400</v>
      </c>
      <c r="T43" s="12">
        <v>1220.1500000000001</v>
      </c>
      <c r="U43" s="12">
        <v>84</v>
      </c>
      <c r="V43" s="12" t="s">
        <v>432</v>
      </c>
      <c r="W43" s="12">
        <f t="shared" si="0"/>
        <v>10643</v>
      </c>
      <c r="X43" s="12">
        <v>2336283.56</v>
      </c>
    </row>
    <row r="44" spans="1:24">
      <c r="A44" s="47">
        <v>8225</v>
      </c>
      <c r="B44" s="47">
        <v>-3681</v>
      </c>
      <c r="C44" s="47">
        <v>26432</v>
      </c>
      <c r="D44" s="47">
        <v>32225</v>
      </c>
      <c r="E44" s="47">
        <v>41553</v>
      </c>
      <c r="F44" s="47">
        <v>41247</v>
      </c>
      <c r="G44" s="47">
        <v>-7572</v>
      </c>
      <c r="H44" s="47">
        <v>-6372</v>
      </c>
      <c r="I44" s="47">
        <v>23612</v>
      </c>
      <c r="J44" s="47">
        <v>24840</v>
      </c>
      <c r="K44" s="47">
        <v>9093</v>
      </c>
      <c r="L44" s="47">
        <v>27041</v>
      </c>
      <c r="M44" s="53" t="s">
        <v>527</v>
      </c>
      <c r="N44" s="54" t="s">
        <v>396</v>
      </c>
      <c r="O44" s="55" t="s">
        <v>528</v>
      </c>
      <c r="P44" s="11" t="s">
        <v>416</v>
      </c>
      <c r="Q44" s="12" t="s">
        <v>409</v>
      </c>
      <c r="R44" s="10" t="s">
        <v>254</v>
      </c>
      <c r="S44" s="10" t="s">
        <v>401</v>
      </c>
      <c r="T44" s="12">
        <v>749.23</v>
      </c>
      <c r="U44" s="12">
        <v>23</v>
      </c>
      <c r="V44" s="12" t="s">
        <v>432</v>
      </c>
      <c r="W44" s="12">
        <f t="shared" si="0"/>
        <v>10582</v>
      </c>
      <c r="X44" s="12">
        <v>1543200.87</v>
      </c>
    </row>
    <row r="45" spans="1:24">
      <c r="A45" s="47">
        <v>8319</v>
      </c>
      <c r="B45" s="47">
        <v>-4777</v>
      </c>
      <c r="C45" s="47">
        <v>43104</v>
      </c>
      <c r="D45" s="47">
        <v>8637</v>
      </c>
      <c r="E45" s="47">
        <v>35819</v>
      </c>
      <c r="F45" s="47">
        <v>11081</v>
      </c>
      <c r="G45" s="47">
        <v>7265</v>
      </c>
      <c r="H45" s="47">
        <v>10859</v>
      </c>
      <c r="I45" s="47">
        <v>29643</v>
      </c>
      <c r="J45" s="47">
        <v>2317</v>
      </c>
      <c r="K45" s="47">
        <v>29533</v>
      </c>
      <c r="L45" s="47">
        <v>-758</v>
      </c>
      <c r="M45" s="53" t="s">
        <v>527</v>
      </c>
      <c r="N45" s="54" t="s">
        <v>395</v>
      </c>
      <c r="O45" s="55" t="s">
        <v>395</v>
      </c>
      <c r="P45" s="11" t="s">
        <v>416</v>
      </c>
      <c r="Q45" s="12" t="s">
        <v>410</v>
      </c>
      <c r="R45" s="10" t="s">
        <v>255</v>
      </c>
      <c r="S45" s="10" t="s">
        <v>402</v>
      </c>
      <c r="T45" s="12">
        <v>742.29</v>
      </c>
      <c r="U45" s="12">
        <v>70</v>
      </c>
      <c r="V45" s="12" t="s">
        <v>434</v>
      </c>
      <c r="W45" s="12">
        <f t="shared" si="0"/>
        <v>10629</v>
      </c>
      <c r="X45" s="12">
        <v>1709908.93</v>
      </c>
    </row>
    <row r="46" spans="1:24">
      <c r="A46" s="47">
        <v>31802</v>
      </c>
      <c r="B46" s="47">
        <v>6058</v>
      </c>
      <c r="C46" s="47">
        <v>17687</v>
      </c>
      <c r="D46" s="47">
        <v>9486</v>
      </c>
      <c r="E46" s="47">
        <v>39123</v>
      </c>
      <c r="F46" s="47">
        <v>7757</v>
      </c>
      <c r="G46" s="47">
        <v>3579</v>
      </c>
      <c r="H46" s="47">
        <v>20796</v>
      </c>
      <c r="I46" s="47">
        <v>37447</v>
      </c>
      <c r="J46" s="47">
        <v>39060</v>
      </c>
      <c r="K46" s="47">
        <v>12752</v>
      </c>
      <c r="L46" s="47">
        <v>46636</v>
      </c>
      <c r="M46" s="53" t="s">
        <v>527</v>
      </c>
      <c r="N46" s="54" t="s">
        <v>398</v>
      </c>
      <c r="O46" s="55" t="s">
        <v>530</v>
      </c>
      <c r="P46" s="11" t="s">
        <v>414</v>
      </c>
      <c r="Q46" s="12" t="s">
        <v>410</v>
      </c>
      <c r="R46" s="10" t="s">
        <v>256</v>
      </c>
      <c r="S46" s="10" t="s">
        <v>401</v>
      </c>
      <c r="T46" s="12">
        <v>2656.94</v>
      </c>
      <c r="U46" s="12">
        <v>16</v>
      </c>
      <c r="V46" s="12" t="s">
        <v>434</v>
      </c>
      <c r="W46" s="12">
        <f t="shared" si="0"/>
        <v>10575</v>
      </c>
      <c r="X46" s="12">
        <v>1944774.47</v>
      </c>
    </row>
    <row r="47" spans="1:24">
      <c r="A47" s="47">
        <v>18279</v>
      </c>
      <c r="B47" s="47">
        <v>-275</v>
      </c>
      <c r="C47" s="47">
        <v>27532</v>
      </c>
      <c r="D47" s="47">
        <v>22461</v>
      </c>
      <c r="E47" s="47">
        <v>2778</v>
      </c>
      <c r="F47" s="47">
        <v>40654</v>
      </c>
      <c r="G47" s="47">
        <v>20180</v>
      </c>
      <c r="H47" s="47">
        <v>12831</v>
      </c>
      <c r="I47" s="47">
        <v>16517</v>
      </c>
      <c r="J47" s="47">
        <v>29160</v>
      </c>
      <c r="K47" s="47">
        <v>23816</v>
      </c>
      <c r="L47" s="47">
        <v>37805</v>
      </c>
      <c r="M47" s="53" t="s">
        <v>527</v>
      </c>
      <c r="N47" s="54" t="s">
        <v>397</v>
      </c>
      <c r="O47" s="55" t="s">
        <v>529</v>
      </c>
      <c r="P47" s="11" t="s">
        <v>416</v>
      </c>
      <c r="Q47" s="12" t="s">
        <v>411</v>
      </c>
      <c r="R47" s="10" t="s">
        <v>257</v>
      </c>
      <c r="S47" s="10" t="s">
        <v>402</v>
      </c>
      <c r="T47" s="12">
        <v>1353.97</v>
      </c>
      <c r="U47" s="12">
        <v>79</v>
      </c>
      <c r="V47" s="12" t="s">
        <v>433</v>
      </c>
      <c r="W47" s="12">
        <f t="shared" si="0"/>
        <v>10638</v>
      </c>
      <c r="X47" s="12">
        <v>2484477.64</v>
      </c>
    </row>
    <row r="48" spans="1:24">
      <c r="A48" s="47">
        <v>3891</v>
      </c>
      <c r="B48" s="47">
        <v>22488</v>
      </c>
      <c r="C48" s="47">
        <v>167</v>
      </c>
      <c r="D48" s="47">
        <v>1504</v>
      </c>
      <c r="E48" s="47">
        <v>20348</v>
      </c>
      <c r="F48" s="47">
        <v>20064</v>
      </c>
      <c r="G48" s="47">
        <v>4869</v>
      </c>
      <c r="H48" s="47">
        <v>7450</v>
      </c>
      <c r="I48" s="47">
        <v>381</v>
      </c>
      <c r="J48" s="47">
        <v>21259</v>
      </c>
      <c r="K48" s="47">
        <v>7857</v>
      </c>
      <c r="L48" s="47">
        <v>14481</v>
      </c>
      <c r="M48" s="53" t="s">
        <v>527</v>
      </c>
      <c r="N48" s="54" t="s">
        <v>398</v>
      </c>
      <c r="O48" s="55" t="s">
        <v>530</v>
      </c>
      <c r="P48" s="11" t="s">
        <v>413</v>
      </c>
      <c r="Q48" s="12" t="s">
        <v>410</v>
      </c>
      <c r="R48" s="10" t="s">
        <v>258</v>
      </c>
      <c r="S48" s="10" t="s">
        <v>403</v>
      </c>
      <c r="T48" s="12">
        <v>1026.1199999999999</v>
      </c>
      <c r="U48" s="12">
        <v>33</v>
      </c>
      <c r="V48" s="12" t="s">
        <v>432</v>
      </c>
      <c r="W48" s="12">
        <f t="shared" si="0"/>
        <v>10592</v>
      </c>
      <c r="X48" s="12">
        <v>3221199.87</v>
      </c>
    </row>
    <row r="49" spans="1:24">
      <c r="A49" s="47">
        <v>36922</v>
      </c>
      <c r="B49" s="47">
        <v>3222</v>
      </c>
      <c r="C49" s="47">
        <v>3822</v>
      </c>
      <c r="D49" s="47">
        <v>21491</v>
      </c>
      <c r="E49" s="47">
        <v>33578</v>
      </c>
      <c r="F49" s="47">
        <v>29218</v>
      </c>
      <c r="G49" s="47">
        <v>15868</v>
      </c>
      <c r="H49" s="47">
        <v>34378</v>
      </c>
      <c r="I49" s="47">
        <v>42789</v>
      </c>
      <c r="J49" s="47">
        <v>23933</v>
      </c>
      <c r="K49" s="47">
        <v>2953</v>
      </c>
      <c r="L49" s="47">
        <v>19562</v>
      </c>
      <c r="M49" s="53" t="s">
        <v>527</v>
      </c>
      <c r="N49" s="54" t="s">
        <v>396</v>
      </c>
      <c r="O49" s="55" t="s">
        <v>528</v>
      </c>
      <c r="P49" s="11" t="s">
        <v>414</v>
      </c>
      <c r="Q49" s="12" t="s">
        <v>408</v>
      </c>
      <c r="R49" s="10" t="s">
        <v>259</v>
      </c>
      <c r="S49" s="10" t="s">
        <v>402</v>
      </c>
      <c r="T49" s="12">
        <v>1373.89</v>
      </c>
      <c r="U49" s="12">
        <v>83</v>
      </c>
      <c r="V49" s="12" t="s">
        <v>432</v>
      </c>
      <c r="W49" s="12">
        <f t="shared" si="0"/>
        <v>10642</v>
      </c>
      <c r="X49" s="12">
        <v>2102570.92</v>
      </c>
    </row>
    <row r="50" spans="1:24">
      <c r="A50" s="47">
        <v>5302</v>
      </c>
      <c r="B50" s="47">
        <v>28388</v>
      </c>
      <c r="C50" s="47">
        <v>289</v>
      </c>
      <c r="D50" s="47">
        <v>35872</v>
      </c>
      <c r="E50" s="47">
        <v>7865</v>
      </c>
      <c r="F50" s="47">
        <v>25746</v>
      </c>
      <c r="G50" s="47">
        <v>-9688</v>
      </c>
      <c r="H50" s="47">
        <v>-6218</v>
      </c>
      <c r="I50" s="47">
        <v>32504</v>
      </c>
      <c r="J50" s="47">
        <v>19014</v>
      </c>
      <c r="K50" s="47">
        <v>5287</v>
      </c>
      <c r="L50" s="47">
        <v>14492</v>
      </c>
      <c r="M50" s="53" t="s">
        <v>527</v>
      </c>
      <c r="N50" s="54" t="s">
        <v>396</v>
      </c>
      <c r="O50" s="55" t="s">
        <v>528</v>
      </c>
      <c r="P50" s="11" t="s">
        <v>413</v>
      </c>
      <c r="Q50" s="12" t="s">
        <v>408</v>
      </c>
      <c r="R50" s="10" t="s">
        <v>260</v>
      </c>
      <c r="S50" s="10" t="s">
        <v>403</v>
      </c>
      <c r="T50" s="12">
        <v>2024.7</v>
      </c>
      <c r="U50" s="12">
        <v>64</v>
      </c>
      <c r="V50" s="12" t="s">
        <v>435</v>
      </c>
      <c r="W50" s="12">
        <f t="shared" si="0"/>
        <v>10623</v>
      </c>
      <c r="X50" s="12">
        <v>3115400.68</v>
      </c>
    </row>
    <row r="51" spans="1:24">
      <c r="A51" s="47">
        <v>17845</v>
      </c>
      <c r="B51" s="47">
        <v>14110</v>
      </c>
      <c r="C51" s="47">
        <v>36101</v>
      </c>
      <c r="D51" s="47">
        <v>27966</v>
      </c>
      <c r="E51" s="47">
        <v>3767</v>
      </c>
      <c r="F51" s="47">
        <v>40232</v>
      </c>
      <c r="G51" s="47">
        <v>2273</v>
      </c>
      <c r="H51" s="47">
        <v>9229</v>
      </c>
      <c r="I51" s="47">
        <v>20304</v>
      </c>
      <c r="J51" s="47">
        <v>30913</v>
      </c>
      <c r="K51" s="47">
        <v>24911</v>
      </c>
      <c r="L51" s="47">
        <v>41807</v>
      </c>
      <c r="M51" s="53" t="s">
        <v>527</v>
      </c>
      <c r="N51" s="54" t="s">
        <v>397</v>
      </c>
      <c r="O51" s="55" t="s">
        <v>529</v>
      </c>
      <c r="P51" s="11" t="s">
        <v>415</v>
      </c>
      <c r="Q51" s="12" t="s">
        <v>410</v>
      </c>
      <c r="R51" s="10" t="s">
        <v>261</v>
      </c>
      <c r="S51" s="10" t="s">
        <v>402</v>
      </c>
      <c r="T51" s="12">
        <v>479.98</v>
      </c>
      <c r="U51" s="12">
        <v>80</v>
      </c>
      <c r="V51" s="12" t="s">
        <v>432</v>
      </c>
      <c r="W51" s="12">
        <f t="shared" si="0"/>
        <v>10639</v>
      </c>
      <c r="X51" s="12">
        <v>1476906.21</v>
      </c>
    </row>
    <row r="52" spans="1:24">
      <c r="A52" s="47">
        <v>32068</v>
      </c>
      <c r="B52" s="47">
        <v>-6550</v>
      </c>
      <c r="C52" s="47">
        <v>5858</v>
      </c>
      <c r="D52" s="47">
        <v>263</v>
      </c>
      <c r="E52" s="47">
        <v>4386</v>
      </c>
      <c r="F52" s="47">
        <v>12442</v>
      </c>
      <c r="G52" s="47">
        <v>245</v>
      </c>
      <c r="H52" s="47">
        <v>11916</v>
      </c>
      <c r="I52" s="47">
        <v>7751</v>
      </c>
      <c r="J52" s="47">
        <v>18119</v>
      </c>
      <c r="K52" s="47">
        <v>24411</v>
      </c>
      <c r="L52" s="47">
        <v>30594</v>
      </c>
      <c r="M52" s="53" t="s">
        <v>527</v>
      </c>
      <c r="N52" s="54" t="s">
        <v>395</v>
      </c>
      <c r="O52" s="55" t="s">
        <v>395</v>
      </c>
      <c r="P52" s="11" t="s">
        <v>415</v>
      </c>
      <c r="Q52" s="12" t="s">
        <v>408</v>
      </c>
      <c r="R52" s="10" t="s">
        <v>262</v>
      </c>
      <c r="S52" s="10" t="s">
        <v>403</v>
      </c>
      <c r="T52" s="12">
        <v>1375.83</v>
      </c>
      <c r="U52" s="12">
        <v>51</v>
      </c>
      <c r="V52" s="12" t="s">
        <v>434</v>
      </c>
      <c r="W52" s="12">
        <f t="shared" si="0"/>
        <v>10610</v>
      </c>
      <c r="X52" s="12">
        <v>1950079.52</v>
      </c>
    </row>
    <row r="53" spans="1:24">
      <c r="A53" s="47">
        <v>698</v>
      </c>
      <c r="B53" s="47">
        <v>14596</v>
      </c>
      <c r="C53" s="47">
        <v>35631</v>
      </c>
      <c r="D53" s="47">
        <v>42006</v>
      </c>
      <c r="E53" s="47">
        <v>7603</v>
      </c>
      <c r="F53" s="47">
        <v>24453</v>
      </c>
      <c r="G53" s="47">
        <v>27452</v>
      </c>
      <c r="H53" s="47">
        <v>28742</v>
      </c>
      <c r="I53" s="47">
        <v>13006</v>
      </c>
      <c r="J53" s="47">
        <v>3789</v>
      </c>
      <c r="K53" s="47">
        <v>6210</v>
      </c>
      <c r="L53" s="47">
        <v>45563</v>
      </c>
      <c r="M53" s="53" t="s">
        <v>527</v>
      </c>
      <c r="N53" s="54" t="s">
        <v>399</v>
      </c>
      <c r="O53" s="55" t="s">
        <v>531</v>
      </c>
      <c r="P53" s="11" t="s">
        <v>416</v>
      </c>
      <c r="Q53" s="12" t="s">
        <v>410</v>
      </c>
      <c r="R53" s="10" t="s">
        <v>263</v>
      </c>
      <c r="S53" s="10" t="s">
        <v>402</v>
      </c>
      <c r="T53" s="12">
        <v>1784.26</v>
      </c>
      <c r="U53" s="12">
        <v>94</v>
      </c>
      <c r="V53" s="12" t="s">
        <v>432</v>
      </c>
      <c r="W53" s="12">
        <f t="shared" si="0"/>
        <v>10653</v>
      </c>
      <c r="X53" s="12">
        <v>3253543.78</v>
      </c>
    </row>
    <row r="54" spans="1:24">
      <c r="A54" s="47">
        <v>15542</v>
      </c>
      <c r="B54" s="47">
        <v>13171</v>
      </c>
      <c r="C54" s="47">
        <v>21506</v>
      </c>
      <c r="D54" s="47">
        <v>-3862</v>
      </c>
      <c r="E54" s="47">
        <v>32972</v>
      </c>
      <c r="F54" s="47">
        <v>27750</v>
      </c>
      <c r="G54" s="47">
        <v>21928</v>
      </c>
      <c r="H54" s="47">
        <v>-222</v>
      </c>
      <c r="I54" s="47">
        <v>22789</v>
      </c>
      <c r="J54" s="47">
        <v>-7052</v>
      </c>
      <c r="K54" s="47">
        <v>40558</v>
      </c>
      <c r="L54" s="47">
        <v>36714</v>
      </c>
      <c r="M54" s="53" t="s">
        <v>527</v>
      </c>
      <c r="N54" s="54" t="s">
        <v>397</v>
      </c>
      <c r="O54" s="55" t="s">
        <v>529</v>
      </c>
      <c r="P54" s="11" t="s">
        <v>414</v>
      </c>
      <c r="Q54" s="12" t="s">
        <v>410</v>
      </c>
      <c r="R54" s="10" t="s">
        <v>264</v>
      </c>
      <c r="S54" s="10" t="s">
        <v>400</v>
      </c>
      <c r="T54" s="12">
        <v>2848.32</v>
      </c>
      <c r="U54" s="12">
        <v>34</v>
      </c>
      <c r="V54" s="12" t="s">
        <v>433</v>
      </c>
      <c r="W54" s="12">
        <f t="shared" si="0"/>
        <v>10593</v>
      </c>
      <c r="X54" s="12">
        <v>2377961.44</v>
      </c>
    </row>
    <row r="55" spans="1:24">
      <c r="A55" s="47">
        <v>6710</v>
      </c>
      <c r="B55" s="47">
        <v>7702</v>
      </c>
      <c r="C55" s="47">
        <v>33198</v>
      </c>
      <c r="D55" s="47">
        <v>-4997</v>
      </c>
      <c r="E55" s="47">
        <v>46043</v>
      </c>
      <c r="F55" s="47">
        <v>43784</v>
      </c>
      <c r="G55" s="47">
        <v>12022</v>
      </c>
      <c r="H55" s="47">
        <v>35463</v>
      </c>
      <c r="I55" s="47">
        <v>26909</v>
      </c>
      <c r="J55" s="47">
        <v>8958</v>
      </c>
      <c r="K55" s="47">
        <v>29029</v>
      </c>
      <c r="L55" s="47">
        <v>39537</v>
      </c>
      <c r="M55" s="53" t="s">
        <v>527</v>
      </c>
      <c r="N55" s="54" t="s">
        <v>399</v>
      </c>
      <c r="O55" s="55" t="s">
        <v>531</v>
      </c>
      <c r="P55" s="11" t="s">
        <v>414</v>
      </c>
      <c r="Q55" s="12" t="s">
        <v>410</v>
      </c>
      <c r="R55" s="10" t="s">
        <v>231</v>
      </c>
      <c r="S55" s="10" t="s">
        <v>402</v>
      </c>
      <c r="T55" s="12">
        <v>794.96</v>
      </c>
      <c r="U55" s="12">
        <v>72</v>
      </c>
      <c r="V55" s="12" t="s">
        <v>433</v>
      </c>
      <c r="W55" s="12">
        <f t="shared" si="0"/>
        <v>10631</v>
      </c>
      <c r="X55" s="12">
        <v>3477320.92</v>
      </c>
    </row>
    <row r="56" spans="1:24">
      <c r="A56" s="47">
        <v>6543</v>
      </c>
      <c r="B56" s="47">
        <v>28224</v>
      </c>
      <c r="C56" s="47">
        <v>24725</v>
      </c>
      <c r="D56" s="47">
        <v>-3727</v>
      </c>
      <c r="E56" s="47">
        <v>14645</v>
      </c>
      <c r="F56" s="47">
        <v>20688</v>
      </c>
      <c r="G56" s="47">
        <v>23394</v>
      </c>
      <c r="H56" s="47">
        <v>31016</v>
      </c>
      <c r="I56" s="47">
        <v>33488</v>
      </c>
      <c r="J56" s="47">
        <v>4837</v>
      </c>
      <c r="K56" s="47">
        <v>3131</v>
      </c>
      <c r="L56" s="47">
        <v>46111</v>
      </c>
      <c r="M56" s="53" t="s">
        <v>527</v>
      </c>
      <c r="N56" s="54" t="s">
        <v>399</v>
      </c>
      <c r="O56" s="55" t="s">
        <v>531</v>
      </c>
      <c r="P56" s="11" t="s">
        <v>415</v>
      </c>
      <c r="Q56" s="12" t="s">
        <v>411</v>
      </c>
      <c r="R56" s="10" t="s">
        <v>265</v>
      </c>
      <c r="S56" s="10" t="s">
        <v>402</v>
      </c>
      <c r="T56" s="12">
        <v>1109.79</v>
      </c>
      <c r="U56" s="12">
        <v>60</v>
      </c>
      <c r="V56" s="12" t="s">
        <v>435</v>
      </c>
      <c r="W56" s="12">
        <f t="shared" si="0"/>
        <v>10619</v>
      </c>
      <c r="X56" s="12">
        <v>2909908.95</v>
      </c>
    </row>
    <row r="57" spans="1:24">
      <c r="A57" s="47">
        <v>2079</v>
      </c>
      <c r="B57" s="47">
        <v>37325</v>
      </c>
      <c r="C57" s="47">
        <v>31530</v>
      </c>
      <c r="D57" s="47">
        <v>4623</v>
      </c>
      <c r="E57" s="47">
        <v>31362</v>
      </c>
      <c r="F57" s="47">
        <v>30765</v>
      </c>
      <c r="G57" s="47">
        <v>-9630</v>
      </c>
      <c r="H57" s="47">
        <v>32081</v>
      </c>
      <c r="I57" s="47">
        <v>30611</v>
      </c>
      <c r="J57" s="47">
        <v>-3272</v>
      </c>
      <c r="K57" s="47">
        <v>26482</v>
      </c>
      <c r="L57" s="47">
        <v>38471</v>
      </c>
      <c r="M57" s="53" t="s">
        <v>527</v>
      </c>
      <c r="N57" s="54" t="s">
        <v>395</v>
      </c>
      <c r="O57" s="55" t="s">
        <v>395</v>
      </c>
      <c r="P57" s="11" t="s">
        <v>415</v>
      </c>
      <c r="Q57" s="12" t="s">
        <v>410</v>
      </c>
      <c r="R57" s="10" t="s">
        <v>266</v>
      </c>
      <c r="S57" s="10" t="s">
        <v>400</v>
      </c>
      <c r="T57" s="12">
        <v>1169.1099999999999</v>
      </c>
      <c r="U57" s="12">
        <v>39</v>
      </c>
      <c r="V57" s="12" t="s">
        <v>434</v>
      </c>
      <c r="W57" s="12">
        <f t="shared" si="0"/>
        <v>10598</v>
      </c>
      <c r="X57" s="12">
        <v>1348176.94</v>
      </c>
    </row>
    <row r="58" spans="1:24">
      <c r="A58" s="47">
        <v>1617</v>
      </c>
      <c r="B58" s="47">
        <v>40943</v>
      </c>
      <c r="C58" s="47">
        <v>6870</v>
      </c>
      <c r="D58" s="47">
        <v>8371</v>
      </c>
      <c r="E58" s="47">
        <v>6796</v>
      </c>
      <c r="F58" s="47">
        <v>16253</v>
      </c>
      <c r="G58" s="47">
        <v>14409</v>
      </c>
      <c r="H58" s="47">
        <v>24511</v>
      </c>
      <c r="I58" s="47">
        <v>14150</v>
      </c>
      <c r="J58" s="47">
        <v>16294</v>
      </c>
      <c r="K58" s="47">
        <v>8516</v>
      </c>
      <c r="L58" s="47">
        <v>24160</v>
      </c>
      <c r="M58" s="53" t="s">
        <v>527</v>
      </c>
      <c r="N58" s="54" t="s">
        <v>399</v>
      </c>
      <c r="O58" s="55" t="s">
        <v>531</v>
      </c>
      <c r="P58" s="11" t="s">
        <v>413</v>
      </c>
      <c r="Q58" s="12" t="s">
        <v>411</v>
      </c>
      <c r="R58" s="10" t="s">
        <v>267</v>
      </c>
      <c r="S58" s="10" t="s">
        <v>401</v>
      </c>
      <c r="T58" s="12">
        <v>1836.34</v>
      </c>
      <c r="U58" s="12">
        <v>82</v>
      </c>
      <c r="V58" s="12" t="s">
        <v>432</v>
      </c>
      <c r="W58" s="12">
        <f t="shared" si="0"/>
        <v>10641</v>
      </c>
      <c r="X58" s="12">
        <v>3160417.34</v>
      </c>
    </row>
    <row r="59" spans="1:24">
      <c r="A59" s="47">
        <v>7454</v>
      </c>
      <c r="B59" s="47">
        <v>10515</v>
      </c>
      <c r="C59" s="47">
        <v>27257</v>
      </c>
      <c r="D59" s="47">
        <v>38262</v>
      </c>
      <c r="E59" s="47">
        <v>36052</v>
      </c>
      <c r="F59" s="47">
        <v>5399</v>
      </c>
      <c r="G59" s="47">
        <v>-8774</v>
      </c>
      <c r="H59" s="47">
        <v>7944</v>
      </c>
      <c r="I59" s="47">
        <v>5697</v>
      </c>
      <c r="J59" s="47">
        <v>24972</v>
      </c>
      <c r="K59" s="47">
        <v>25480</v>
      </c>
      <c r="L59" s="47">
        <v>18074</v>
      </c>
      <c r="M59" s="53" t="s">
        <v>527</v>
      </c>
      <c r="N59" s="54" t="s">
        <v>399</v>
      </c>
      <c r="O59" s="55" t="s">
        <v>531</v>
      </c>
      <c r="P59" s="11" t="s">
        <v>415</v>
      </c>
      <c r="Q59" s="12" t="s">
        <v>410</v>
      </c>
      <c r="R59" s="10" t="s">
        <v>219</v>
      </c>
      <c r="S59" s="10" t="s">
        <v>401</v>
      </c>
      <c r="T59" s="12">
        <v>1102.3599999999999</v>
      </c>
      <c r="U59" s="12">
        <v>57</v>
      </c>
      <c r="V59" s="12" t="s">
        <v>435</v>
      </c>
      <c r="W59" s="12">
        <f t="shared" si="0"/>
        <v>10616</v>
      </c>
      <c r="X59" s="12">
        <v>1561297.98</v>
      </c>
    </row>
    <row r="60" spans="1:24">
      <c r="A60" s="47">
        <v>26282</v>
      </c>
      <c r="B60" s="47">
        <v>13977</v>
      </c>
      <c r="C60" s="47">
        <v>32448</v>
      </c>
      <c r="D60" s="47">
        <v>14276</v>
      </c>
      <c r="E60" s="47">
        <v>37448</v>
      </c>
      <c r="F60" s="47">
        <v>22892</v>
      </c>
      <c r="G60" s="47">
        <v>-6062</v>
      </c>
      <c r="H60" s="47">
        <v>-2570</v>
      </c>
      <c r="I60" s="47">
        <v>46890</v>
      </c>
      <c r="J60" s="47">
        <v>5735</v>
      </c>
      <c r="K60" s="47">
        <v>34084</v>
      </c>
      <c r="L60" s="47">
        <v>17546</v>
      </c>
      <c r="M60" s="53" t="s">
        <v>527</v>
      </c>
      <c r="N60" s="54" t="s">
        <v>395</v>
      </c>
      <c r="O60" s="55" t="s">
        <v>395</v>
      </c>
      <c r="P60" s="11" t="s">
        <v>415</v>
      </c>
      <c r="Q60" s="12" t="s">
        <v>410</v>
      </c>
      <c r="R60" s="10" t="s">
        <v>268</v>
      </c>
      <c r="S60" s="10" t="s">
        <v>402</v>
      </c>
      <c r="T60" s="12">
        <v>1623.86</v>
      </c>
      <c r="U60" s="12">
        <v>20</v>
      </c>
      <c r="V60" s="12" t="s">
        <v>433</v>
      </c>
      <c r="W60" s="12">
        <f t="shared" si="0"/>
        <v>10579</v>
      </c>
      <c r="X60" s="12">
        <v>1698588.58</v>
      </c>
    </row>
    <row r="61" spans="1:24">
      <c r="A61" s="47">
        <v>38397</v>
      </c>
      <c r="B61" s="47">
        <v>25355</v>
      </c>
      <c r="C61" s="47">
        <v>17863</v>
      </c>
      <c r="D61" s="47">
        <v>36660</v>
      </c>
      <c r="E61" s="47">
        <v>18816</v>
      </c>
      <c r="F61" s="47">
        <v>23184</v>
      </c>
      <c r="G61" s="47">
        <v>18489</v>
      </c>
      <c r="H61" s="47">
        <v>-3051</v>
      </c>
      <c r="I61" s="47">
        <v>10560</v>
      </c>
      <c r="J61" s="47">
        <v>1628</v>
      </c>
      <c r="K61" s="47">
        <v>6398</v>
      </c>
      <c r="L61" s="47">
        <v>25659</v>
      </c>
      <c r="M61" s="53" t="s">
        <v>527</v>
      </c>
      <c r="N61" s="54" t="s">
        <v>399</v>
      </c>
      <c r="O61" s="55" t="s">
        <v>531</v>
      </c>
      <c r="P61" s="11" t="s">
        <v>414</v>
      </c>
      <c r="Q61" s="12" t="s">
        <v>410</v>
      </c>
      <c r="R61" s="10" t="s">
        <v>269</v>
      </c>
      <c r="S61" s="10" t="s">
        <v>400</v>
      </c>
      <c r="T61" s="12">
        <v>2356.2800000000002</v>
      </c>
      <c r="U61" s="12">
        <v>52</v>
      </c>
      <c r="V61" s="12" t="s">
        <v>433</v>
      </c>
      <c r="W61" s="12">
        <f t="shared" si="0"/>
        <v>10611</v>
      </c>
      <c r="X61" s="12">
        <v>1728049.63</v>
      </c>
    </row>
    <row r="62" spans="1:24">
      <c r="A62" s="47">
        <v>23001</v>
      </c>
      <c r="B62" s="47">
        <v>37043</v>
      </c>
      <c r="C62" s="47">
        <v>-2795</v>
      </c>
      <c r="D62" s="47">
        <v>-4174</v>
      </c>
      <c r="E62" s="47">
        <v>24563</v>
      </c>
      <c r="F62" s="47">
        <v>37312</v>
      </c>
      <c r="G62" s="47">
        <v>-9621</v>
      </c>
      <c r="H62" s="47">
        <v>5411</v>
      </c>
      <c r="I62" s="47">
        <v>44853</v>
      </c>
      <c r="J62" s="47">
        <v>2421</v>
      </c>
      <c r="K62" s="47">
        <v>42711</v>
      </c>
      <c r="L62" s="47">
        <v>21399</v>
      </c>
      <c r="M62" s="53" t="s">
        <v>527</v>
      </c>
      <c r="N62" s="54" t="s">
        <v>399</v>
      </c>
      <c r="O62" s="55" t="s">
        <v>531</v>
      </c>
      <c r="P62" s="11" t="s">
        <v>414</v>
      </c>
      <c r="Q62" s="12" t="s">
        <v>408</v>
      </c>
      <c r="R62" s="10" t="s">
        <v>270</v>
      </c>
      <c r="S62" s="10" t="s">
        <v>402</v>
      </c>
      <c r="T62" s="12">
        <v>2130.89</v>
      </c>
      <c r="U62" s="12">
        <v>94</v>
      </c>
      <c r="V62" s="12" t="s">
        <v>434</v>
      </c>
      <c r="W62" s="12">
        <f t="shared" si="0"/>
        <v>10653</v>
      </c>
      <c r="X62" s="12">
        <v>1996589.71</v>
      </c>
    </row>
    <row r="63" spans="1:24">
      <c r="A63" s="47">
        <v>55</v>
      </c>
      <c r="B63" s="47">
        <v>15231</v>
      </c>
      <c r="C63" s="47">
        <v>10996</v>
      </c>
      <c r="D63" s="47">
        <v>24402</v>
      </c>
      <c r="E63" s="47">
        <v>19762</v>
      </c>
      <c r="F63" s="47">
        <v>45601</v>
      </c>
      <c r="G63" s="47">
        <v>32842</v>
      </c>
      <c r="H63" s="47">
        <v>23337</v>
      </c>
      <c r="I63" s="47">
        <v>45866</v>
      </c>
      <c r="J63" s="47">
        <v>-1240</v>
      </c>
      <c r="K63" s="47">
        <v>986</v>
      </c>
      <c r="L63" s="47">
        <v>43695</v>
      </c>
      <c r="M63" s="53" t="s">
        <v>527</v>
      </c>
      <c r="N63" s="54" t="s">
        <v>399</v>
      </c>
      <c r="O63" s="55" t="s">
        <v>531</v>
      </c>
      <c r="P63" s="11" t="s">
        <v>414</v>
      </c>
      <c r="Q63" s="12" t="s">
        <v>411</v>
      </c>
      <c r="R63" s="10" t="s">
        <v>271</v>
      </c>
      <c r="S63" s="10" t="s">
        <v>403</v>
      </c>
      <c r="T63" s="12">
        <v>1366.79</v>
      </c>
      <c r="U63" s="12">
        <v>75</v>
      </c>
      <c r="V63" s="12" t="s">
        <v>432</v>
      </c>
      <c r="W63" s="12">
        <f t="shared" si="0"/>
        <v>10634</v>
      </c>
      <c r="X63" s="12">
        <v>3448050.09</v>
      </c>
    </row>
    <row r="64" spans="1:24">
      <c r="A64" s="47">
        <v>27349</v>
      </c>
      <c r="B64" s="47">
        <v>738</v>
      </c>
      <c r="C64" s="47">
        <v>29415</v>
      </c>
      <c r="D64" s="47">
        <v>30458</v>
      </c>
      <c r="E64" s="47">
        <v>15744</v>
      </c>
      <c r="F64" s="47">
        <v>41883</v>
      </c>
      <c r="G64" s="47">
        <v>29855</v>
      </c>
      <c r="H64" s="47">
        <v>3795</v>
      </c>
      <c r="I64" s="47">
        <v>46992</v>
      </c>
      <c r="J64" s="47">
        <v>36832</v>
      </c>
      <c r="K64" s="47">
        <v>39993</v>
      </c>
      <c r="L64" s="47">
        <v>30771</v>
      </c>
      <c r="M64" s="53" t="s">
        <v>527</v>
      </c>
      <c r="N64" s="54" t="s">
        <v>397</v>
      </c>
      <c r="O64" s="55" t="s">
        <v>529</v>
      </c>
      <c r="P64" s="11" t="s">
        <v>414</v>
      </c>
      <c r="Q64" s="12" t="s">
        <v>411</v>
      </c>
      <c r="R64" s="10" t="s">
        <v>272</v>
      </c>
      <c r="S64" s="10" t="s">
        <v>403</v>
      </c>
      <c r="T64" s="12">
        <v>2599.44</v>
      </c>
      <c r="U64" s="12">
        <v>72</v>
      </c>
      <c r="V64" s="12" t="s">
        <v>433</v>
      </c>
      <c r="W64" s="12">
        <f t="shared" si="0"/>
        <v>10631</v>
      </c>
      <c r="X64" s="12">
        <v>3041032.52</v>
      </c>
    </row>
    <row r="65" spans="1:24">
      <c r="A65" s="47">
        <v>19559</v>
      </c>
      <c r="B65" s="47">
        <v>13039</v>
      </c>
      <c r="C65" s="47">
        <v>6105</v>
      </c>
      <c r="D65" s="47">
        <v>32188</v>
      </c>
      <c r="E65" s="47">
        <v>16360</v>
      </c>
      <c r="F65" s="47">
        <v>40858</v>
      </c>
      <c r="G65" s="47">
        <v>18299</v>
      </c>
      <c r="H65" s="47">
        <v>35713</v>
      </c>
      <c r="I65" s="47">
        <v>13261</v>
      </c>
      <c r="J65" s="47">
        <v>18603</v>
      </c>
      <c r="K65" s="47">
        <v>35081</v>
      </c>
      <c r="L65" s="47">
        <v>35447</v>
      </c>
      <c r="M65" s="53" t="s">
        <v>527</v>
      </c>
      <c r="N65" s="54" t="s">
        <v>397</v>
      </c>
      <c r="O65" s="55" t="s">
        <v>529</v>
      </c>
      <c r="P65" s="11" t="s">
        <v>413</v>
      </c>
      <c r="Q65" s="12" t="s">
        <v>410</v>
      </c>
      <c r="R65" s="10" t="s">
        <v>273</v>
      </c>
      <c r="S65" s="10" t="s">
        <v>402</v>
      </c>
      <c r="T65" s="12">
        <v>1696.51</v>
      </c>
      <c r="U65" s="12">
        <v>98</v>
      </c>
      <c r="V65" s="12" t="s">
        <v>435</v>
      </c>
      <c r="W65" s="12">
        <f t="shared" si="0"/>
        <v>10657</v>
      </c>
      <c r="X65" s="12">
        <v>2363387.66</v>
      </c>
    </row>
    <row r="66" spans="1:24">
      <c r="A66" s="47">
        <v>16091</v>
      </c>
      <c r="B66" s="47">
        <v>4378</v>
      </c>
      <c r="C66" s="47">
        <v>32078</v>
      </c>
      <c r="D66" s="47">
        <v>36802</v>
      </c>
      <c r="E66" s="47">
        <v>40518</v>
      </c>
      <c r="F66" s="47">
        <v>34451</v>
      </c>
      <c r="G66" s="47">
        <v>18579</v>
      </c>
      <c r="H66" s="47">
        <v>6417</v>
      </c>
      <c r="I66" s="47">
        <v>24267</v>
      </c>
      <c r="J66" s="47">
        <v>17523</v>
      </c>
      <c r="K66" s="47">
        <v>35913</v>
      </c>
      <c r="L66" s="47">
        <v>3087</v>
      </c>
      <c r="M66" s="53" t="s">
        <v>527</v>
      </c>
      <c r="N66" s="54" t="s">
        <v>397</v>
      </c>
      <c r="O66" s="55" t="s">
        <v>529</v>
      </c>
      <c r="P66" s="11" t="s">
        <v>414</v>
      </c>
      <c r="Q66" s="12" t="s">
        <v>410</v>
      </c>
      <c r="R66" s="10" t="s">
        <v>274</v>
      </c>
      <c r="S66" s="10" t="s">
        <v>401</v>
      </c>
      <c r="T66" s="12">
        <v>1642.72</v>
      </c>
      <c r="U66" s="12">
        <v>87</v>
      </c>
      <c r="V66" s="12" t="s">
        <v>434</v>
      </c>
      <c r="W66" s="12">
        <f t="shared" si="0"/>
        <v>10646</v>
      </c>
      <c r="X66" s="12">
        <v>1745535.84</v>
      </c>
    </row>
    <row r="67" spans="1:24">
      <c r="A67" s="47">
        <v>37484</v>
      </c>
      <c r="B67" s="47">
        <v>38230</v>
      </c>
      <c r="C67" s="47">
        <v>27054</v>
      </c>
      <c r="D67" s="47">
        <v>38109</v>
      </c>
      <c r="E67" s="47">
        <v>6314</v>
      </c>
      <c r="F67" s="47">
        <v>796</v>
      </c>
      <c r="G67" s="47">
        <v>18118</v>
      </c>
      <c r="H67" s="47">
        <v>20236</v>
      </c>
      <c r="I67" s="47">
        <v>21007</v>
      </c>
      <c r="J67" s="47">
        <v>-5778</v>
      </c>
      <c r="K67" s="47">
        <v>45113</v>
      </c>
      <c r="L67" s="47">
        <v>2997</v>
      </c>
      <c r="M67" s="53" t="s">
        <v>527</v>
      </c>
      <c r="N67" s="54" t="s">
        <v>395</v>
      </c>
      <c r="O67" s="55" t="s">
        <v>395</v>
      </c>
      <c r="P67" s="11" t="s">
        <v>413</v>
      </c>
      <c r="Q67" s="12" t="s">
        <v>408</v>
      </c>
      <c r="R67" s="10" t="s">
        <v>275</v>
      </c>
      <c r="S67" s="10" t="s">
        <v>401</v>
      </c>
      <c r="T67" s="12">
        <v>150.85</v>
      </c>
      <c r="U67" s="12">
        <v>93</v>
      </c>
      <c r="V67" s="12" t="s">
        <v>435</v>
      </c>
      <c r="W67" s="12">
        <f t="shared" ref="W67:W130" si="1">U67+10109+450</f>
        <v>10652</v>
      </c>
      <c r="X67" s="12">
        <v>2306373.4700000002</v>
      </c>
    </row>
    <row r="68" spans="1:24">
      <c r="A68" s="47">
        <v>23067</v>
      </c>
      <c r="B68" s="47">
        <v>28959</v>
      </c>
      <c r="C68" s="47">
        <v>44633</v>
      </c>
      <c r="D68" s="47">
        <v>-2392</v>
      </c>
      <c r="E68" s="47">
        <v>31522</v>
      </c>
      <c r="F68" s="47">
        <v>19884</v>
      </c>
      <c r="G68" s="47">
        <v>38764</v>
      </c>
      <c r="H68" s="47">
        <v>38688</v>
      </c>
      <c r="I68" s="47">
        <v>34527</v>
      </c>
      <c r="J68" s="47">
        <v>2765</v>
      </c>
      <c r="K68" s="47">
        <v>1311</v>
      </c>
      <c r="L68" s="47">
        <v>8075</v>
      </c>
      <c r="M68" s="53" t="s">
        <v>527</v>
      </c>
      <c r="N68" s="54" t="s">
        <v>396</v>
      </c>
      <c r="O68" s="55" t="s">
        <v>528</v>
      </c>
      <c r="P68" s="11" t="s">
        <v>415</v>
      </c>
      <c r="Q68" s="12" t="s">
        <v>408</v>
      </c>
      <c r="R68" s="10" t="s">
        <v>276</v>
      </c>
      <c r="S68" s="10" t="s">
        <v>402</v>
      </c>
      <c r="T68" s="12">
        <v>2960.74</v>
      </c>
      <c r="U68" s="12">
        <v>14</v>
      </c>
      <c r="V68" s="12" t="s">
        <v>432</v>
      </c>
      <c r="W68" s="12">
        <f t="shared" si="1"/>
        <v>10573</v>
      </c>
      <c r="X68" s="12">
        <v>1293373.8999999999</v>
      </c>
    </row>
    <row r="69" spans="1:24">
      <c r="A69" s="47">
        <v>42767</v>
      </c>
      <c r="B69" s="47">
        <v>12282</v>
      </c>
      <c r="C69" s="47">
        <v>19149</v>
      </c>
      <c r="D69" s="47">
        <v>32950</v>
      </c>
      <c r="E69" s="47">
        <v>17271</v>
      </c>
      <c r="F69" s="47">
        <v>33048</v>
      </c>
      <c r="G69" s="47">
        <v>2781</v>
      </c>
      <c r="H69" s="47">
        <v>6144</v>
      </c>
      <c r="I69" s="47">
        <v>44537</v>
      </c>
      <c r="J69" s="47">
        <v>-312</v>
      </c>
      <c r="K69" s="47">
        <v>8663</v>
      </c>
      <c r="L69" s="47">
        <v>43225</v>
      </c>
      <c r="M69" s="53" t="s">
        <v>527</v>
      </c>
      <c r="N69" s="54" t="s">
        <v>399</v>
      </c>
      <c r="O69" s="55" t="s">
        <v>531</v>
      </c>
      <c r="P69" s="11" t="s">
        <v>415</v>
      </c>
      <c r="Q69" s="12" t="s">
        <v>408</v>
      </c>
      <c r="R69" s="10" t="s">
        <v>277</v>
      </c>
      <c r="S69" s="10" t="s">
        <v>402</v>
      </c>
      <c r="T69" s="12">
        <v>412.76</v>
      </c>
      <c r="U69" s="12">
        <v>81</v>
      </c>
      <c r="V69" s="12" t="s">
        <v>432</v>
      </c>
      <c r="W69" s="12">
        <f t="shared" si="1"/>
        <v>10640</v>
      </c>
      <c r="X69" s="12">
        <v>1641175.22</v>
      </c>
    </row>
    <row r="70" spans="1:24">
      <c r="A70" s="47">
        <v>30546</v>
      </c>
      <c r="B70" s="47">
        <v>35287</v>
      </c>
      <c r="C70" s="47">
        <v>44468</v>
      </c>
      <c r="D70" s="47">
        <v>34306</v>
      </c>
      <c r="E70" s="47">
        <v>22350</v>
      </c>
      <c r="F70" s="47">
        <v>-254</v>
      </c>
      <c r="G70" s="47">
        <v>18607</v>
      </c>
      <c r="H70" s="47">
        <v>8016</v>
      </c>
      <c r="I70" s="47">
        <v>18903</v>
      </c>
      <c r="J70" s="47">
        <v>32332</v>
      </c>
      <c r="K70" s="47">
        <v>28326</v>
      </c>
      <c r="L70" s="47">
        <v>28525</v>
      </c>
      <c r="M70" s="53" t="s">
        <v>527</v>
      </c>
      <c r="N70" s="54" t="s">
        <v>399</v>
      </c>
      <c r="O70" s="55" t="s">
        <v>531</v>
      </c>
      <c r="P70" s="11" t="s">
        <v>413</v>
      </c>
      <c r="Q70" s="12" t="s">
        <v>411</v>
      </c>
      <c r="R70" s="10" t="s">
        <v>278</v>
      </c>
      <c r="S70" s="10" t="s">
        <v>403</v>
      </c>
      <c r="T70" s="12">
        <v>731.84</v>
      </c>
      <c r="U70" s="12">
        <v>27</v>
      </c>
      <c r="V70" s="12" t="s">
        <v>432</v>
      </c>
      <c r="W70" s="12">
        <f t="shared" si="1"/>
        <v>10586</v>
      </c>
      <c r="X70" s="12">
        <v>1960858.98</v>
      </c>
    </row>
    <row r="71" spans="1:24">
      <c r="A71" s="47">
        <v>24963</v>
      </c>
      <c r="B71" s="47">
        <v>-3843</v>
      </c>
      <c r="C71" s="47">
        <v>12746</v>
      </c>
      <c r="D71" s="47">
        <v>37033</v>
      </c>
      <c r="E71" s="47">
        <v>3705</v>
      </c>
      <c r="F71" s="47">
        <v>43663</v>
      </c>
      <c r="G71" s="47">
        <v>6554</v>
      </c>
      <c r="H71" s="47">
        <v>7467</v>
      </c>
      <c r="I71" s="47">
        <v>9750</v>
      </c>
      <c r="J71" s="47">
        <v>3107</v>
      </c>
      <c r="K71" s="47">
        <v>34104</v>
      </c>
      <c r="L71" s="47">
        <v>9778</v>
      </c>
      <c r="M71" s="53" t="s">
        <v>527</v>
      </c>
      <c r="N71" s="54" t="s">
        <v>395</v>
      </c>
      <c r="O71" s="55" t="s">
        <v>395</v>
      </c>
      <c r="P71" s="11" t="s">
        <v>416</v>
      </c>
      <c r="Q71" s="12" t="s">
        <v>411</v>
      </c>
      <c r="R71" s="10" t="s">
        <v>279</v>
      </c>
      <c r="S71" s="10" t="s">
        <v>401</v>
      </c>
      <c r="T71" s="12">
        <v>202.51</v>
      </c>
      <c r="U71" s="12">
        <v>34</v>
      </c>
      <c r="V71" s="12" t="s">
        <v>433</v>
      </c>
      <c r="W71" s="12">
        <f t="shared" si="1"/>
        <v>10593</v>
      </c>
      <c r="X71" s="12">
        <v>1993637.58</v>
      </c>
    </row>
    <row r="72" spans="1:24">
      <c r="A72" s="47">
        <v>24935</v>
      </c>
      <c r="B72" s="47">
        <v>-7963</v>
      </c>
      <c r="C72" s="47">
        <v>6519</v>
      </c>
      <c r="D72" s="47">
        <v>28634</v>
      </c>
      <c r="E72" s="47">
        <v>34107</v>
      </c>
      <c r="F72" s="47">
        <v>20106</v>
      </c>
      <c r="G72" s="47">
        <v>38325</v>
      </c>
      <c r="H72" s="47">
        <v>35260</v>
      </c>
      <c r="I72" s="47">
        <v>8100</v>
      </c>
      <c r="J72" s="47">
        <v>7307</v>
      </c>
      <c r="K72" s="47">
        <v>13829</v>
      </c>
      <c r="L72" s="47">
        <v>40681</v>
      </c>
      <c r="M72" s="53" t="s">
        <v>527</v>
      </c>
      <c r="N72" s="54" t="s">
        <v>399</v>
      </c>
      <c r="O72" s="55" t="s">
        <v>531</v>
      </c>
      <c r="P72" s="11" t="s">
        <v>414</v>
      </c>
      <c r="Q72" s="12" t="s">
        <v>411</v>
      </c>
      <c r="R72" s="10" t="s">
        <v>280</v>
      </c>
      <c r="S72" s="10" t="s">
        <v>402</v>
      </c>
      <c r="T72" s="12">
        <v>1938.01</v>
      </c>
      <c r="U72" s="12">
        <v>69</v>
      </c>
      <c r="V72" s="12" t="s">
        <v>434</v>
      </c>
      <c r="W72" s="12">
        <f t="shared" si="1"/>
        <v>10628</v>
      </c>
      <c r="X72" s="12">
        <v>1410674.07</v>
      </c>
    </row>
    <row r="73" spans="1:24">
      <c r="A73" s="47">
        <v>39085</v>
      </c>
      <c r="B73" s="47">
        <v>34648</v>
      </c>
      <c r="C73" s="47">
        <v>43805</v>
      </c>
      <c r="D73" s="47">
        <v>34432</v>
      </c>
      <c r="E73" s="47">
        <v>40213</v>
      </c>
      <c r="F73" s="47">
        <v>19007</v>
      </c>
      <c r="G73" s="47">
        <v>29806</v>
      </c>
      <c r="H73" s="47">
        <v>26488</v>
      </c>
      <c r="I73" s="47">
        <v>46177</v>
      </c>
      <c r="J73" s="47">
        <v>30867</v>
      </c>
      <c r="K73" s="47">
        <v>13983</v>
      </c>
      <c r="L73" s="47">
        <v>27944</v>
      </c>
      <c r="M73" s="53" t="s">
        <v>527</v>
      </c>
      <c r="N73" s="54" t="s">
        <v>397</v>
      </c>
      <c r="O73" s="55" t="s">
        <v>529</v>
      </c>
      <c r="P73" s="11" t="s">
        <v>416</v>
      </c>
      <c r="Q73" s="12" t="s">
        <v>410</v>
      </c>
      <c r="R73" s="10" t="s">
        <v>281</v>
      </c>
      <c r="S73" s="10" t="s">
        <v>403</v>
      </c>
      <c r="T73" s="12">
        <v>712.87</v>
      </c>
      <c r="U73" s="12">
        <v>69</v>
      </c>
      <c r="V73" s="12" t="s">
        <v>432</v>
      </c>
      <c r="W73" s="12">
        <f t="shared" si="1"/>
        <v>10628</v>
      </c>
      <c r="X73" s="12">
        <v>3314230.84</v>
      </c>
    </row>
    <row r="74" spans="1:24">
      <c r="A74" s="47">
        <v>9793</v>
      </c>
      <c r="B74" s="47">
        <v>788</v>
      </c>
      <c r="C74" s="47">
        <v>33601</v>
      </c>
      <c r="D74" s="47">
        <v>19794</v>
      </c>
      <c r="E74" s="47">
        <v>14194</v>
      </c>
      <c r="F74" s="47">
        <v>16244</v>
      </c>
      <c r="G74" s="47">
        <v>4122</v>
      </c>
      <c r="H74" s="47">
        <v>3148</v>
      </c>
      <c r="I74" s="47">
        <v>24391</v>
      </c>
      <c r="J74" s="47">
        <v>16316</v>
      </c>
      <c r="K74" s="47">
        <v>21403</v>
      </c>
      <c r="L74" s="47">
        <v>19131</v>
      </c>
      <c r="M74" s="53" t="s">
        <v>527</v>
      </c>
      <c r="N74" s="54" t="s">
        <v>396</v>
      </c>
      <c r="O74" s="55" t="s">
        <v>528</v>
      </c>
      <c r="P74" s="11" t="s">
        <v>414</v>
      </c>
      <c r="Q74" s="12" t="s">
        <v>411</v>
      </c>
      <c r="R74" s="10" t="s">
        <v>282</v>
      </c>
      <c r="S74" s="10" t="s">
        <v>401</v>
      </c>
      <c r="T74" s="12">
        <v>581.03</v>
      </c>
      <c r="U74" s="12">
        <v>99</v>
      </c>
      <c r="V74" s="12" t="s">
        <v>432</v>
      </c>
      <c r="W74" s="12">
        <f t="shared" si="1"/>
        <v>10658</v>
      </c>
      <c r="X74" s="12">
        <v>2146009.88</v>
      </c>
    </row>
    <row r="75" spans="1:24">
      <c r="A75" s="47">
        <v>34206</v>
      </c>
      <c r="B75" s="47">
        <v>35086</v>
      </c>
      <c r="C75" s="47">
        <v>1649</v>
      </c>
      <c r="D75" s="47">
        <v>27771</v>
      </c>
      <c r="E75" s="47">
        <v>11900</v>
      </c>
      <c r="F75" s="47">
        <v>41913</v>
      </c>
      <c r="G75" s="47">
        <v>7718</v>
      </c>
      <c r="H75" s="47">
        <v>30446</v>
      </c>
      <c r="I75" s="47">
        <v>41876</v>
      </c>
      <c r="J75" s="47">
        <v>40363</v>
      </c>
      <c r="K75" s="47">
        <v>7587</v>
      </c>
      <c r="L75" s="47">
        <v>29747</v>
      </c>
      <c r="M75" s="53" t="s">
        <v>527</v>
      </c>
      <c r="N75" s="54" t="s">
        <v>398</v>
      </c>
      <c r="O75" s="55" t="s">
        <v>530</v>
      </c>
      <c r="P75" s="11" t="s">
        <v>416</v>
      </c>
      <c r="Q75" s="12" t="s">
        <v>409</v>
      </c>
      <c r="R75" s="10" t="s">
        <v>283</v>
      </c>
      <c r="S75" s="10" t="s">
        <v>400</v>
      </c>
      <c r="T75" s="12">
        <v>311.24</v>
      </c>
      <c r="U75" s="12">
        <v>19</v>
      </c>
      <c r="V75" s="12" t="s">
        <v>432</v>
      </c>
      <c r="W75" s="12">
        <f t="shared" si="1"/>
        <v>10578</v>
      </c>
      <c r="X75" s="12">
        <v>3124393.89</v>
      </c>
    </row>
    <row r="76" spans="1:24">
      <c r="A76" s="47">
        <v>17691</v>
      </c>
      <c r="B76" s="47">
        <v>19979</v>
      </c>
      <c r="C76" s="47">
        <v>38819</v>
      </c>
      <c r="D76" s="47">
        <v>41526</v>
      </c>
      <c r="E76" s="47">
        <v>19828</v>
      </c>
      <c r="F76" s="47">
        <v>28987</v>
      </c>
      <c r="G76" s="47">
        <v>27851</v>
      </c>
      <c r="H76" s="47">
        <v>30817</v>
      </c>
      <c r="I76" s="47">
        <v>39872</v>
      </c>
      <c r="J76" s="47">
        <v>16746</v>
      </c>
      <c r="K76" s="47">
        <v>26971</v>
      </c>
      <c r="L76" s="47">
        <v>30021</v>
      </c>
      <c r="M76" s="53" t="s">
        <v>527</v>
      </c>
      <c r="N76" s="54" t="s">
        <v>399</v>
      </c>
      <c r="O76" s="55" t="s">
        <v>531</v>
      </c>
      <c r="P76" s="11" t="s">
        <v>414</v>
      </c>
      <c r="Q76" s="12" t="s">
        <v>409</v>
      </c>
      <c r="R76" s="10" t="s">
        <v>284</v>
      </c>
      <c r="S76" s="10" t="s">
        <v>403</v>
      </c>
      <c r="T76" s="12">
        <v>354.76</v>
      </c>
      <c r="U76" s="12">
        <v>71</v>
      </c>
      <c r="V76" s="12" t="s">
        <v>432</v>
      </c>
      <c r="W76" s="12">
        <f t="shared" si="1"/>
        <v>10630</v>
      </c>
      <c r="X76" s="12">
        <v>1864562.36</v>
      </c>
    </row>
    <row r="77" spans="1:24">
      <c r="A77" s="47">
        <v>15551</v>
      </c>
      <c r="B77" s="47">
        <v>21533</v>
      </c>
      <c r="C77" s="47">
        <v>-2048</v>
      </c>
      <c r="D77" s="47">
        <v>43065</v>
      </c>
      <c r="E77" s="47">
        <v>17685</v>
      </c>
      <c r="F77" s="47">
        <v>26251</v>
      </c>
      <c r="G77" s="47">
        <v>-7557</v>
      </c>
      <c r="H77" s="47">
        <v>12516</v>
      </c>
      <c r="I77" s="47">
        <v>42542</v>
      </c>
      <c r="J77" s="47">
        <v>5792</v>
      </c>
      <c r="K77" s="47">
        <v>18684</v>
      </c>
      <c r="L77" s="47">
        <v>42770</v>
      </c>
      <c r="M77" s="53" t="s">
        <v>527</v>
      </c>
      <c r="N77" s="54" t="s">
        <v>397</v>
      </c>
      <c r="O77" s="55" t="s">
        <v>529</v>
      </c>
      <c r="P77" s="11" t="s">
        <v>416</v>
      </c>
      <c r="Q77" s="12" t="s">
        <v>408</v>
      </c>
      <c r="R77" s="10" t="s">
        <v>285</v>
      </c>
      <c r="S77" s="10" t="s">
        <v>401</v>
      </c>
      <c r="T77" s="12">
        <v>1774.78</v>
      </c>
      <c r="U77" s="12">
        <v>39</v>
      </c>
      <c r="V77" s="12" t="s">
        <v>433</v>
      </c>
      <c r="W77" s="12">
        <f t="shared" si="1"/>
        <v>10598</v>
      </c>
      <c r="X77" s="12">
        <v>2268408.38</v>
      </c>
    </row>
    <row r="78" spans="1:24">
      <c r="A78" s="47">
        <v>5733</v>
      </c>
      <c r="B78" s="47">
        <v>6247</v>
      </c>
      <c r="C78" s="47">
        <v>38685</v>
      </c>
      <c r="D78" s="47">
        <v>-1188</v>
      </c>
      <c r="E78" s="47">
        <v>21995</v>
      </c>
      <c r="F78" s="47">
        <v>21119</v>
      </c>
      <c r="G78" s="47">
        <v>7214</v>
      </c>
      <c r="H78" s="47">
        <v>35769</v>
      </c>
      <c r="I78" s="47">
        <v>25226</v>
      </c>
      <c r="J78" s="47">
        <v>38450</v>
      </c>
      <c r="K78" s="47">
        <v>45509</v>
      </c>
      <c r="L78" s="47">
        <v>35763</v>
      </c>
      <c r="M78" s="53" t="s">
        <v>527</v>
      </c>
      <c r="N78" s="54" t="s">
        <v>398</v>
      </c>
      <c r="O78" s="55" t="s">
        <v>530</v>
      </c>
      <c r="P78" s="11" t="s">
        <v>413</v>
      </c>
      <c r="Q78" s="12" t="s">
        <v>411</v>
      </c>
      <c r="R78" s="10" t="s">
        <v>286</v>
      </c>
      <c r="S78" s="10" t="s">
        <v>401</v>
      </c>
      <c r="T78" s="12">
        <v>2080.21</v>
      </c>
      <c r="U78" s="12">
        <v>10</v>
      </c>
      <c r="V78" s="12" t="s">
        <v>435</v>
      </c>
      <c r="W78" s="12">
        <f t="shared" si="1"/>
        <v>10569</v>
      </c>
      <c r="X78" s="12">
        <v>2399876.04</v>
      </c>
    </row>
    <row r="79" spans="1:24">
      <c r="A79" s="47">
        <v>25951</v>
      </c>
      <c r="B79" s="47">
        <v>2220</v>
      </c>
      <c r="C79" s="47">
        <v>18299</v>
      </c>
      <c r="D79" s="47">
        <v>9608</v>
      </c>
      <c r="E79" s="47">
        <v>26773</v>
      </c>
      <c r="F79" s="47">
        <v>25220</v>
      </c>
      <c r="G79" s="47">
        <v>20833</v>
      </c>
      <c r="H79" s="47">
        <v>38351</v>
      </c>
      <c r="I79" s="47">
        <v>20446</v>
      </c>
      <c r="J79" s="47">
        <v>31417</v>
      </c>
      <c r="K79" s="47">
        <v>17045</v>
      </c>
      <c r="L79" s="47">
        <v>29668</v>
      </c>
      <c r="M79" s="53" t="s">
        <v>527</v>
      </c>
      <c r="N79" s="54" t="s">
        <v>396</v>
      </c>
      <c r="O79" s="55" t="s">
        <v>528</v>
      </c>
      <c r="P79" s="11" t="s">
        <v>413</v>
      </c>
      <c r="Q79" s="12" t="s">
        <v>409</v>
      </c>
      <c r="R79" s="10" t="s">
        <v>287</v>
      </c>
      <c r="S79" s="10" t="s">
        <v>403</v>
      </c>
      <c r="T79" s="12">
        <v>1222.27</v>
      </c>
      <c r="U79" s="12">
        <v>65</v>
      </c>
      <c r="V79" s="12" t="s">
        <v>432</v>
      </c>
      <c r="W79" s="12">
        <f t="shared" si="1"/>
        <v>10624</v>
      </c>
      <c r="X79" s="12">
        <v>3085768.94</v>
      </c>
    </row>
    <row r="80" spans="1:24">
      <c r="A80" s="47">
        <v>44669</v>
      </c>
      <c r="B80" s="47">
        <v>5856</v>
      </c>
      <c r="C80" s="47">
        <v>9198</v>
      </c>
      <c r="D80" s="47">
        <v>30999</v>
      </c>
      <c r="E80" s="47">
        <v>8290</v>
      </c>
      <c r="F80" s="47">
        <v>23892</v>
      </c>
      <c r="G80" s="47">
        <v>14833</v>
      </c>
      <c r="H80" s="47">
        <v>33575</v>
      </c>
      <c r="I80" s="47">
        <v>14369</v>
      </c>
      <c r="J80" s="47">
        <v>1277</v>
      </c>
      <c r="K80" s="47">
        <v>18290</v>
      </c>
      <c r="L80" s="47">
        <v>38565</v>
      </c>
      <c r="M80" s="53" t="s">
        <v>527</v>
      </c>
      <c r="N80" s="54" t="s">
        <v>398</v>
      </c>
      <c r="O80" s="55" t="s">
        <v>530</v>
      </c>
      <c r="P80" s="11" t="s">
        <v>414</v>
      </c>
      <c r="Q80" s="12" t="s">
        <v>408</v>
      </c>
      <c r="R80" s="10" t="s">
        <v>288</v>
      </c>
      <c r="S80" s="10" t="s">
        <v>400</v>
      </c>
      <c r="T80" s="12">
        <v>1465.7</v>
      </c>
      <c r="U80" s="12">
        <v>21</v>
      </c>
      <c r="V80" s="12" t="s">
        <v>432</v>
      </c>
      <c r="W80" s="12">
        <f t="shared" si="1"/>
        <v>10580</v>
      </c>
      <c r="X80" s="12">
        <v>2782062.62</v>
      </c>
    </row>
    <row r="81" spans="1:24">
      <c r="A81" s="47">
        <v>10301</v>
      </c>
      <c r="B81" s="47">
        <v>5553</v>
      </c>
      <c r="C81" s="47">
        <v>23780</v>
      </c>
      <c r="D81" s="47">
        <v>26075</v>
      </c>
      <c r="E81" s="47">
        <v>21431</v>
      </c>
      <c r="F81" s="47">
        <v>32766</v>
      </c>
      <c r="G81" s="47">
        <v>13980</v>
      </c>
      <c r="H81" s="47">
        <v>34566</v>
      </c>
      <c r="I81" s="47">
        <v>31914</v>
      </c>
      <c r="J81" s="47">
        <v>32291</v>
      </c>
      <c r="K81" s="47">
        <v>7190</v>
      </c>
      <c r="L81" s="47">
        <v>4891</v>
      </c>
      <c r="M81" s="53" t="s">
        <v>527</v>
      </c>
      <c r="N81" s="54" t="s">
        <v>397</v>
      </c>
      <c r="O81" s="55" t="s">
        <v>529</v>
      </c>
      <c r="P81" s="11" t="s">
        <v>414</v>
      </c>
      <c r="Q81" s="12" t="s">
        <v>411</v>
      </c>
      <c r="R81" s="10" t="s">
        <v>289</v>
      </c>
      <c r="S81" s="10" t="s">
        <v>403</v>
      </c>
      <c r="T81" s="12">
        <v>2073.6</v>
      </c>
      <c r="U81" s="12">
        <v>94</v>
      </c>
      <c r="V81" s="12" t="s">
        <v>435</v>
      </c>
      <c r="W81" s="12">
        <f t="shared" si="1"/>
        <v>10653</v>
      </c>
      <c r="X81" s="12">
        <v>2852311.58</v>
      </c>
    </row>
    <row r="82" spans="1:24">
      <c r="A82" s="47">
        <v>42068</v>
      </c>
      <c r="B82" s="47">
        <v>11681</v>
      </c>
      <c r="C82" s="47">
        <v>15483</v>
      </c>
      <c r="D82" s="47">
        <v>41010</v>
      </c>
      <c r="E82" s="47">
        <v>42564</v>
      </c>
      <c r="F82" s="47">
        <v>5270</v>
      </c>
      <c r="G82" s="47">
        <v>10412</v>
      </c>
      <c r="H82" s="47">
        <v>16929</v>
      </c>
      <c r="I82" s="47">
        <v>48124</v>
      </c>
      <c r="J82" s="47">
        <v>32087</v>
      </c>
      <c r="K82" s="47">
        <v>34874</v>
      </c>
      <c r="L82" s="47">
        <v>2058</v>
      </c>
      <c r="M82" s="53" t="s">
        <v>527</v>
      </c>
      <c r="N82" s="54" t="s">
        <v>398</v>
      </c>
      <c r="O82" s="55" t="s">
        <v>530</v>
      </c>
      <c r="P82" s="11" t="s">
        <v>415</v>
      </c>
      <c r="Q82" s="12" t="s">
        <v>410</v>
      </c>
      <c r="R82" s="10" t="s">
        <v>290</v>
      </c>
      <c r="S82" s="10" t="s">
        <v>401</v>
      </c>
      <c r="T82" s="12">
        <v>101.27</v>
      </c>
      <c r="U82" s="12">
        <v>11</v>
      </c>
      <c r="V82" s="12" t="s">
        <v>432</v>
      </c>
      <c r="W82" s="12">
        <f t="shared" si="1"/>
        <v>10570</v>
      </c>
      <c r="X82" s="12">
        <v>2411455.83</v>
      </c>
    </row>
    <row r="83" spans="1:24">
      <c r="A83" s="47">
        <v>8940</v>
      </c>
      <c r="B83" s="47">
        <v>39048</v>
      </c>
      <c r="C83" s="47">
        <v>8620</v>
      </c>
      <c r="D83" s="47">
        <v>-5739</v>
      </c>
      <c r="E83" s="47">
        <v>44113</v>
      </c>
      <c r="F83" s="47">
        <v>44771</v>
      </c>
      <c r="G83" s="47">
        <v>12792</v>
      </c>
      <c r="H83" s="47">
        <v>31685</v>
      </c>
      <c r="I83" s="47">
        <v>17948</v>
      </c>
      <c r="J83" s="47">
        <v>31046</v>
      </c>
      <c r="K83" s="47">
        <v>19132</v>
      </c>
      <c r="L83" s="47">
        <v>37082</v>
      </c>
      <c r="M83" s="53" t="s">
        <v>527</v>
      </c>
      <c r="N83" s="54" t="s">
        <v>395</v>
      </c>
      <c r="O83" s="55" t="s">
        <v>395</v>
      </c>
      <c r="P83" s="11" t="s">
        <v>414</v>
      </c>
      <c r="Q83" s="12" t="s">
        <v>409</v>
      </c>
      <c r="R83" s="10" t="s">
        <v>229</v>
      </c>
      <c r="S83" s="10" t="s">
        <v>402</v>
      </c>
      <c r="T83" s="12">
        <v>1003.24</v>
      </c>
      <c r="U83" s="12">
        <v>30</v>
      </c>
      <c r="V83" s="12" t="s">
        <v>435</v>
      </c>
      <c r="W83" s="12">
        <f t="shared" si="1"/>
        <v>10589</v>
      </c>
      <c r="X83" s="12">
        <v>1876157.67</v>
      </c>
    </row>
    <row r="84" spans="1:24">
      <c r="A84" s="47">
        <v>7823</v>
      </c>
      <c r="B84" s="47">
        <v>26913</v>
      </c>
      <c r="C84" s="47">
        <v>9270</v>
      </c>
      <c r="D84" s="47">
        <v>15620</v>
      </c>
      <c r="E84" s="47">
        <v>45937</v>
      </c>
      <c r="F84" s="47">
        <v>45436</v>
      </c>
      <c r="G84" s="47">
        <v>38709</v>
      </c>
      <c r="H84" s="47">
        <v>15431</v>
      </c>
      <c r="I84" s="47">
        <v>46558</v>
      </c>
      <c r="J84" s="47">
        <v>9564</v>
      </c>
      <c r="K84" s="47">
        <v>20816</v>
      </c>
      <c r="L84" s="47">
        <v>18911</v>
      </c>
      <c r="M84" s="53" t="s">
        <v>527</v>
      </c>
      <c r="N84" s="54" t="s">
        <v>398</v>
      </c>
      <c r="O84" s="55" t="s">
        <v>530</v>
      </c>
      <c r="P84" s="11" t="s">
        <v>416</v>
      </c>
      <c r="Q84" s="12" t="s">
        <v>410</v>
      </c>
      <c r="R84" s="10" t="s">
        <v>271</v>
      </c>
      <c r="S84" s="10" t="s">
        <v>402</v>
      </c>
      <c r="T84" s="12">
        <v>2920.64</v>
      </c>
      <c r="U84" s="12">
        <v>19</v>
      </c>
      <c r="V84" s="12" t="s">
        <v>435</v>
      </c>
      <c r="W84" s="12">
        <f t="shared" si="1"/>
        <v>10578</v>
      </c>
      <c r="X84" s="12">
        <v>3463775.34</v>
      </c>
    </row>
    <row r="85" spans="1:24">
      <c r="A85" s="47">
        <v>46546</v>
      </c>
      <c r="B85" s="47">
        <v>40346</v>
      </c>
      <c r="C85" s="47">
        <v>17174</v>
      </c>
      <c r="D85" s="47">
        <v>35549</v>
      </c>
      <c r="E85" s="47">
        <v>36466</v>
      </c>
      <c r="F85" s="47">
        <v>27304</v>
      </c>
      <c r="G85" s="47">
        <v>11229</v>
      </c>
      <c r="H85" s="47">
        <v>39716</v>
      </c>
      <c r="I85" s="47">
        <v>34545</v>
      </c>
      <c r="J85" s="47">
        <v>11094</v>
      </c>
      <c r="K85" s="47">
        <v>46417</v>
      </c>
      <c r="L85" s="47">
        <v>14598</v>
      </c>
      <c r="M85" s="53" t="s">
        <v>527</v>
      </c>
      <c r="N85" s="54" t="s">
        <v>399</v>
      </c>
      <c r="O85" s="55" t="s">
        <v>531</v>
      </c>
      <c r="P85" s="11" t="s">
        <v>413</v>
      </c>
      <c r="Q85" s="12" t="s">
        <v>411</v>
      </c>
      <c r="R85" s="10" t="s">
        <v>291</v>
      </c>
      <c r="S85" s="10" t="s">
        <v>403</v>
      </c>
      <c r="T85" s="12">
        <v>1761.33</v>
      </c>
      <c r="U85" s="12">
        <v>68</v>
      </c>
      <c r="V85" s="12" t="s">
        <v>433</v>
      </c>
      <c r="W85" s="12">
        <f t="shared" si="1"/>
        <v>10627</v>
      </c>
      <c r="X85" s="12">
        <v>1361246.84</v>
      </c>
    </row>
    <row r="86" spans="1:24">
      <c r="A86" s="47">
        <v>32700</v>
      </c>
      <c r="B86" s="47">
        <v>37262</v>
      </c>
      <c r="C86" s="47">
        <v>32425</v>
      </c>
      <c r="D86" s="47">
        <v>12005</v>
      </c>
      <c r="E86" s="47">
        <v>40872</v>
      </c>
      <c r="F86" s="47">
        <v>2872</v>
      </c>
      <c r="G86" s="47">
        <v>24897</v>
      </c>
      <c r="H86" s="47">
        <v>39653</v>
      </c>
      <c r="I86" s="47">
        <v>11214</v>
      </c>
      <c r="J86" s="47">
        <v>16722</v>
      </c>
      <c r="K86" s="47">
        <v>7625</v>
      </c>
      <c r="L86" s="47">
        <v>43006</v>
      </c>
      <c r="M86" s="53" t="s">
        <v>527</v>
      </c>
      <c r="N86" s="54" t="s">
        <v>399</v>
      </c>
      <c r="O86" s="55" t="s">
        <v>531</v>
      </c>
      <c r="P86" s="11" t="s">
        <v>413</v>
      </c>
      <c r="Q86" s="12" t="s">
        <v>409</v>
      </c>
      <c r="R86" s="10" t="s">
        <v>292</v>
      </c>
      <c r="S86" s="10" t="s">
        <v>401</v>
      </c>
      <c r="T86" s="12">
        <v>799.96</v>
      </c>
      <c r="U86" s="12">
        <v>63</v>
      </c>
      <c r="V86" s="12" t="s">
        <v>432</v>
      </c>
      <c r="W86" s="12">
        <f t="shared" si="1"/>
        <v>10622</v>
      </c>
      <c r="X86" s="12">
        <v>2645335.4300000002</v>
      </c>
    </row>
    <row r="87" spans="1:24">
      <c r="A87" s="47">
        <v>18018</v>
      </c>
      <c r="B87" s="47">
        <v>23532</v>
      </c>
      <c r="C87" s="47">
        <v>-2212</v>
      </c>
      <c r="D87" s="47">
        <v>32174</v>
      </c>
      <c r="E87" s="47">
        <v>23599</v>
      </c>
      <c r="F87" s="47">
        <v>23664</v>
      </c>
      <c r="G87" s="47">
        <v>7863</v>
      </c>
      <c r="H87" s="47">
        <v>-6496</v>
      </c>
      <c r="I87" s="47">
        <v>29876</v>
      </c>
      <c r="J87" s="47">
        <v>36007</v>
      </c>
      <c r="K87" s="47">
        <v>45921</v>
      </c>
      <c r="L87" s="47">
        <v>2569</v>
      </c>
      <c r="M87" s="53" t="s">
        <v>527</v>
      </c>
      <c r="N87" s="54" t="s">
        <v>395</v>
      </c>
      <c r="O87" s="55" t="s">
        <v>395</v>
      </c>
      <c r="P87" s="11" t="s">
        <v>415</v>
      </c>
      <c r="Q87" s="12" t="s">
        <v>411</v>
      </c>
      <c r="R87" s="10" t="s">
        <v>293</v>
      </c>
      <c r="S87" s="10" t="s">
        <v>402</v>
      </c>
      <c r="T87" s="12">
        <v>1589.1</v>
      </c>
      <c r="U87" s="12">
        <v>38</v>
      </c>
      <c r="V87" s="12" t="s">
        <v>433</v>
      </c>
      <c r="W87" s="12">
        <f t="shared" si="1"/>
        <v>10597</v>
      </c>
      <c r="X87" s="12">
        <v>2638064.34</v>
      </c>
    </row>
    <row r="88" spans="1:24">
      <c r="A88" s="47">
        <v>23928</v>
      </c>
      <c r="B88" s="47">
        <v>18952</v>
      </c>
      <c r="C88" s="47">
        <v>22754</v>
      </c>
      <c r="D88" s="47">
        <v>30303</v>
      </c>
      <c r="E88" s="47">
        <v>13133</v>
      </c>
      <c r="F88" s="47">
        <v>5548</v>
      </c>
      <c r="G88" s="47">
        <v>6465</v>
      </c>
      <c r="H88" s="47">
        <v>8031</v>
      </c>
      <c r="I88" s="47">
        <v>36570</v>
      </c>
      <c r="J88" s="47">
        <v>33799</v>
      </c>
      <c r="K88" s="47">
        <v>13867</v>
      </c>
      <c r="L88" s="47">
        <v>14667</v>
      </c>
      <c r="M88" s="53" t="s">
        <v>527</v>
      </c>
      <c r="N88" s="54" t="s">
        <v>397</v>
      </c>
      <c r="O88" s="55" t="s">
        <v>529</v>
      </c>
      <c r="P88" s="11" t="s">
        <v>413</v>
      </c>
      <c r="Q88" s="12" t="s">
        <v>410</v>
      </c>
      <c r="R88" s="10" t="s">
        <v>294</v>
      </c>
      <c r="S88" s="10" t="s">
        <v>401</v>
      </c>
      <c r="T88" s="12">
        <v>1060.83</v>
      </c>
      <c r="U88" s="12">
        <v>12</v>
      </c>
      <c r="V88" s="12" t="s">
        <v>433</v>
      </c>
      <c r="W88" s="12">
        <f t="shared" si="1"/>
        <v>10571</v>
      </c>
      <c r="X88" s="12">
        <v>1305842.1000000001</v>
      </c>
    </row>
    <row r="89" spans="1:24">
      <c r="A89" s="47">
        <v>9969</v>
      </c>
      <c r="B89" s="47">
        <v>31306</v>
      </c>
      <c r="C89" s="47">
        <v>42554</v>
      </c>
      <c r="D89" s="47">
        <v>42913</v>
      </c>
      <c r="E89" s="47">
        <v>23861</v>
      </c>
      <c r="F89" s="47">
        <v>24093</v>
      </c>
      <c r="G89" s="47">
        <v>-9613</v>
      </c>
      <c r="H89" s="47">
        <v>39706</v>
      </c>
      <c r="I89" s="47">
        <v>47467</v>
      </c>
      <c r="J89" s="47">
        <v>14604</v>
      </c>
      <c r="K89" s="47">
        <v>40106</v>
      </c>
      <c r="L89" s="47">
        <v>31051</v>
      </c>
      <c r="M89" s="53" t="s">
        <v>527</v>
      </c>
      <c r="N89" s="54" t="s">
        <v>399</v>
      </c>
      <c r="O89" s="55" t="s">
        <v>531</v>
      </c>
      <c r="P89" s="11" t="s">
        <v>415</v>
      </c>
      <c r="Q89" s="12" t="s">
        <v>409</v>
      </c>
      <c r="R89" s="10" t="s">
        <v>295</v>
      </c>
      <c r="S89" s="10" t="s">
        <v>403</v>
      </c>
      <c r="T89" s="12">
        <v>1620.12</v>
      </c>
      <c r="U89" s="12">
        <v>84</v>
      </c>
      <c r="V89" s="12" t="s">
        <v>435</v>
      </c>
      <c r="W89" s="12">
        <f t="shared" si="1"/>
        <v>10643</v>
      </c>
      <c r="X89" s="12">
        <v>3475579.66</v>
      </c>
    </row>
    <row r="90" spans="1:24">
      <c r="A90" s="47">
        <v>32782</v>
      </c>
      <c r="B90" s="47">
        <v>21484</v>
      </c>
      <c r="C90" s="47">
        <v>24438</v>
      </c>
      <c r="D90" s="47">
        <v>5300</v>
      </c>
      <c r="E90" s="47">
        <v>6471</v>
      </c>
      <c r="F90" s="47">
        <v>33014</v>
      </c>
      <c r="G90" s="47">
        <v>2907</v>
      </c>
      <c r="H90" s="47">
        <v>31044</v>
      </c>
      <c r="I90" s="47">
        <v>27472</v>
      </c>
      <c r="J90" s="47">
        <v>19797</v>
      </c>
      <c r="K90" s="47">
        <v>16755</v>
      </c>
      <c r="L90" s="47">
        <v>21296</v>
      </c>
      <c r="M90" s="53" t="s">
        <v>527</v>
      </c>
      <c r="N90" s="54" t="s">
        <v>396</v>
      </c>
      <c r="O90" s="55" t="s">
        <v>528</v>
      </c>
      <c r="P90" s="11" t="s">
        <v>415</v>
      </c>
      <c r="Q90" s="12" t="s">
        <v>410</v>
      </c>
      <c r="R90" s="10" t="s">
        <v>296</v>
      </c>
      <c r="S90" s="10" t="s">
        <v>402</v>
      </c>
      <c r="T90" s="12">
        <v>420.94</v>
      </c>
      <c r="U90" s="12">
        <v>86</v>
      </c>
      <c r="V90" s="12" t="s">
        <v>433</v>
      </c>
      <c r="W90" s="12">
        <f t="shared" si="1"/>
        <v>10645</v>
      </c>
      <c r="X90" s="12">
        <v>3522338.58</v>
      </c>
    </row>
    <row r="91" spans="1:24">
      <c r="A91" s="47">
        <v>5527</v>
      </c>
      <c r="B91" s="47">
        <v>28647</v>
      </c>
      <c r="C91" s="47">
        <v>38626</v>
      </c>
      <c r="D91" s="47">
        <v>14018</v>
      </c>
      <c r="E91" s="47">
        <v>9169</v>
      </c>
      <c r="F91" s="47">
        <v>29160</v>
      </c>
      <c r="G91" s="47">
        <v>18156</v>
      </c>
      <c r="H91" s="47">
        <v>20174</v>
      </c>
      <c r="I91" s="47">
        <v>16562</v>
      </c>
      <c r="J91" s="47">
        <v>33832</v>
      </c>
      <c r="K91" s="47">
        <v>-1151</v>
      </c>
      <c r="L91" s="47">
        <v>38204</v>
      </c>
      <c r="M91" s="53" t="s">
        <v>527</v>
      </c>
      <c r="N91" s="54" t="s">
        <v>399</v>
      </c>
      <c r="O91" s="55" t="s">
        <v>531</v>
      </c>
      <c r="P91" s="11" t="s">
        <v>416</v>
      </c>
      <c r="Q91" s="12" t="s">
        <v>411</v>
      </c>
      <c r="R91" s="10" t="s">
        <v>297</v>
      </c>
      <c r="S91" s="10" t="s">
        <v>401</v>
      </c>
      <c r="T91" s="12">
        <v>441.51</v>
      </c>
      <c r="U91" s="12">
        <v>88</v>
      </c>
      <c r="V91" s="12" t="s">
        <v>432</v>
      </c>
      <c r="W91" s="12">
        <f t="shared" si="1"/>
        <v>10647</v>
      </c>
      <c r="X91" s="12">
        <v>1698566.8</v>
      </c>
    </row>
    <row r="92" spans="1:24">
      <c r="A92" s="47">
        <v>23748</v>
      </c>
      <c r="B92" s="47">
        <v>18605</v>
      </c>
      <c r="C92" s="47">
        <v>-1027</v>
      </c>
      <c r="D92" s="47">
        <v>9794</v>
      </c>
      <c r="E92" s="47">
        <v>23988</v>
      </c>
      <c r="F92" s="47">
        <v>26487</v>
      </c>
      <c r="G92" s="47">
        <v>35617</v>
      </c>
      <c r="H92" s="47">
        <v>3242</v>
      </c>
      <c r="I92" s="47">
        <v>29375</v>
      </c>
      <c r="J92" s="47">
        <v>-4443</v>
      </c>
      <c r="K92" s="47">
        <v>43851</v>
      </c>
      <c r="L92" s="47">
        <v>-39</v>
      </c>
      <c r="M92" s="53" t="s">
        <v>527</v>
      </c>
      <c r="N92" s="54" t="s">
        <v>399</v>
      </c>
      <c r="O92" s="55" t="s">
        <v>531</v>
      </c>
      <c r="P92" s="11" t="s">
        <v>415</v>
      </c>
      <c r="Q92" s="12" t="s">
        <v>411</v>
      </c>
      <c r="R92" s="10" t="s">
        <v>298</v>
      </c>
      <c r="S92" s="10" t="s">
        <v>402</v>
      </c>
      <c r="T92" s="12">
        <v>473.45</v>
      </c>
      <c r="U92" s="12">
        <v>34</v>
      </c>
      <c r="V92" s="12" t="s">
        <v>434</v>
      </c>
      <c r="W92" s="12">
        <f t="shared" si="1"/>
        <v>10593</v>
      </c>
      <c r="X92" s="12">
        <v>2487201.1</v>
      </c>
    </row>
    <row r="93" spans="1:24">
      <c r="A93" s="47">
        <v>28005</v>
      </c>
      <c r="B93" s="47">
        <v>18441</v>
      </c>
      <c r="C93" s="47">
        <v>17270</v>
      </c>
      <c r="D93" s="47">
        <v>-2010</v>
      </c>
      <c r="E93" s="47">
        <v>11691</v>
      </c>
      <c r="F93" s="47">
        <v>28842</v>
      </c>
      <c r="G93" s="47">
        <v>34143</v>
      </c>
      <c r="H93" s="47">
        <v>27328</v>
      </c>
      <c r="I93" s="47">
        <v>18564</v>
      </c>
      <c r="J93" s="47">
        <v>25387</v>
      </c>
      <c r="K93" s="47">
        <v>39757</v>
      </c>
      <c r="L93" s="47">
        <v>40146</v>
      </c>
      <c r="M93" s="53" t="s">
        <v>527</v>
      </c>
      <c r="N93" s="54" t="s">
        <v>397</v>
      </c>
      <c r="O93" s="55" t="s">
        <v>529</v>
      </c>
      <c r="P93" s="11" t="s">
        <v>413</v>
      </c>
      <c r="Q93" s="12" t="s">
        <v>410</v>
      </c>
      <c r="R93" s="10" t="s">
        <v>299</v>
      </c>
      <c r="S93" s="10" t="s">
        <v>403</v>
      </c>
      <c r="T93" s="12">
        <v>2822.47</v>
      </c>
      <c r="U93" s="12">
        <v>89</v>
      </c>
      <c r="V93" s="12" t="s">
        <v>432</v>
      </c>
      <c r="W93" s="12">
        <f t="shared" si="1"/>
        <v>10648</v>
      </c>
      <c r="X93" s="12">
        <v>2036167.29</v>
      </c>
    </row>
    <row r="94" spans="1:24">
      <c r="A94" s="47">
        <v>42901</v>
      </c>
      <c r="B94" s="47">
        <v>18139</v>
      </c>
      <c r="C94" s="47">
        <v>18940</v>
      </c>
      <c r="D94" s="47">
        <v>5676</v>
      </c>
      <c r="E94" s="47">
        <v>22075</v>
      </c>
      <c r="F94" s="47">
        <v>22150</v>
      </c>
      <c r="G94" s="47">
        <v>-4975</v>
      </c>
      <c r="H94" s="47">
        <v>21531</v>
      </c>
      <c r="I94" s="47">
        <v>6597</v>
      </c>
      <c r="J94" s="47">
        <v>32169</v>
      </c>
      <c r="K94" s="47">
        <v>180</v>
      </c>
      <c r="L94" s="47">
        <v>33551</v>
      </c>
      <c r="M94" s="53" t="s">
        <v>527</v>
      </c>
      <c r="N94" s="54" t="s">
        <v>398</v>
      </c>
      <c r="O94" s="55" t="s">
        <v>530</v>
      </c>
      <c r="P94" s="11" t="s">
        <v>414</v>
      </c>
      <c r="Q94" s="12" t="s">
        <v>409</v>
      </c>
      <c r="R94" s="10" t="s">
        <v>300</v>
      </c>
      <c r="S94" s="10" t="s">
        <v>401</v>
      </c>
      <c r="T94" s="12">
        <v>2212.0500000000002</v>
      </c>
      <c r="U94" s="12">
        <v>93</v>
      </c>
      <c r="V94" s="12" t="s">
        <v>432</v>
      </c>
      <c r="W94" s="12">
        <f t="shared" si="1"/>
        <v>10652</v>
      </c>
      <c r="X94" s="12">
        <v>1657997.43</v>
      </c>
    </row>
    <row r="95" spans="1:24">
      <c r="A95" s="47">
        <v>16728</v>
      </c>
      <c r="B95" s="47">
        <v>12157</v>
      </c>
      <c r="C95" s="47">
        <v>-3003</v>
      </c>
      <c r="D95" s="47">
        <v>27979</v>
      </c>
      <c r="E95" s="47">
        <v>19738</v>
      </c>
      <c r="F95" s="47">
        <v>48436</v>
      </c>
      <c r="G95" s="47">
        <v>3088</v>
      </c>
      <c r="H95" s="47">
        <v>36762</v>
      </c>
      <c r="I95" s="47">
        <v>15975</v>
      </c>
      <c r="J95" s="47">
        <v>34501</v>
      </c>
      <c r="K95" s="47">
        <v>19533</v>
      </c>
      <c r="L95" s="47">
        <v>20067</v>
      </c>
      <c r="M95" s="53" t="s">
        <v>527</v>
      </c>
      <c r="N95" s="54" t="s">
        <v>399</v>
      </c>
      <c r="O95" s="55" t="s">
        <v>531</v>
      </c>
      <c r="P95" s="11" t="s">
        <v>414</v>
      </c>
      <c r="Q95" s="12" t="s">
        <v>410</v>
      </c>
      <c r="R95" s="10" t="s">
        <v>301</v>
      </c>
      <c r="S95" s="10" t="s">
        <v>402</v>
      </c>
      <c r="T95" s="12">
        <v>529.03</v>
      </c>
      <c r="U95" s="12">
        <v>70</v>
      </c>
      <c r="V95" s="12" t="s">
        <v>433</v>
      </c>
      <c r="W95" s="12">
        <f t="shared" si="1"/>
        <v>10629</v>
      </c>
      <c r="X95" s="12">
        <v>2137476.5</v>
      </c>
    </row>
    <row r="96" spans="1:24">
      <c r="A96" s="47">
        <v>21155</v>
      </c>
      <c r="B96" s="47">
        <v>4550</v>
      </c>
      <c r="C96" s="47">
        <v>6360</v>
      </c>
      <c r="D96" s="47">
        <v>7855</v>
      </c>
      <c r="E96" s="47">
        <v>27297</v>
      </c>
      <c r="F96" s="47">
        <v>42936</v>
      </c>
      <c r="G96" s="47">
        <v>5899</v>
      </c>
      <c r="H96" s="47">
        <v>-5823</v>
      </c>
      <c r="I96" s="47">
        <v>31675</v>
      </c>
      <c r="J96" s="47">
        <v>-6332</v>
      </c>
      <c r="K96" s="47">
        <v>9829</v>
      </c>
      <c r="L96" s="47">
        <v>43999</v>
      </c>
      <c r="M96" s="53" t="s">
        <v>527</v>
      </c>
      <c r="N96" s="54" t="s">
        <v>395</v>
      </c>
      <c r="O96" s="55" t="s">
        <v>395</v>
      </c>
      <c r="P96" s="11" t="s">
        <v>414</v>
      </c>
      <c r="Q96" s="12" t="s">
        <v>411</v>
      </c>
      <c r="R96" s="10" t="s">
        <v>302</v>
      </c>
      <c r="S96" s="10" t="s">
        <v>403</v>
      </c>
      <c r="T96" s="12">
        <v>605.63</v>
      </c>
      <c r="U96" s="12">
        <v>87</v>
      </c>
      <c r="V96" s="12" t="s">
        <v>433</v>
      </c>
      <c r="W96" s="12">
        <f t="shared" si="1"/>
        <v>10646</v>
      </c>
      <c r="X96" s="12">
        <v>1527679.35</v>
      </c>
    </row>
    <row r="97" spans="1:24">
      <c r="A97" s="47">
        <v>10596</v>
      </c>
      <c r="B97" s="47">
        <v>2745</v>
      </c>
      <c r="C97" s="47">
        <v>6993</v>
      </c>
      <c r="D97" s="47">
        <v>4507</v>
      </c>
      <c r="E97" s="47">
        <v>13110</v>
      </c>
      <c r="F97" s="47">
        <v>45358</v>
      </c>
      <c r="G97" s="47">
        <v>-516</v>
      </c>
      <c r="H97" s="47">
        <v>3896</v>
      </c>
      <c r="I97" s="47">
        <v>4668</v>
      </c>
      <c r="J97" s="47">
        <v>20008</v>
      </c>
      <c r="K97" s="47">
        <v>18528</v>
      </c>
      <c r="L97" s="47">
        <v>18107</v>
      </c>
      <c r="M97" s="53" t="s">
        <v>527</v>
      </c>
      <c r="N97" s="54" t="s">
        <v>398</v>
      </c>
      <c r="O97" s="55" t="s">
        <v>530</v>
      </c>
      <c r="P97" s="11" t="s">
        <v>416</v>
      </c>
      <c r="Q97" s="12" t="s">
        <v>410</v>
      </c>
      <c r="R97" s="10" t="s">
        <v>303</v>
      </c>
      <c r="S97" s="10" t="s">
        <v>402</v>
      </c>
      <c r="T97" s="12">
        <v>2205.9499999999998</v>
      </c>
      <c r="U97" s="12">
        <v>24</v>
      </c>
      <c r="V97" s="12" t="s">
        <v>435</v>
      </c>
      <c r="W97" s="12">
        <f t="shared" si="1"/>
        <v>10583</v>
      </c>
      <c r="X97" s="12">
        <v>3261571.85</v>
      </c>
    </row>
    <row r="98" spans="1:24">
      <c r="A98" s="47">
        <v>9287</v>
      </c>
      <c r="B98" s="47">
        <v>-7918</v>
      </c>
      <c r="C98" s="47">
        <v>9222</v>
      </c>
      <c r="D98" s="47">
        <v>34474</v>
      </c>
      <c r="E98" s="47">
        <v>28757</v>
      </c>
      <c r="F98" s="47">
        <v>36182</v>
      </c>
      <c r="G98" s="47">
        <v>-5408</v>
      </c>
      <c r="H98" s="47">
        <v>9048</v>
      </c>
      <c r="I98" s="47">
        <v>32373</v>
      </c>
      <c r="J98" s="47">
        <v>-7642</v>
      </c>
      <c r="K98" s="47">
        <v>46957</v>
      </c>
      <c r="L98" s="47">
        <v>19429</v>
      </c>
      <c r="M98" s="53" t="s">
        <v>527</v>
      </c>
      <c r="N98" s="54" t="s">
        <v>396</v>
      </c>
      <c r="O98" s="55" t="s">
        <v>528</v>
      </c>
      <c r="P98" s="11" t="s">
        <v>413</v>
      </c>
      <c r="Q98" s="12" t="s">
        <v>411</v>
      </c>
      <c r="R98" s="10" t="s">
        <v>304</v>
      </c>
      <c r="S98" s="10" t="s">
        <v>402</v>
      </c>
      <c r="T98" s="12">
        <v>510.68</v>
      </c>
      <c r="U98" s="12">
        <v>23</v>
      </c>
      <c r="V98" s="12" t="s">
        <v>434</v>
      </c>
      <c r="W98" s="12">
        <f t="shared" si="1"/>
        <v>10582</v>
      </c>
      <c r="X98" s="12">
        <v>2082432.89</v>
      </c>
    </row>
    <row r="99" spans="1:24">
      <c r="A99" s="47">
        <v>26688</v>
      </c>
      <c r="B99" s="47">
        <v>10983</v>
      </c>
      <c r="C99" s="47">
        <v>33200</v>
      </c>
      <c r="D99" s="47">
        <v>42702</v>
      </c>
      <c r="E99" s="47">
        <v>23373</v>
      </c>
      <c r="F99" s="47">
        <v>42379</v>
      </c>
      <c r="G99" s="47">
        <v>18703</v>
      </c>
      <c r="H99" s="47">
        <v>36400</v>
      </c>
      <c r="I99" s="47">
        <v>28406</v>
      </c>
      <c r="J99" s="47">
        <v>33714</v>
      </c>
      <c r="K99" s="47">
        <v>13530</v>
      </c>
      <c r="L99" s="47">
        <v>32022</v>
      </c>
      <c r="M99" s="53" t="s">
        <v>527</v>
      </c>
      <c r="N99" s="54" t="s">
        <v>397</v>
      </c>
      <c r="O99" s="55" t="s">
        <v>529</v>
      </c>
      <c r="P99" s="11" t="s">
        <v>416</v>
      </c>
      <c r="Q99" s="12" t="s">
        <v>410</v>
      </c>
      <c r="R99" s="10" t="s">
        <v>305</v>
      </c>
      <c r="S99" s="10" t="s">
        <v>400</v>
      </c>
      <c r="T99" s="12">
        <v>741.96</v>
      </c>
      <c r="U99" s="12">
        <v>58</v>
      </c>
      <c r="V99" s="12" t="s">
        <v>432</v>
      </c>
      <c r="W99" s="12">
        <f t="shared" si="1"/>
        <v>10617</v>
      </c>
      <c r="X99" s="12">
        <v>3479113.31</v>
      </c>
    </row>
    <row r="100" spans="1:24">
      <c r="A100" s="47">
        <v>16689</v>
      </c>
      <c r="B100" s="47">
        <v>19953</v>
      </c>
      <c r="C100" s="47">
        <v>20106</v>
      </c>
      <c r="D100" s="47">
        <v>27421</v>
      </c>
      <c r="E100" s="47">
        <v>2609</v>
      </c>
      <c r="F100" s="47">
        <v>8681</v>
      </c>
      <c r="G100" s="47">
        <v>36621</v>
      </c>
      <c r="H100" s="47">
        <v>2618</v>
      </c>
      <c r="I100" s="47">
        <v>14699</v>
      </c>
      <c r="J100" s="47">
        <v>5111</v>
      </c>
      <c r="K100" s="47">
        <v>37550</v>
      </c>
      <c r="L100" s="47">
        <v>16716</v>
      </c>
      <c r="M100" s="53" t="s">
        <v>527</v>
      </c>
      <c r="N100" s="54" t="s">
        <v>396</v>
      </c>
      <c r="O100" s="55" t="s">
        <v>528</v>
      </c>
      <c r="P100" s="11" t="s">
        <v>416</v>
      </c>
      <c r="Q100" s="12" t="s">
        <v>409</v>
      </c>
      <c r="R100" s="10" t="s">
        <v>306</v>
      </c>
      <c r="S100" s="10" t="s">
        <v>400</v>
      </c>
      <c r="T100" s="12">
        <v>2891.87</v>
      </c>
      <c r="U100" s="12">
        <v>24</v>
      </c>
      <c r="V100" s="12" t="s">
        <v>432</v>
      </c>
      <c r="W100" s="12">
        <f t="shared" si="1"/>
        <v>10583</v>
      </c>
      <c r="X100" s="12">
        <v>2521334.5499999998</v>
      </c>
    </row>
    <row r="101" spans="1:24">
      <c r="A101" s="47">
        <v>40777</v>
      </c>
      <c r="B101" s="47">
        <v>30587</v>
      </c>
      <c r="C101" s="47">
        <v>29962</v>
      </c>
      <c r="D101" s="47">
        <v>31025</v>
      </c>
      <c r="E101" s="47">
        <v>28514</v>
      </c>
      <c r="F101" s="47">
        <v>16123</v>
      </c>
      <c r="G101" s="47">
        <v>1622</v>
      </c>
      <c r="H101" s="47">
        <v>-3240</v>
      </c>
      <c r="I101" s="47">
        <v>24230</v>
      </c>
      <c r="J101" s="47">
        <v>32823</v>
      </c>
      <c r="K101" s="47">
        <v>30458</v>
      </c>
      <c r="L101" s="47">
        <v>9485</v>
      </c>
      <c r="M101" s="53" t="s">
        <v>527</v>
      </c>
      <c r="N101" s="54" t="s">
        <v>398</v>
      </c>
      <c r="O101" s="55" t="s">
        <v>530</v>
      </c>
      <c r="P101" s="11" t="s">
        <v>414</v>
      </c>
      <c r="Q101" s="12" t="s">
        <v>409</v>
      </c>
      <c r="R101" s="10" t="s">
        <v>215</v>
      </c>
      <c r="S101" s="10" t="s">
        <v>403</v>
      </c>
      <c r="T101" s="12">
        <v>803.15</v>
      </c>
      <c r="U101" s="12">
        <v>1</v>
      </c>
      <c r="V101" s="12" t="s">
        <v>433</v>
      </c>
      <c r="W101" s="12">
        <f t="shared" si="1"/>
        <v>10560</v>
      </c>
      <c r="X101" s="12">
        <v>1643211.33</v>
      </c>
    </row>
    <row r="102" spans="1:24">
      <c r="A102" s="47">
        <v>27984</v>
      </c>
      <c r="B102" s="47">
        <v>5343</v>
      </c>
      <c r="C102" s="47">
        <v>5849</v>
      </c>
      <c r="D102" s="47">
        <v>2432</v>
      </c>
      <c r="E102" s="47">
        <v>38875</v>
      </c>
      <c r="F102" s="47">
        <v>24518</v>
      </c>
      <c r="G102" s="47">
        <v>24943</v>
      </c>
      <c r="H102" s="47">
        <v>39774</v>
      </c>
      <c r="I102" s="47">
        <v>35623</v>
      </c>
      <c r="J102" s="47">
        <v>19497</v>
      </c>
      <c r="K102" s="47">
        <v>14484</v>
      </c>
      <c r="L102" s="47">
        <v>18485</v>
      </c>
      <c r="M102" s="53" t="s">
        <v>527</v>
      </c>
      <c r="N102" s="54" t="s">
        <v>398</v>
      </c>
      <c r="O102" s="55" t="s">
        <v>530</v>
      </c>
      <c r="P102" s="11" t="s">
        <v>415</v>
      </c>
      <c r="Q102" s="12" t="s">
        <v>410</v>
      </c>
      <c r="R102" s="10" t="s">
        <v>307</v>
      </c>
      <c r="S102" s="10" t="s">
        <v>400</v>
      </c>
      <c r="T102" s="12">
        <v>2001.82</v>
      </c>
      <c r="U102" s="12">
        <v>64</v>
      </c>
      <c r="V102" s="12" t="s">
        <v>432</v>
      </c>
      <c r="W102" s="12">
        <f t="shared" si="1"/>
        <v>10623</v>
      </c>
      <c r="X102" s="12">
        <v>1447550.09</v>
      </c>
    </row>
    <row r="103" spans="1:24">
      <c r="A103" s="47">
        <v>20932</v>
      </c>
      <c r="B103" s="47">
        <v>-2372</v>
      </c>
      <c r="C103" s="47">
        <v>42247</v>
      </c>
      <c r="D103" s="47">
        <v>41246</v>
      </c>
      <c r="E103" s="47">
        <v>18606</v>
      </c>
      <c r="F103" s="47">
        <v>3708</v>
      </c>
      <c r="G103" s="47">
        <v>24010</v>
      </c>
      <c r="H103" s="47">
        <v>-3782</v>
      </c>
      <c r="I103" s="47">
        <v>36870</v>
      </c>
      <c r="J103" s="47">
        <v>30556</v>
      </c>
      <c r="K103" s="47">
        <v>3633</v>
      </c>
      <c r="L103" s="47">
        <v>26444</v>
      </c>
      <c r="M103" s="53" t="s">
        <v>527</v>
      </c>
      <c r="N103" s="54" t="s">
        <v>398</v>
      </c>
      <c r="O103" s="55" t="s">
        <v>530</v>
      </c>
      <c r="P103" s="11" t="s">
        <v>416</v>
      </c>
      <c r="Q103" s="12" t="s">
        <v>410</v>
      </c>
      <c r="R103" s="10" t="s">
        <v>308</v>
      </c>
      <c r="S103" s="10" t="s">
        <v>403</v>
      </c>
      <c r="T103" s="12">
        <v>2936.96</v>
      </c>
      <c r="U103" s="12">
        <v>19</v>
      </c>
      <c r="V103" s="12" t="s">
        <v>435</v>
      </c>
      <c r="W103" s="12">
        <f t="shared" si="1"/>
        <v>10578</v>
      </c>
      <c r="X103" s="12">
        <v>3392847.91</v>
      </c>
    </row>
    <row r="104" spans="1:24">
      <c r="A104" s="47">
        <v>29269</v>
      </c>
      <c r="B104" s="47">
        <v>9261</v>
      </c>
      <c r="C104" s="47">
        <v>21734</v>
      </c>
      <c r="D104" s="47">
        <v>8321</v>
      </c>
      <c r="E104" s="47">
        <v>43112</v>
      </c>
      <c r="F104" s="47">
        <v>5634</v>
      </c>
      <c r="G104" s="47">
        <v>1385</v>
      </c>
      <c r="H104" s="47">
        <v>-6051</v>
      </c>
      <c r="I104" s="47">
        <v>36393</v>
      </c>
      <c r="J104" s="47">
        <v>6085</v>
      </c>
      <c r="K104" s="47">
        <v>39767</v>
      </c>
      <c r="L104" s="47">
        <v>44217</v>
      </c>
      <c r="M104" s="53" t="s">
        <v>527</v>
      </c>
      <c r="N104" s="54" t="s">
        <v>396</v>
      </c>
      <c r="O104" s="55" t="s">
        <v>528</v>
      </c>
      <c r="P104" s="11" t="s">
        <v>414</v>
      </c>
      <c r="Q104" s="12" t="s">
        <v>409</v>
      </c>
      <c r="R104" s="10" t="s">
        <v>309</v>
      </c>
      <c r="S104" s="10" t="s">
        <v>400</v>
      </c>
      <c r="T104" s="12">
        <v>1154.18</v>
      </c>
      <c r="U104" s="12">
        <v>70</v>
      </c>
      <c r="V104" s="12" t="s">
        <v>432</v>
      </c>
      <c r="W104" s="12">
        <f t="shared" si="1"/>
        <v>10629</v>
      </c>
      <c r="X104" s="12">
        <v>1997417.76</v>
      </c>
    </row>
    <row r="105" spans="1:24">
      <c r="A105" s="47">
        <v>21023</v>
      </c>
      <c r="B105" s="47">
        <v>34487</v>
      </c>
      <c r="C105" s="47">
        <v>8621</v>
      </c>
      <c r="D105" s="47">
        <v>4108</v>
      </c>
      <c r="E105" s="47">
        <v>6418</v>
      </c>
      <c r="F105" s="47">
        <v>9071</v>
      </c>
      <c r="G105" s="47">
        <v>34496</v>
      </c>
      <c r="H105" s="47">
        <v>20921</v>
      </c>
      <c r="I105" s="47">
        <v>10758</v>
      </c>
      <c r="J105" s="47">
        <v>36466</v>
      </c>
      <c r="K105" s="47">
        <v>9545</v>
      </c>
      <c r="L105" s="47">
        <v>17972</v>
      </c>
      <c r="M105" s="53" t="s">
        <v>527</v>
      </c>
      <c r="N105" s="54" t="s">
        <v>398</v>
      </c>
      <c r="O105" s="55" t="s">
        <v>530</v>
      </c>
      <c r="P105" s="11" t="s">
        <v>415</v>
      </c>
      <c r="Q105" s="12" t="s">
        <v>411</v>
      </c>
      <c r="R105" s="10" t="s">
        <v>310</v>
      </c>
      <c r="S105" s="10" t="s">
        <v>402</v>
      </c>
      <c r="T105" s="12">
        <v>101.67</v>
      </c>
      <c r="U105" s="12">
        <v>29</v>
      </c>
      <c r="V105" s="12" t="s">
        <v>434</v>
      </c>
      <c r="W105" s="12">
        <f t="shared" si="1"/>
        <v>10588</v>
      </c>
      <c r="X105" s="12">
        <v>2057069.43</v>
      </c>
    </row>
    <row r="106" spans="1:24">
      <c r="A106" s="47">
        <v>45502</v>
      </c>
      <c r="B106" s="47">
        <v>40490</v>
      </c>
      <c r="C106" s="47">
        <v>-2864</v>
      </c>
      <c r="D106" s="47">
        <v>10468</v>
      </c>
      <c r="E106" s="47">
        <v>-2663</v>
      </c>
      <c r="F106" s="47">
        <v>26947</v>
      </c>
      <c r="G106" s="47">
        <v>3324</v>
      </c>
      <c r="H106" s="47">
        <v>19763</v>
      </c>
      <c r="I106" s="47">
        <v>38970</v>
      </c>
      <c r="J106" s="47">
        <v>20187</v>
      </c>
      <c r="K106" s="47">
        <v>13710</v>
      </c>
      <c r="L106" s="47">
        <v>17545</v>
      </c>
      <c r="M106" s="53" t="s">
        <v>527</v>
      </c>
      <c r="N106" s="54" t="s">
        <v>396</v>
      </c>
      <c r="O106" s="55" t="s">
        <v>528</v>
      </c>
      <c r="P106" s="11" t="s">
        <v>413</v>
      </c>
      <c r="Q106" s="12" t="s">
        <v>409</v>
      </c>
      <c r="R106" s="10" t="s">
        <v>311</v>
      </c>
      <c r="S106" s="10" t="s">
        <v>403</v>
      </c>
      <c r="T106" s="12">
        <v>770.23</v>
      </c>
      <c r="U106" s="12">
        <v>91</v>
      </c>
      <c r="V106" s="12" t="s">
        <v>435</v>
      </c>
      <c r="W106" s="12">
        <f t="shared" si="1"/>
        <v>10650</v>
      </c>
      <c r="X106" s="12">
        <v>2754935.85</v>
      </c>
    </row>
    <row r="107" spans="1:24">
      <c r="A107" s="47">
        <v>5303</v>
      </c>
      <c r="B107" s="47">
        <v>-2517</v>
      </c>
      <c r="C107" s="47">
        <v>-932</v>
      </c>
      <c r="D107" s="47">
        <v>18078</v>
      </c>
      <c r="E107" s="47">
        <v>21354</v>
      </c>
      <c r="F107" s="47">
        <v>2519</v>
      </c>
      <c r="G107" s="47">
        <v>38515</v>
      </c>
      <c r="H107" s="47">
        <v>4763</v>
      </c>
      <c r="I107" s="47">
        <v>29542</v>
      </c>
      <c r="J107" s="47">
        <v>24742</v>
      </c>
      <c r="K107" s="47">
        <v>26792</v>
      </c>
      <c r="L107" s="47">
        <v>38694</v>
      </c>
      <c r="M107" s="53" t="s">
        <v>527</v>
      </c>
      <c r="N107" s="54" t="s">
        <v>398</v>
      </c>
      <c r="O107" s="55" t="s">
        <v>530</v>
      </c>
      <c r="P107" s="11" t="s">
        <v>413</v>
      </c>
      <c r="Q107" s="12" t="s">
        <v>411</v>
      </c>
      <c r="R107" s="10" t="s">
        <v>312</v>
      </c>
      <c r="S107" s="10" t="s">
        <v>403</v>
      </c>
      <c r="T107" s="12">
        <v>2501.09</v>
      </c>
      <c r="U107" s="12">
        <v>82</v>
      </c>
      <c r="V107" s="12" t="s">
        <v>433</v>
      </c>
      <c r="W107" s="12">
        <f t="shared" si="1"/>
        <v>10641</v>
      </c>
      <c r="X107" s="12">
        <v>2727717.4</v>
      </c>
    </row>
    <row r="108" spans="1:24">
      <c r="A108" s="47">
        <v>31557</v>
      </c>
      <c r="B108" s="47">
        <v>22168</v>
      </c>
      <c r="C108" s="47">
        <v>36519</v>
      </c>
      <c r="D108" s="47">
        <v>18151</v>
      </c>
      <c r="E108" s="47">
        <v>2422</v>
      </c>
      <c r="F108" s="47">
        <v>45459</v>
      </c>
      <c r="G108" s="47">
        <v>14918</v>
      </c>
      <c r="H108" s="47">
        <v>-2085</v>
      </c>
      <c r="I108" s="47">
        <v>2277</v>
      </c>
      <c r="J108" s="47">
        <v>5193</v>
      </c>
      <c r="K108" s="47">
        <v>37483</v>
      </c>
      <c r="L108" s="47">
        <v>19206</v>
      </c>
      <c r="M108" s="53" t="s">
        <v>527</v>
      </c>
      <c r="N108" s="54" t="s">
        <v>395</v>
      </c>
      <c r="O108" s="55" t="s">
        <v>395</v>
      </c>
      <c r="P108" s="11" t="s">
        <v>414</v>
      </c>
      <c r="Q108" s="12" t="s">
        <v>410</v>
      </c>
      <c r="R108" s="10" t="s">
        <v>313</v>
      </c>
      <c r="S108" s="10" t="s">
        <v>402</v>
      </c>
      <c r="T108" s="12">
        <v>2600.6</v>
      </c>
      <c r="U108" s="12">
        <v>85</v>
      </c>
      <c r="V108" s="12" t="s">
        <v>432</v>
      </c>
      <c r="W108" s="12">
        <f t="shared" si="1"/>
        <v>10644</v>
      </c>
      <c r="X108" s="12">
        <v>1961553.9</v>
      </c>
    </row>
    <row r="109" spans="1:24">
      <c r="A109" s="47">
        <v>39662</v>
      </c>
      <c r="B109" s="47">
        <v>18541</v>
      </c>
      <c r="C109" s="47">
        <v>1099</v>
      </c>
      <c r="D109" s="47">
        <v>19884</v>
      </c>
      <c r="E109" s="47">
        <v>24847</v>
      </c>
      <c r="F109" s="47">
        <v>47012</v>
      </c>
      <c r="G109" s="47">
        <v>39071</v>
      </c>
      <c r="H109" s="47">
        <v>-2898</v>
      </c>
      <c r="I109" s="47">
        <v>36912</v>
      </c>
      <c r="J109" s="47">
        <v>396</v>
      </c>
      <c r="K109" s="47">
        <v>44778</v>
      </c>
      <c r="L109" s="47">
        <v>26582</v>
      </c>
      <c r="M109" s="53" t="s">
        <v>527</v>
      </c>
      <c r="N109" s="54" t="s">
        <v>398</v>
      </c>
      <c r="O109" s="55" t="s">
        <v>530</v>
      </c>
      <c r="P109" s="11" t="s">
        <v>414</v>
      </c>
      <c r="Q109" s="12" t="s">
        <v>410</v>
      </c>
      <c r="R109" s="10" t="s">
        <v>314</v>
      </c>
      <c r="S109" s="10" t="s">
        <v>403</v>
      </c>
      <c r="T109" s="12">
        <v>2317.13</v>
      </c>
      <c r="U109" s="12">
        <v>7</v>
      </c>
      <c r="V109" s="12" t="s">
        <v>434</v>
      </c>
      <c r="W109" s="12">
        <f t="shared" si="1"/>
        <v>10566</v>
      </c>
      <c r="X109" s="12">
        <v>2576787.61</v>
      </c>
    </row>
    <row r="110" spans="1:24">
      <c r="A110" s="47">
        <v>18345</v>
      </c>
      <c r="B110" s="47">
        <v>28481</v>
      </c>
      <c r="C110" s="47">
        <v>5104</v>
      </c>
      <c r="D110" s="47">
        <v>21980</v>
      </c>
      <c r="E110" s="47">
        <v>3520</v>
      </c>
      <c r="F110" s="47">
        <v>37133</v>
      </c>
      <c r="G110" s="47">
        <v>20466</v>
      </c>
      <c r="H110" s="47">
        <v>19216</v>
      </c>
      <c r="I110" s="47">
        <v>29402</v>
      </c>
      <c r="J110" s="47">
        <v>1215</v>
      </c>
      <c r="K110" s="47">
        <v>27319</v>
      </c>
      <c r="L110" s="47">
        <v>39178</v>
      </c>
      <c r="M110" s="53" t="s">
        <v>527</v>
      </c>
      <c r="N110" s="54" t="s">
        <v>396</v>
      </c>
      <c r="O110" s="55" t="s">
        <v>528</v>
      </c>
      <c r="P110" s="11" t="s">
        <v>415</v>
      </c>
      <c r="Q110" s="12" t="s">
        <v>411</v>
      </c>
      <c r="R110" s="10" t="s">
        <v>315</v>
      </c>
      <c r="S110" s="10" t="s">
        <v>403</v>
      </c>
      <c r="T110" s="12">
        <v>383.67</v>
      </c>
      <c r="U110" s="12">
        <v>93</v>
      </c>
      <c r="V110" s="12" t="s">
        <v>434</v>
      </c>
      <c r="W110" s="12">
        <f t="shared" si="1"/>
        <v>10652</v>
      </c>
      <c r="X110" s="12">
        <v>2460062.9700000002</v>
      </c>
    </row>
    <row r="111" spans="1:24">
      <c r="A111" s="47">
        <v>22437</v>
      </c>
      <c r="B111" s="47">
        <v>12098</v>
      </c>
      <c r="C111" s="47">
        <v>21395</v>
      </c>
      <c r="D111" s="47">
        <v>36583</v>
      </c>
      <c r="E111" s="47">
        <v>12015</v>
      </c>
      <c r="F111" s="47">
        <v>34678</v>
      </c>
      <c r="G111" s="47">
        <v>35889</v>
      </c>
      <c r="H111" s="47">
        <v>20874</v>
      </c>
      <c r="I111" s="47">
        <v>1941</v>
      </c>
      <c r="J111" s="47">
        <v>-906</v>
      </c>
      <c r="K111" s="47">
        <v>21179</v>
      </c>
      <c r="L111" s="47">
        <v>43070</v>
      </c>
      <c r="M111" s="53" t="s">
        <v>527</v>
      </c>
      <c r="N111" s="54" t="s">
        <v>399</v>
      </c>
      <c r="O111" s="55" t="s">
        <v>531</v>
      </c>
      <c r="P111" s="11" t="s">
        <v>415</v>
      </c>
      <c r="Q111" s="12" t="s">
        <v>410</v>
      </c>
      <c r="R111" s="10" t="s">
        <v>316</v>
      </c>
      <c r="S111" s="10" t="s">
        <v>400</v>
      </c>
      <c r="T111" s="12">
        <v>2396.7600000000002</v>
      </c>
      <c r="U111" s="12">
        <v>9</v>
      </c>
      <c r="V111" s="12" t="s">
        <v>434</v>
      </c>
      <c r="W111" s="12">
        <f t="shared" si="1"/>
        <v>10568</v>
      </c>
      <c r="X111" s="12">
        <v>2822506.35</v>
      </c>
    </row>
    <row r="112" spans="1:24">
      <c r="A112" s="47">
        <v>37059</v>
      </c>
      <c r="B112" s="47">
        <v>7723</v>
      </c>
      <c r="C112" s="47">
        <v>21833</v>
      </c>
      <c r="D112" s="47">
        <v>27312</v>
      </c>
      <c r="E112" s="47">
        <v>2743</v>
      </c>
      <c r="F112" s="47">
        <v>37094</v>
      </c>
      <c r="G112" s="47">
        <v>2586</v>
      </c>
      <c r="H112" s="47">
        <v>246</v>
      </c>
      <c r="I112" s="47">
        <v>27575</v>
      </c>
      <c r="J112" s="47">
        <v>40595</v>
      </c>
      <c r="K112" s="47">
        <v>7796</v>
      </c>
      <c r="L112" s="47">
        <v>37516</v>
      </c>
      <c r="M112" s="53" t="s">
        <v>527</v>
      </c>
      <c r="N112" s="54" t="s">
        <v>398</v>
      </c>
      <c r="O112" s="55" t="s">
        <v>530</v>
      </c>
      <c r="P112" s="11" t="s">
        <v>416</v>
      </c>
      <c r="Q112" s="12" t="s">
        <v>411</v>
      </c>
      <c r="R112" s="10" t="s">
        <v>317</v>
      </c>
      <c r="S112" s="10" t="s">
        <v>403</v>
      </c>
      <c r="T112" s="12">
        <v>2760.1</v>
      </c>
      <c r="U112" s="12">
        <v>99</v>
      </c>
      <c r="V112" s="12" t="s">
        <v>434</v>
      </c>
      <c r="W112" s="12">
        <f t="shared" si="1"/>
        <v>10658</v>
      </c>
      <c r="X112" s="12">
        <v>1517011.99</v>
      </c>
    </row>
    <row r="113" spans="1:24">
      <c r="A113" s="47">
        <v>40637</v>
      </c>
      <c r="B113" s="47">
        <v>37440</v>
      </c>
      <c r="C113" s="47">
        <v>29235</v>
      </c>
      <c r="D113" s="47">
        <v>8905</v>
      </c>
      <c r="E113" s="47">
        <v>33647</v>
      </c>
      <c r="F113" s="47">
        <v>21410</v>
      </c>
      <c r="G113" s="47">
        <v>5551</v>
      </c>
      <c r="H113" s="47">
        <v>35920</v>
      </c>
      <c r="I113" s="47">
        <v>18810</v>
      </c>
      <c r="J113" s="47">
        <v>10545</v>
      </c>
      <c r="K113" s="47">
        <v>28739</v>
      </c>
      <c r="L113" s="47">
        <v>40687</v>
      </c>
      <c r="M113" s="53" t="s">
        <v>527</v>
      </c>
      <c r="N113" s="54" t="s">
        <v>399</v>
      </c>
      <c r="O113" s="55" t="s">
        <v>531</v>
      </c>
      <c r="P113" s="11" t="s">
        <v>413</v>
      </c>
      <c r="Q113" s="12" t="s">
        <v>408</v>
      </c>
      <c r="R113" s="10" t="s">
        <v>318</v>
      </c>
      <c r="S113" s="10" t="s">
        <v>401</v>
      </c>
      <c r="T113" s="12">
        <v>1821.8</v>
      </c>
      <c r="U113" s="12">
        <v>33</v>
      </c>
      <c r="V113" s="12" t="s">
        <v>432</v>
      </c>
      <c r="W113" s="12">
        <f t="shared" si="1"/>
        <v>10592</v>
      </c>
      <c r="X113" s="12">
        <v>2424194.66</v>
      </c>
    </row>
    <row r="114" spans="1:24">
      <c r="A114" s="47">
        <v>22327</v>
      </c>
      <c r="B114" s="47">
        <v>1612</v>
      </c>
      <c r="C114" s="47">
        <v>32797</v>
      </c>
      <c r="D114" s="47">
        <v>37510</v>
      </c>
      <c r="E114" s="47">
        <v>39129</v>
      </c>
      <c r="F114" s="47">
        <v>32914</v>
      </c>
      <c r="G114" s="47">
        <v>36063</v>
      </c>
      <c r="H114" s="47">
        <v>40483</v>
      </c>
      <c r="I114" s="47">
        <v>44556</v>
      </c>
      <c r="J114" s="47">
        <v>35749</v>
      </c>
      <c r="K114" s="47">
        <v>47599</v>
      </c>
      <c r="L114" s="47">
        <v>28273</v>
      </c>
      <c r="M114" s="53" t="s">
        <v>527</v>
      </c>
      <c r="N114" s="54" t="s">
        <v>395</v>
      </c>
      <c r="O114" s="55" t="s">
        <v>395</v>
      </c>
      <c r="P114" s="11" t="s">
        <v>416</v>
      </c>
      <c r="Q114" s="12" t="s">
        <v>409</v>
      </c>
      <c r="R114" s="10" t="s">
        <v>319</v>
      </c>
      <c r="S114" s="10" t="s">
        <v>402</v>
      </c>
      <c r="T114" s="12">
        <v>2825.58</v>
      </c>
      <c r="U114" s="12">
        <v>19</v>
      </c>
      <c r="V114" s="12" t="s">
        <v>434</v>
      </c>
      <c r="W114" s="12">
        <f t="shared" si="1"/>
        <v>10578</v>
      </c>
      <c r="X114" s="12">
        <v>3446595.78</v>
      </c>
    </row>
    <row r="115" spans="1:24">
      <c r="A115" s="47">
        <v>33943</v>
      </c>
      <c r="B115" s="47">
        <v>700</v>
      </c>
      <c r="C115" s="47">
        <v>20908</v>
      </c>
      <c r="D115" s="47">
        <v>24856</v>
      </c>
      <c r="E115" s="47">
        <v>38512</v>
      </c>
      <c r="F115" s="47">
        <v>45106</v>
      </c>
      <c r="G115" s="47">
        <v>19683</v>
      </c>
      <c r="H115" s="47">
        <v>-5229</v>
      </c>
      <c r="I115" s="47">
        <v>4588</v>
      </c>
      <c r="J115" s="47">
        <v>31376</v>
      </c>
      <c r="K115" s="47">
        <v>47292</v>
      </c>
      <c r="L115" s="47">
        <v>241</v>
      </c>
      <c r="M115" s="53" t="s">
        <v>527</v>
      </c>
      <c r="N115" s="54" t="s">
        <v>397</v>
      </c>
      <c r="O115" s="55" t="s">
        <v>529</v>
      </c>
      <c r="P115" s="11" t="s">
        <v>416</v>
      </c>
      <c r="Q115" s="12" t="s">
        <v>408</v>
      </c>
      <c r="R115" s="10" t="s">
        <v>320</v>
      </c>
      <c r="S115" s="10" t="s">
        <v>400</v>
      </c>
      <c r="T115" s="12">
        <v>2489.17</v>
      </c>
      <c r="U115" s="12">
        <v>39</v>
      </c>
      <c r="V115" s="12" t="s">
        <v>432</v>
      </c>
      <c r="W115" s="12">
        <f t="shared" si="1"/>
        <v>10598</v>
      </c>
      <c r="X115" s="12">
        <v>2833844.14</v>
      </c>
    </row>
    <row r="116" spans="1:24">
      <c r="A116" s="47">
        <v>2218</v>
      </c>
      <c r="B116" s="47">
        <v>39055</v>
      </c>
      <c r="C116" s="47">
        <v>11335</v>
      </c>
      <c r="D116" s="47">
        <v>9399</v>
      </c>
      <c r="E116" s="47">
        <v>3432</v>
      </c>
      <c r="F116" s="47">
        <v>23851</v>
      </c>
      <c r="G116" s="47">
        <v>10652</v>
      </c>
      <c r="H116" s="47">
        <v>23094</v>
      </c>
      <c r="I116" s="47">
        <v>3726</v>
      </c>
      <c r="J116" s="47">
        <v>-5276</v>
      </c>
      <c r="K116" s="47">
        <v>32295</v>
      </c>
      <c r="L116" s="47">
        <v>38928</v>
      </c>
      <c r="M116" s="53" t="s">
        <v>527</v>
      </c>
      <c r="N116" s="54" t="s">
        <v>395</v>
      </c>
      <c r="O116" s="55" t="s">
        <v>395</v>
      </c>
      <c r="P116" s="11" t="s">
        <v>415</v>
      </c>
      <c r="Q116" s="12" t="s">
        <v>411</v>
      </c>
      <c r="R116" s="10" t="s">
        <v>321</v>
      </c>
      <c r="S116" s="10" t="s">
        <v>400</v>
      </c>
      <c r="T116" s="12">
        <v>2017.57</v>
      </c>
      <c r="U116" s="12">
        <v>99</v>
      </c>
      <c r="V116" s="12" t="s">
        <v>432</v>
      </c>
      <c r="W116" s="12">
        <f t="shared" si="1"/>
        <v>10658</v>
      </c>
      <c r="X116" s="12">
        <v>1132497.96</v>
      </c>
    </row>
    <row r="117" spans="1:24">
      <c r="A117" s="47">
        <v>6846</v>
      </c>
      <c r="B117" s="47">
        <v>24867</v>
      </c>
      <c r="C117" s="47">
        <v>12768</v>
      </c>
      <c r="D117" s="47">
        <v>6916</v>
      </c>
      <c r="E117" s="47">
        <v>24075</v>
      </c>
      <c r="F117" s="47">
        <v>16785</v>
      </c>
      <c r="G117" s="47">
        <v>32856</v>
      </c>
      <c r="H117" s="47">
        <v>2125</v>
      </c>
      <c r="I117" s="47">
        <v>30395</v>
      </c>
      <c r="J117" s="47">
        <v>34566</v>
      </c>
      <c r="K117" s="47">
        <v>33760</v>
      </c>
      <c r="L117" s="47">
        <v>40342</v>
      </c>
      <c r="M117" s="53" t="s">
        <v>527</v>
      </c>
      <c r="N117" s="54" t="s">
        <v>398</v>
      </c>
      <c r="O117" s="55" t="s">
        <v>530</v>
      </c>
      <c r="P117" s="11" t="s">
        <v>415</v>
      </c>
      <c r="Q117" s="12" t="s">
        <v>409</v>
      </c>
      <c r="R117" s="10" t="s">
        <v>322</v>
      </c>
      <c r="S117" s="10" t="s">
        <v>401</v>
      </c>
      <c r="T117" s="12">
        <v>1752.7</v>
      </c>
      <c r="U117" s="12">
        <v>16</v>
      </c>
      <c r="V117" s="12" t="s">
        <v>432</v>
      </c>
      <c r="W117" s="12">
        <f t="shared" si="1"/>
        <v>10575</v>
      </c>
      <c r="X117" s="12">
        <v>1435641.79</v>
      </c>
    </row>
    <row r="118" spans="1:24">
      <c r="A118" s="47">
        <v>16463</v>
      </c>
      <c r="B118" s="47">
        <v>13652</v>
      </c>
      <c r="C118" s="47">
        <v>11261</v>
      </c>
      <c r="D118" s="47">
        <v>33642</v>
      </c>
      <c r="E118" s="47">
        <v>8847</v>
      </c>
      <c r="F118" s="47">
        <v>48105</v>
      </c>
      <c r="G118" s="47">
        <v>30879</v>
      </c>
      <c r="H118" s="47">
        <v>1143</v>
      </c>
      <c r="I118" s="47">
        <v>6369</v>
      </c>
      <c r="J118" s="47">
        <v>15143</v>
      </c>
      <c r="K118" s="47">
        <v>24389</v>
      </c>
      <c r="L118" s="47">
        <v>43005</v>
      </c>
      <c r="M118" s="53" t="s">
        <v>527</v>
      </c>
      <c r="N118" s="54" t="s">
        <v>399</v>
      </c>
      <c r="O118" s="55" t="s">
        <v>531</v>
      </c>
      <c r="P118" s="11" t="s">
        <v>414</v>
      </c>
      <c r="Q118" s="12" t="s">
        <v>411</v>
      </c>
      <c r="R118" s="10" t="s">
        <v>323</v>
      </c>
      <c r="S118" s="10" t="s">
        <v>402</v>
      </c>
      <c r="T118" s="12">
        <v>1078.29</v>
      </c>
      <c r="U118" s="12">
        <v>70</v>
      </c>
      <c r="V118" s="12" t="s">
        <v>435</v>
      </c>
      <c r="W118" s="12">
        <f t="shared" si="1"/>
        <v>10629</v>
      </c>
      <c r="X118" s="12">
        <v>3061066.35</v>
      </c>
    </row>
    <row r="119" spans="1:24">
      <c r="A119" s="47">
        <v>20364</v>
      </c>
      <c r="B119" s="47">
        <v>37795</v>
      </c>
      <c r="C119" s="47">
        <v>-1178</v>
      </c>
      <c r="D119" s="47">
        <v>36011</v>
      </c>
      <c r="E119" s="47">
        <v>15529</v>
      </c>
      <c r="F119" s="47">
        <v>8068</v>
      </c>
      <c r="G119" s="47">
        <v>8805</v>
      </c>
      <c r="H119" s="47">
        <v>23656</v>
      </c>
      <c r="I119" s="47">
        <v>28545</v>
      </c>
      <c r="J119" s="47">
        <v>13159</v>
      </c>
      <c r="K119" s="47">
        <v>19773</v>
      </c>
      <c r="L119" s="47">
        <v>22603</v>
      </c>
      <c r="M119" s="53" t="s">
        <v>527</v>
      </c>
      <c r="N119" s="54" t="s">
        <v>399</v>
      </c>
      <c r="O119" s="55" t="s">
        <v>531</v>
      </c>
      <c r="P119" s="11" t="s">
        <v>413</v>
      </c>
      <c r="Q119" s="12" t="s">
        <v>409</v>
      </c>
      <c r="R119" s="10" t="s">
        <v>324</v>
      </c>
      <c r="S119" s="10" t="s">
        <v>402</v>
      </c>
      <c r="T119" s="12">
        <v>519.9</v>
      </c>
      <c r="U119" s="12">
        <v>84</v>
      </c>
      <c r="V119" s="12" t="s">
        <v>433</v>
      </c>
      <c r="W119" s="12">
        <f t="shared" si="1"/>
        <v>10643</v>
      </c>
      <c r="X119" s="12">
        <v>2489608.4500000002</v>
      </c>
    </row>
    <row r="120" spans="1:24">
      <c r="A120" s="47">
        <v>39281</v>
      </c>
      <c r="B120" s="47">
        <v>11782</v>
      </c>
      <c r="C120" s="47">
        <v>8761</v>
      </c>
      <c r="D120" s="47">
        <v>17455</v>
      </c>
      <c r="E120" s="47">
        <v>42172</v>
      </c>
      <c r="F120" s="47">
        <v>9550</v>
      </c>
      <c r="G120" s="47">
        <v>15567</v>
      </c>
      <c r="H120" s="47">
        <v>31925</v>
      </c>
      <c r="I120" s="47">
        <v>836</v>
      </c>
      <c r="J120" s="47">
        <v>39169</v>
      </c>
      <c r="K120" s="47">
        <v>2434</v>
      </c>
      <c r="L120" s="47">
        <v>44610</v>
      </c>
      <c r="M120" s="53" t="s">
        <v>527</v>
      </c>
      <c r="N120" s="54" t="s">
        <v>396</v>
      </c>
      <c r="O120" s="55" t="s">
        <v>528</v>
      </c>
      <c r="P120" s="11" t="s">
        <v>416</v>
      </c>
      <c r="Q120" s="12" t="s">
        <v>409</v>
      </c>
      <c r="R120" s="10" t="s">
        <v>325</v>
      </c>
      <c r="S120" s="10" t="s">
        <v>400</v>
      </c>
      <c r="T120" s="12">
        <v>1834.61</v>
      </c>
      <c r="U120" s="12">
        <v>23</v>
      </c>
      <c r="V120" s="12" t="s">
        <v>434</v>
      </c>
      <c r="W120" s="12">
        <f t="shared" si="1"/>
        <v>10582</v>
      </c>
      <c r="X120" s="12">
        <v>1718146.69</v>
      </c>
    </row>
    <row r="121" spans="1:24">
      <c r="A121" s="47">
        <v>45651</v>
      </c>
      <c r="B121" s="47">
        <v>27794</v>
      </c>
      <c r="C121" s="47">
        <v>8052</v>
      </c>
      <c r="D121" s="47">
        <v>34364</v>
      </c>
      <c r="E121" s="47">
        <v>42071</v>
      </c>
      <c r="F121" s="47">
        <v>43072</v>
      </c>
      <c r="G121" s="47">
        <v>1152</v>
      </c>
      <c r="H121" s="47">
        <v>40451</v>
      </c>
      <c r="I121" s="47">
        <v>2819</v>
      </c>
      <c r="J121" s="47">
        <v>35559</v>
      </c>
      <c r="K121" s="47">
        <v>36990</v>
      </c>
      <c r="L121" s="47">
        <v>9805</v>
      </c>
      <c r="M121" s="53" t="s">
        <v>527</v>
      </c>
      <c r="N121" s="54" t="s">
        <v>399</v>
      </c>
      <c r="O121" s="55" t="s">
        <v>531</v>
      </c>
      <c r="P121" s="11" t="s">
        <v>416</v>
      </c>
      <c r="Q121" s="12" t="s">
        <v>409</v>
      </c>
      <c r="R121" s="10" t="s">
        <v>326</v>
      </c>
      <c r="S121" s="10" t="s">
        <v>403</v>
      </c>
      <c r="T121" s="12">
        <v>988.43</v>
      </c>
      <c r="U121" s="12">
        <v>81</v>
      </c>
      <c r="V121" s="12" t="s">
        <v>434</v>
      </c>
      <c r="W121" s="12">
        <f t="shared" si="1"/>
        <v>10640</v>
      </c>
      <c r="X121" s="12">
        <v>1337300.51</v>
      </c>
    </row>
    <row r="122" spans="1:24">
      <c r="A122" s="47">
        <v>27351</v>
      </c>
      <c r="B122" s="47">
        <v>38805</v>
      </c>
      <c r="C122" s="47">
        <v>28592</v>
      </c>
      <c r="D122" s="47">
        <v>35359</v>
      </c>
      <c r="E122" s="47">
        <v>4224</v>
      </c>
      <c r="F122" s="47">
        <v>8981</v>
      </c>
      <c r="G122" s="47">
        <v>22166</v>
      </c>
      <c r="H122" s="47">
        <v>8604</v>
      </c>
      <c r="I122" s="47">
        <v>6394</v>
      </c>
      <c r="J122" s="47">
        <v>23763</v>
      </c>
      <c r="K122" s="47">
        <v>13581</v>
      </c>
      <c r="L122" s="47">
        <v>31010</v>
      </c>
      <c r="M122" s="53" t="s">
        <v>527</v>
      </c>
      <c r="N122" s="54" t="s">
        <v>396</v>
      </c>
      <c r="O122" s="55" t="s">
        <v>528</v>
      </c>
      <c r="P122" s="11" t="s">
        <v>414</v>
      </c>
      <c r="Q122" s="12" t="s">
        <v>409</v>
      </c>
      <c r="R122" s="10" t="s">
        <v>327</v>
      </c>
      <c r="S122" s="10" t="s">
        <v>400</v>
      </c>
      <c r="T122" s="12">
        <v>2605.9899999999998</v>
      </c>
      <c r="U122" s="12">
        <v>6</v>
      </c>
      <c r="V122" s="12" t="s">
        <v>435</v>
      </c>
      <c r="W122" s="12">
        <f t="shared" si="1"/>
        <v>10565</v>
      </c>
      <c r="X122" s="12">
        <v>1896374.09</v>
      </c>
    </row>
    <row r="123" spans="1:24">
      <c r="A123" s="47">
        <v>45636</v>
      </c>
      <c r="B123" s="47">
        <v>4858</v>
      </c>
      <c r="C123" s="47">
        <v>25903</v>
      </c>
      <c r="D123" s="47">
        <v>-303</v>
      </c>
      <c r="E123" s="47">
        <v>44016</v>
      </c>
      <c r="F123" s="47">
        <v>1355</v>
      </c>
      <c r="G123" s="47">
        <v>20063</v>
      </c>
      <c r="H123" s="47">
        <v>27362</v>
      </c>
      <c r="I123" s="47">
        <v>26687</v>
      </c>
      <c r="J123" s="47">
        <v>7429</v>
      </c>
      <c r="K123" s="47">
        <v>11947</v>
      </c>
      <c r="L123" s="47">
        <v>24276</v>
      </c>
      <c r="M123" s="53" t="s">
        <v>527</v>
      </c>
      <c r="N123" s="54" t="s">
        <v>397</v>
      </c>
      <c r="O123" s="55" t="s">
        <v>529</v>
      </c>
      <c r="P123" s="11" t="s">
        <v>413</v>
      </c>
      <c r="Q123" s="12" t="s">
        <v>411</v>
      </c>
      <c r="R123" s="10" t="s">
        <v>328</v>
      </c>
      <c r="S123" s="10" t="s">
        <v>402</v>
      </c>
      <c r="T123" s="12">
        <v>2980.34</v>
      </c>
      <c r="U123" s="12">
        <v>48</v>
      </c>
      <c r="V123" s="12" t="s">
        <v>433</v>
      </c>
      <c r="W123" s="12">
        <f t="shared" si="1"/>
        <v>10607</v>
      </c>
      <c r="X123" s="12">
        <v>1127387.4099999999</v>
      </c>
    </row>
    <row r="124" spans="1:24">
      <c r="A124" s="47">
        <v>23266</v>
      </c>
      <c r="B124" s="47">
        <v>25624</v>
      </c>
      <c r="C124" s="47">
        <v>24018</v>
      </c>
      <c r="D124" s="47">
        <v>17286</v>
      </c>
      <c r="E124" s="47">
        <v>2760</v>
      </c>
      <c r="F124" s="47">
        <v>38534</v>
      </c>
      <c r="G124" s="47">
        <v>32031</v>
      </c>
      <c r="H124" s="47">
        <v>37041</v>
      </c>
      <c r="I124" s="47">
        <v>20319</v>
      </c>
      <c r="J124" s="47">
        <v>35555</v>
      </c>
      <c r="K124" s="47">
        <v>38904</v>
      </c>
      <c r="L124" s="47">
        <v>2919</v>
      </c>
      <c r="M124" s="53" t="s">
        <v>527</v>
      </c>
      <c r="N124" s="54" t="s">
        <v>398</v>
      </c>
      <c r="O124" s="55" t="s">
        <v>530</v>
      </c>
      <c r="P124" s="11" t="s">
        <v>413</v>
      </c>
      <c r="Q124" s="12" t="s">
        <v>409</v>
      </c>
      <c r="R124" s="10" t="s">
        <v>329</v>
      </c>
      <c r="S124" s="10" t="s">
        <v>401</v>
      </c>
      <c r="T124" s="12">
        <v>2269.66</v>
      </c>
      <c r="U124" s="12">
        <v>95</v>
      </c>
      <c r="V124" s="12" t="s">
        <v>435</v>
      </c>
      <c r="W124" s="12">
        <f t="shared" si="1"/>
        <v>10654</v>
      </c>
      <c r="X124" s="12">
        <v>2850182.39</v>
      </c>
    </row>
    <row r="125" spans="1:24">
      <c r="A125" s="47">
        <v>-85</v>
      </c>
      <c r="B125" s="47">
        <v>-2983</v>
      </c>
      <c r="C125" s="47">
        <v>22143</v>
      </c>
      <c r="D125" s="47">
        <v>39383</v>
      </c>
      <c r="E125" s="47">
        <v>13641</v>
      </c>
      <c r="F125" s="47">
        <v>10087</v>
      </c>
      <c r="G125" s="47">
        <v>11271</v>
      </c>
      <c r="H125" s="47">
        <v>34409</v>
      </c>
      <c r="I125" s="47">
        <v>15260</v>
      </c>
      <c r="J125" s="47">
        <v>-5325</v>
      </c>
      <c r="K125" s="47">
        <v>21376</v>
      </c>
      <c r="L125" s="47">
        <v>22233</v>
      </c>
      <c r="M125" s="53" t="s">
        <v>527</v>
      </c>
      <c r="N125" s="54" t="s">
        <v>396</v>
      </c>
      <c r="O125" s="55" t="s">
        <v>528</v>
      </c>
      <c r="P125" s="11" t="s">
        <v>415</v>
      </c>
      <c r="Q125" s="12" t="s">
        <v>409</v>
      </c>
      <c r="R125" s="10" t="s">
        <v>248</v>
      </c>
      <c r="S125" s="10" t="s">
        <v>400</v>
      </c>
      <c r="T125" s="12">
        <v>316.92</v>
      </c>
      <c r="U125" s="12">
        <v>71</v>
      </c>
      <c r="V125" s="12" t="s">
        <v>435</v>
      </c>
      <c r="W125" s="12">
        <f t="shared" si="1"/>
        <v>10630</v>
      </c>
      <c r="X125" s="12">
        <v>3580063.66</v>
      </c>
    </row>
    <row r="126" spans="1:24">
      <c r="A126" s="47">
        <v>26109</v>
      </c>
      <c r="B126" s="47">
        <v>11388</v>
      </c>
      <c r="C126" s="47">
        <v>20368</v>
      </c>
      <c r="D126" s="47">
        <v>9232</v>
      </c>
      <c r="E126" s="47">
        <v>39234</v>
      </c>
      <c r="F126" s="47">
        <v>42454</v>
      </c>
      <c r="G126" s="47">
        <v>14101</v>
      </c>
      <c r="H126" s="47">
        <v>-2657</v>
      </c>
      <c r="I126" s="47">
        <v>46081</v>
      </c>
      <c r="J126" s="47">
        <v>39425</v>
      </c>
      <c r="K126" s="47">
        <v>13499</v>
      </c>
      <c r="L126" s="47">
        <v>9451</v>
      </c>
      <c r="M126" s="53" t="s">
        <v>527</v>
      </c>
      <c r="N126" s="54" t="s">
        <v>397</v>
      </c>
      <c r="O126" s="55" t="s">
        <v>529</v>
      </c>
      <c r="P126" s="11" t="s">
        <v>415</v>
      </c>
      <c r="Q126" s="12" t="s">
        <v>408</v>
      </c>
      <c r="R126" s="10" t="s">
        <v>330</v>
      </c>
      <c r="S126" s="10" t="s">
        <v>402</v>
      </c>
      <c r="T126" s="12">
        <v>901.62</v>
      </c>
      <c r="U126" s="12">
        <v>16</v>
      </c>
      <c r="V126" s="12" t="s">
        <v>434</v>
      </c>
      <c r="W126" s="12">
        <f t="shared" si="1"/>
        <v>10575</v>
      </c>
      <c r="X126" s="12">
        <v>2517394.81</v>
      </c>
    </row>
    <row r="127" spans="1:24">
      <c r="A127" s="47">
        <v>10039</v>
      </c>
      <c r="B127" s="47">
        <v>498</v>
      </c>
      <c r="C127" s="47">
        <v>33552</v>
      </c>
      <c r="D127" s="47">
        <v>15234</v>
      </c>
      <c r="E127" s="47">
        <v>20039</v>
      </c>
      <c r="F127" s="47">
        <v>8912</v>
      </c>
      <c r="G127" s="47">
        <v>25148</v>
      </c>
      <c r="H127" s="47">
        <v>5166</v>
      </c>
      <c r="I127" s="47">
        <v>41003</v>
      </c>
      <c r="J127" s="47">
        <v>27351</v>
      </c>
      <c r="K127" s="47">
        <v>40818</v>
      </c>
      <c r="L127" s="47">
        <v>10448</v>
      </c>
      <c r="M127" s="53" t="s">
        <v>527</v>
      </c>
      <c r="N127" s="54" t="s">
        <v>399</v>
      </c>
      <c r="O127" s="55" t="s">
        <v>531</v>
      </c>
      <c r="P127" s="11" t="s">
        <v>416</v>
      </c>
      <c r="Q127" s="12" t="s">
        <v>410</v>
      </c>
      <c r="R127" s="10" t="s">
        <v>331</v>
      </c>
      <c r="S127" s="10" t="s">
        <v>400</v>
      </c>
      <c r="T127" s="12">
        <v>371.87</v>
      </c>
      <c r="U127" s="12">
        <v>71</v>
      </c>
      <c r="V127" s="12" t="s">
        <v>435</v>
      </c>
      <c r="W127" s="12">
        <f t="shared" si="1"/>
        <v>10630</v>
      </c>
      <c r="X127" s="12">
        <v>2124147.2599999998</v>
      </c>
    </row>
    <row r="128" spans="1:24">
      <c r="A128" s="47">
        <v>16763</v>
      </c>
      <c r="B128" s="47">
        <v>36839</v>
      </c>
      <c r="C128" s="47">
        <v>36606</v>
      </c>
      <c r="D128" s="47">
        <v>-3771</v>
      </c>
      <c r="E128" s="47">
        <v>14086</v>
      </c>
      <c r="F128" s="47">
        <v>10605</v>
      </c>
      <c r="G128" s="47">
        <v>9394</v>
      </c>
      <c r="H128" s="47">
        <v>34231</v>
      </c>
      <c r="I128" s="47">
        <v>13824</v>
      </c>
      <c r="J128" s="47">
        <v>28515</v>
      </c>
      <c r="K128" s="47">
        <v>25981</v>
      </c>
      <c r="L128" s="47">
        <v>17790</v>
      </c>
      <c r="M128" s="53" t="s">
        <v>527</v>
      </c>
      <c r="N128" s="54" t="s">
        <v>399</v>
      </c>
      <c r="O128" s="55" t="s">
        <v>531</v>
      </c>
      <c r="P128" s="11" t="s">
        <v>416</v>
      </c>
      <c r="Q128" s="12" t="s">
        <v>410</v>
      </c>
      <c r="R128" s="10" t="s">
        <v>235</v>
      </c>
      <c r="S128" s="10" t="s">
        <v>403</v>
      </c>
      <c r="T128" s="12">
        <v>1969.01</v>
      </c>
      <c r="U128" s="12">
        <v>7</v>
      </c>
      <c r="V128" s="12" t="s">
        <v>432</v>
      </c>
      <c r="W128" s="12">
        <f t="shared" si="1"/>
        <v>10566</v>
      </c>
      <c r="X128" s="12">
        <v>3018459.02</v>
      </c>
    </row>
    <row r="129" spans="1:24">
      <c r="A129" s="47">
        <v>736</v>
      </c>
      <c r="B129" s="47">
        <v>8227</v>
      </c>
      <c r="C129" s="47">
        <v>38735</v>
      </c>
      <c r="D129" s="47">
        <v>34269</v>
      </c>
      <c r="E129" s="47">
        <v>5274</v>
      </c>
      <c r="F129" s="47">
        <v>22400</v>
      </c>
      <c r="G129" s="47">
        <v>11838</v>
      </c>
      <c r="H129" s="47">
        <v>20600</v>
      </c>
      <c r="I129" s="47">
        <v>42299</v>
      </c>
      <c r="J129" s="47">
        <v>19487</v>
      </c>
      <c r="K129" s="47">
        <v>31406</v>
      </c>
      <c r="L129" s="47">
        <v>23518</v>
      </c>
      <c r="M129" s="53" t="s">
        <v>527</v>
      </c>
      <c r="N129" s="54" t="s">
        <v>397</v>
      </c>
      <c r="O129" s="55" t="s">
        <v>529</v>
      </c>
      <c r="P129" s="11" t="s">
        <v>415</v>
      </c>
      <c r="Q129" s="12" t="s">
        <v>408</v>
      </c>
      <c r="R129" s="10" t="s">
        <v>332</v>
      </c>
      <c r="S129" s="10" t="s">
        <v>400</v>
      </c>
      <c r="T129" s="12">
        <v>2307.31</v>
      </c>
      <c r="U129" s="12">
        <v>63</v>
      </c>
      <c r="V129" s="12" t="s">
        <v>432</v>
      </c>
      <c r="W129" s="12">
        <f t="shared" si="1"/>
        <v>10622</v>
      </c>
      <c r="X129" s="12">
        <v>1490381.92</v>
      </c>
    </row>
    <row r="130" spans="1:24">
      <c r="A130" s="47">
        <v>31104</v>
      </c>
      <c r="B130" s="47">
        <v>27453</v>
      </c>
      <c r="C130" s="47">
        <v>19317</v>
      </c>
      <c r="D130" s="47">
        <v>32914</v>
      </c>
      <c r="E130" s="47">
        <v>35639</v>
      </c>
      <c r="F130" s="47">
        <v>48190</v>
      </c>
      <c r="G130" s="47">
        <v>2372</v>
      </c>
      <c r="H130" s="47">
        <v>22385</v>
      </c>
      <c r="I130" s="47">
        <v>33609</v>
      </c>
      <c r="J130" s="47">
        <v>34180</v>
      </c>
      <c r="K130" s="47">
        <v>12005</v>
      </c>
      <c r="L130" s="47">
        <v>43475</v>
      </c>
      <c r="M130" s="53" t="s">
        <v>527</v>
      </c>
      <c r="N130" s="54" t="s">
        <v>399</v>
      </c>
      <c r="O130" s="55" t="s">
        <v>531</v>
      </c>
      <c r="P130" s="11" t="s">
        <v>413</v>
      </c>
      <c r="Q130" s="12" t="s">
        <v>408</v>
      </c>
      <c r="R130" s="10" t="s">
        <v>333</v>
      </c>
      <c r="S130" s="10" t="s">
        <v>400</v>
      </c>
      <c r="T130" s="12">
        <v>2780.74</v>
      </c>
      <c r="U130" s="12">
        <v>37</v>
      </c>
      <c r="V130" s="12" t="s">
        <v>434</v>
      </c>
      <c r="W130" s="12">
        <f t="shared" si="1"/>
        <v>10596</v>
      </c>
      <c r="X130" s="12">
        <v>1338299.58</v>
      </c>
    </row>
    <row r="131" spans="1:24">
      <c r="A131" s="47">
        <v>11374</v>
      </c>
      <c r="B131" s="47">
        <v>29667</v>
      </c>
      <c r="C131" s="47">
        <v>2225</v>
      </c>
      <c r="D131" s="47">
        <v>580</v>
      </c>
      <c r="E131" s="47">
        <v>35844</v>
      </c>
      <c r="F131" s="47">
        <v>45966</v>
      </c>
      <c r="G131" s="47">
        <v>38848</v>
      </c>
      <c r="H131" s="47">
        <v>8977</v>
      </c>
      <c r="I131" s="47">
        <v>4856</v>
      </c>
      <c r="J131" s="47">
        <v>33681</v>
      </c>
      <c r="K131" s="47">
        <v>1868</v>
      </c>
      <c r="L131" s="47">
        <v>43768</v>
      </c>
      <c r="M131" s="53" t="s">
        <v>527</v>
      </c>
      <c r="N131" s="54" t="s">
        <v>397</v>
      </c>
      <c r="O131" s="55" t="s">
        <v>529</v>
      </c>
      <c r="P131" s="11" t="s">
        <v>415</v>
      </c>
      <c r="Q131" s="12" t="s">
        <v>411</v>
      </c>
      <c r="R131" s="10" t="s">
        <v>334</v>
      </c>
      <c r="S131" s="10" t="s">
        <v>402</v>
      </c>
      <c r="T131" s="12">
        <v>1342.61</v>
      </c>
      <c r="U131" s="12">
        <v>95</v>
      </c>
      <c r="V131" s="12" t="s">
        <v>433</v>
      </c>
      <c r="W131" s="12">
        <f t="shared" ref="W131:W194" si="2">U131+10109+450</f>
        <v>10654</v>
      </c>
      <c r="X131" s="12">
        <v>1761028.5</v>
      </c>
    </row>
    <row r="132" spans="1:24">
      <c r="A132" s="47">
        <v>15925</v>
      </c>
      <c r="B132" s="47">
        <v>-5505</v>
      </c>
      <c r="C132" s="47">
        <v>40087</v>
      </c>
      <c r="D132" s="47">
        <v>12482</v>
      </c>
      <c r="E132" s="47">
        <v>17477</v>
      </c>
      <c r="F132" s="47">
        <v>7156</v>
      </c>
      <c r="G132" s="47">
        <v>37372</v>
      </c>
      <c r="H132" s="47">
        <v>145</v>
      </c>
      <c r="I132" s="47">
        <v>18136</v>
      </c>
      <c r="J132" s="47">
        <v>23039</v>
      </c>
      <c r="K132" s="47">
        <v>2096</v>
      </c>
      <c r="L132" s="47">
        <v>44053</v>
      </c>
      <c r="M132" s="53" t="s">
        <v>527</v>
      </c>
      <c r="N132" s="54" t="s">
        <v>396</v>
      </c>
      <c r="O132" s="55" t="s">
        <v>528</v>
      </c>
      <c r="P132" s="11" t="s">
        <v>413</v>
      </c>
      <c r="Q132" s="12" t="s">
        <v>411</v>
      </c>
      <c r="R132" s="10" t="s">
        <v>335</v>
      </c>
      <c r="S132" s="10" t="s">
        <v>402</v>
      </c>
      <c r="T132" s="12">
        <v>2709.06</v>
      </c>
      <c r="U132" s="12">
        <v>93</v>
      </c>
      <c r="V132" s="12" t="s">
        <v>434</v>
      </c>
      <c r="W132" s="12">
        <f t="shared" si="2"/>
        <v>10652</v>
      </c>
      <c r="X132" s="12">
        <v>3291989.86</v>
      </c>
    </row>
    <row r="133" spans="1:24">
      <c r="A133" s="47">
        <v>32736</v>
      </c>
      <c r="B133" s="47">
        <v>6955</v>
      </c>
      <c r="C133" s="47">
        <v>41904</v>
      </c>
      <c r="D133" s="47">
        <v>36448</v>
      </c>
      <c r="E133" s="47">
        <v>11072</v>
      </c>
      <c r="F133" s="47">
        <v>14741</v>
      </c>
      <c r="G133" s="47">
        <v>35884</v>
      </c>
      <c r="H133" s="47">
        <v>-1998</v>
      </c>
      <c r="I133" s="47">
        <v>35118</v>
      </c>
      <c r="J133" s="47">
        <v>6643</v>
      </c>
      <c r="K133" s="47">
        <v>5749</v>
      </c>
      <c r="L133" s="47">
        <v>28852</v>
      </c>
      <c r="M133" s="53" t="s">
        <v>527</v>
      </c>
      <c r="N133" s="54" t="s">
        <v>396</v>
      </c>
      <c r="O133" s="55" t="s">
        <v>528</v>
      </c>
      <c r="P133" s="11" t="s">
        <v>416</v>
      </c>
      <c r="Q133" s="12" t="s">
        <v>411</v>
      </c>
      <c r="R133" s="10" t="s">
        <v>336</v>
      </c>
      <c r="S133" s="10" t="s">
        <v>402</v>
      </c>
      <c r="T133" s="12">
        <v>2639.78</v>
      </c>
      <c r="U133" s="12">
        <v>5</v>
      </c>
      <c r="V133" s="12" t="s">
        <v>435</v>
      </c>
      <c r="W133" s="12">
        <f t="shared" si="2"/>
        <v>10564</v>
      </c>
      <c r="X133" s="12">
        <v>1145061.1200000001</v>
      </c>
    </row>
    <row r="134" spans="1:24">
      <c r="A134" s="47">
        <v>478</v>
      </c>
      <c r="B134" s="47">
        <v>29253</v>
      </c>
      <c r="C134" s="47">
        <v>6767</v>
      </c>
      <c r="D134" s="47">
        <v>35591</v>
      </c>
      <c r="E134" s="47">
        <v>3493</v>
      </c>
      <c r="F134" s="47">
        <v>26217</v>
      </c>
      <c r="G134" s="47">
        <v>15703</v>
      </c>
      <c r="H134" s="47">
        <v>-4682</v>
      </c>
      <c r="I134" s="47">
        <v>42762</v>
      </c>
      <c r="J134" s="47">
        <v>35072</v>
      </c>
      <c r="K134" s="47">
        <v>4746</v>
      </c>
      <c r="L134" s="47">
        <v>10667</v>
      </c>
      <c r="M134" s="53" t="s">
        <v>527</v>
      </c>
      <c r="N134" s="54" t="s">
        <v>397</v>
      </c>
      <c r="O134" s="55" t="s">
        <v>529</v>
      </c>
      <c r="P134" s="11" t="s">
        <v>414</v>
      </c>
      <c r="Q134" s="12" t="s">
        <v>408</v>
      </c>
      <c r="R134" s="10" t="s">
        <v>337</v>
      </c>
      <c r="S134" s="10" t="s">
        <v>400</v>
      </c>
      <c r="T134" s="12">
        <v>985.73</v>
      </c>
      <c r="U134" s="12">
        <v>76</v>
      </c>
      <c r="V134" s="12" t="s">
        <v>432</v>
      </c>
      <c r="W134" s="12">
        <f t="shared" si="2"/>
        <v>10635</v>
      </c>
      <c r="X134" s="12">
        <v>1803563.29</v>
      </c>
    </row>
    <row r="135" spans="1:24">
      <c r="A135" s="47">
        <v>40524</v>
      </c>
      <c r="B135" s="47">
        <v>30715</v>
      </c>
      <c r="C135" s="47">
        <v>5226</v>
      </c>
      <c r="D135" s="47">
        <v>5999</v>
      </c>
      <c r="E135" s="47">
        <v>-468</v>
      </c>
      <c r="F135" s="47">
        <v>18605</v>
      </c>
      <c r="G135" s="47">
        <v>4506</v>
      </c>
      <c r="H135" s="47">
        <v>39574</v>
      </c>
      <c r="I135" s="47">
        <v>27009</v>
      </c>
      <c r="J135" s="47">
        <v>-7268</v>
      </c>
      <c r="K135" s="47">
        <v>40596</v>
      </c>
      <c r="L135" s="47">
        <v>25793</v>
      </c>
      <c r="M135" s="53" t="s">
        <v>527</v>
      </c>
      <c r="N135" s="54" t="s">
        <v>396</v>
      </c>
      <c r="O135" s="55" t="s">
        <v>528</v>
      </c>
      <c r="P135" s="11" t="s">
        <v>413</v>
      </c>
      <c r="Q135" s="12" t="s">
        <v>408</v>
      </c>
      <c r="R135" s="10" t="s">
        <v>338</v>
      </c>
      <c r="S135" s="10" t="s">
        <v>403</v>
      </c>
      <c r="T135" s="12">
        <v>2613.2600000000002</v>
      </c>
      <c r="U135" s="12">
        <v>99</v>
      </c>
      <c r="V135" s="12" t="s">
        <v>432</v>
      </c>
      <c r="W135" s="12">
        <f t="shared" si="2"/>
        <v>10658</v>
      </c>
      <c r="X135" s="12">
        <v>2206462.36</v>
      </c>
    </row>
    <row r="136" spans="1:24">
      <c r="A136" s="47">
        <v>46106</v>
      </c>
      <c r="B136" s="47">
        <v>5866</v>
      </c>
      <c r="C136" s="47">
        <v>38327</v>
      </c>
      <c r="D136" s="47">
        <v>23674</v>
      </c>
      <c r="E136" s="47">
        <v>24911</v>
      </c>
      <c r="F136" s="47">
        <v>19053</v>
      </c>
      <c r="G136" s="47">
        <v>-6463</v>
      </c>
      <c r="H136" s="47">
        <v>41087</v>
      </c>
      <c r="I136" s="47">
        <v>42665</v>
      </c>
      <c r="J136" s="47">
        <v>29518</v>
      </c>
      <c r="K136" s="47">
        <v>36388</v>
      </c>
      <c r="L136" s="47">
        <v>39893</v>
      </c>
      <c r="M136" s="53" t="s">
        <v>527</v>
      </c>
      <c r="N136" s="54" t="s">
        <v>396</v>
      </c>
      <c r="O136" s="55" t="s">
        <v>528</v>
      </c>
      <c r="P136" s="11" t="s">
        <v>416</v>
      </c>
      <c r="Q136" s="12" t="s">
        <v>409</v>
      </c>
      <c r="R136" s="10" t="s">
        <v>339</v>
      </c>
      <c r="S136" s="10" t="s">
        <v>401</v>
      </c>
      <c r="T136" s="12">
        <v>1158.23</v>
      </c>
      <c r="U136" s="12">
        <v>51</v>
      </c>
      <c r="V136" s="12" t="s">
        <v>435</v>
      </c>
      <c r="W136" s="12">
        <f t="shared" si="2"/>
        <v>10610</v>
      </c>
      <c r="X136" s="12">
        <v>2649092.21</v>
      </c>
    </row>
    <row r="137" spans="1:24">
      <c r="A137" s="47">
        <v>37276</v>
      </c>
      <c r="B137" s="47">
        <v>3378</v>
      </c>
      <c r="C137" s="47">
        <v>43078</v>
      </c>
      <c r="D137" s="47">
        <v>13080</v>
      </c>
      <c r="E137" s="47">
        <v>36558</v>
      </c>
      <c r="F137" s="47">
        <v>46954</v>
      </c>
      <c r="G137" s="47">
        <v>6307</v>
      </c>
      <c r="H137" s="47">
        <v>28839</v>
      </c>
      <c r="I137" s="47">
        <v>33817</v>
      </c>
      <c r="J137" s="47">
        <v>14263</v>
      </c>
      <c r="K137" s="47">
        <v>15833</v>
      </c>
      <c r="L137" s="47">
        <v>25662</v>
      </c>
      <c r="M137" s="53" t="s">
        <v>527</v>
      </c>
      <c r="N137" s="54" t="s">
        <v>396</v>
      </c>
      <c r="O137" s="55" t="s">
        <v>528</v>
      </c>
      <c r="P137" s="11" t="s">
        <v>415</v>
      </c>
      <c r="Q137" s="12" t="s">
        <v>411</v>
      </c>
      <c r="R137" s="10" t="s">
        <v>340</v>
      </c>
      <c r="S137" s="10" t="s">
        <v>401</v>
      </c>
      <c r="T137" s="12">
        <v>925.76</v>
      </c>
      <c r="U137" s="12">
        <v>88</v>
      </c>
      <c r="V137" s="12" t="s">
        <v>432</v>
      </c>
      <c r="W137" s="12">
        <f t="shared" si="2"/>
        <v>10647</v>
      </c>
      <c r="X137" s="12">
        <v>3067787.24</v>
      </c>
    </row>
    <row r="138" spans="1:24">
      <c r="A138" s="47">
        <v>29171</v>
      </c>
      <c r="B138" s="47">
        <v>9712</v>
      </c>
      <c r="C138" s="47">
        <v>16710</v>
      </c>
      <c r="D138" s="47">
        <v>18353</v>
      </c>
      <c r="E138" s="47">
        <v>44764</v>
      </c>
      <c r="F138" s="47">
        <v>12531</v>
      </c>
      <c r="G138" s="47">
        <v>880</v>
      </c>
      <c r="H138" s="47">
        <v>35185</v>
      </c>
      <c r="I138" s="47">
        <v>14142</v>
      </c>
      <c r="J138" s="47">
        <v>21325</v>
      </c>
      <c r="K138" s="47">
        <v>4276</v>
      </c>
      <c r="L138" s="47">
        <v>30248</v>
      </c>
      <c r="M138" s="53" t="s">
        <v>527</v>
      </c>
      <c r="N138" s="54" t="s">
        <v>395</v>
      </c>
      <c r="O138" s="55" t="s">
        <v>395</v>
      </c>
      <c r="P138" s="11" t="s">
        <v>414</v>
      </c>
      <c r="Q138" s="12" t="s">
        <v>411</v>
      </c>
      <c r="R138" s="10" t="s">
        <v>341</v>
      </c>
      <c r="S138" s="10" t="s">
        <v>402</v>
      </c>
      <c r="T138" s="12">
        <v>1964.77</v>
      </c>
      <c r="U138" s="12">
        <v>40</v>
      </c>
      <c r="V138" s="12" t="s">
        <v>434</v>
      </c>
      <c r="W138" s="12">
        <f t="shared" si="2"/>
        <v>10599</v>
      </c>
      <c r="X138" s="12">
        <v>3155832.05</v>
      </c>
    </row>
    <row r="139" spans="1:24">
      <c r="A139" s="47">
        <v>38065</v>
      </c>
      <c r="B139" s="47">
        <v>-3158</v>
      </c>
      <c r="C139" s="47">
        <v>25739</v>
      </c>
      <c r="D139" s="47">
        <v>21474</v>
      </c>
      <c r="E139" s="47">
        <v>15774</v>
      </c>
      <c r="F139" s="47">
        <v>12162</v>
      </c>
      <c r="G139" s="47">
        <v>11046</v>
      </c>
      <c r="H139" s="47">
        <v>20793</v>
      </c>
      <c r="I139" s="47">
        <v>4542</v>
      </c>
      <c r="J139" s="47">
        <v>12578</v>
      </c>
      <c r="K139" s="47">
        <v>44712</v>
      </c>
      <c r="L139" s="47">
        <v>5107</v>
      </c>
      <c r="M139" s="53" t="s">
        <v>527</v>
      </c>
      <c r="N139" s="54" t="s">
        <v>398</v>
      </c>
      <c r="O139" s="55" t="s">
        <v>530</v>
      </c>
      <c r="P139" s="11" t="s">
        <v>414</v>
      </c>
      <c r="Q139" s="12" t="s">
        <v>411</v>
      </c>
      <c r="R139" s="10" t="s">
        <v>342</v>
      </c>
      <c r="S139" s="10" t="s">
        <v>402</v>
      </c>
      <c r="T139" s="12">
        <v>1018.72</v>
      </c>
      <c r="U139" s="12">
        <v>82</v>
      </c>
      <c r="V139" s="12" t="s">
        <v>432</v>
      </c>
      <c r="W139" s="12">
        <f t="shared" si="2"/>
        <v>10641</v>
      </c>
      <c r="X139" s="12">
        <v>1822897.13</v>
      </c>
    </row>
    <row r="140" spans="1:24">
      <c r="A140" s="47">
        <v>1940</v>
      </c>
      <c r="B140" s="47">
        <v>10502</v>
      </c>
      <c r="C140" s="47">
        <v>43448</v>
      </c>
      <c r="D140" s="47">
        <v>-4882</v>
      </c>
      <c r="E140" s="47">
        <v>3399</v>
      </c>
      <c r="F140" s="47">
        <v>32364</v>
      </c>
      <c r="G140" s="47">
        <v>19261</v>
      </c>
      <c r="H140" s="47">
        <v>38416</v>
      </c>
      <c r="I140" s="47">
        <v>47776</v>
      </c>
      <c r="J140" s="47">
        <v>31104</v>
      </c>
      <c r="K140" s="47">
        <v>27800</v>
      </c>
      <c r="L140" s="47">
        <v>23558</v>
      </c>
      <c r="M140" s="53" t="s">
        <v>527</v>
      </c>
      <c r="N140" s="54" t="s">
        <v>399</v>
      </c>
      <c r="O140" s="55" t="s">
        <v>531</v>
      </c>
      <c r="P140" s="11" t="s">
        <v>415</v>
      </c>
      <c r="Q140" s="12" t="s">
        <v>410</v>
      </c>
      <c r="R140" s="10" t="s">
        <v>343</v>
      </c>
      <c r="S140" s="10" t="s">
        <v>400</v>
      </c>
      <c r="T140" s="12">
        <v>1909.12</v>
      </c>
      <c r="U140" s="12">
        <v>11</v>
      </c>
      <c r="V140" s="12" t="s">
        <v>435</v>
      </c>
      <c r="W140" s="12">
        <f t="shared" si="2"/>
        <v>10570</v>
      </c>
      <c r="X140" s="12">
        <v>2936396.57</v>
      </c>
    </row>
    <row r="141" spans="1:24">
      <c r="A141" s="47">
        <v>42567</v>
      </c>
      <c r="B141" s="47">
        <v>33692</v>
      </c>
      <c r="C141" s="47">
        <v>23885</v>
      </c>
      <c r="D141" s="47">
        <v>12960</v>
      </c>
      <c r="E141" s="47">
        <v>26442</v>
      </c>
      <c r="F141" s="47">
        <v>39966</v>
      </c>
      <c r="G141" s="47">
        <v>-6980</v>
      </c>
      <c r="H141" s="47">
        <v>28823</v>
      </c>
      <c r="I141" s="47">
        <v>15333</v>
      </c>
      <c r="J141" s="47">
        <v>21801</v>
      </c>
      <c r="K141" s="47">
        <v>18953</v>
      </c>
      <c r="L141" s="47">
        <v>7672</v>
      </c>
      <c r="M141" s="53" t="s">
        <v>527</v>
      </c>
      <c r="N141" s="54" t="s">
        <v>395</v>
      </c>
      <c r="O141" s="55" t="s">
        <v>395</v>
      </c>
      <c r="P141" s="11" t="s">
        <v>413</v>
      </c>
      <c r="Q141" s="12" t="s">
        <v>409</v>
      </c>
      <c r="R141" s="10" t="s">
        <v>344</v>
      </c>
      <c r="S141" s="10" t="s">
        <v>401</v>
      </c>
      <c r="T141" s="12">
        <v>1849</v>
      </c>
      <c r="U141" s="12">
        <v>32</v>
      </c>
      <c r="V141" s="12" t="s">
        <v>435</v>
      </c>
      <c r="W141" s="12">
        <f t="shared" si="2"/>
        <v>10591</v>
      </c>
      <c r="X141" s="12">
        <v>1702209.54</v>
      </c>
    </row>
    <row r="142" spans="1:24">
      <c r="A142" s="47">
        <v>46008</v>
      </c>
      <c r="B142" s="47">
        <v>28036</v>
      </c>
      <c r="C142" s="47">
        <v>21760</v>
      </c>
      <c r="D142" s="47">
        <v>15494</v>
      </c>
      <c r="E142" s="47">
        <v>41383</v>
      </c>
      <c r="F142" s="47">
        <v>24649</v>
      </c>
      <c r="G142" s="47">
        <v>30284</v>
      </c>
      <c r="H142" s="47">
        <v>-7090</v>
      </c>
      <c r="I142" s="47">
        <v>4402</v>
      </c>
      <c r="J142" s="47">
        <v>7676</v>
      </c>
      <c r="K142" s="47">
        <v>3657</v>
      </c>
      <c r="L142" s="47">
        <v>13046</v>
      </c>
      <c r="M142" s="53" t="s">
        <v>527</v>
      </c>
      <c r="N142" s="54" t="s">
        <v>396</v>
      </c>
      <c r="O142" s="55" t="s">
        <v>528</v>
      </c>
      <c r="P142" s="11" t="s">
        <v>414</v>
      </c>
      <c r="Q142" s="12" t="s">
        <v>411</v>
      </c>
      <c r="R142" s="10" t="s">
        <v>345</v>
      </c>
      <c r="S142" s="10" t="s">
        <v>402</v>
      </c>
      <c r="T142" s="12">
        <v>1712.14</v>
      </c>
      <c r="U142" s="12">
        <v>30</v>
      </c>
      <c r="V142" s="12" t="s">
        <v>433</v>
      </c>
      <c r="W142" s="12">
        <f t="shared" si="2"/>
        <v>10589</v>
      </c>
      <c r="X142" s="12">
        <v>2068810.21</v>
      </c>
    </row>
    <row r="143" spans="1:24">
      <c r="A143" s="47">
        <v>18154</v>
      </c>
      <c r="B143" s="47">
        <v>10998</v>
      </c>
      <c r="C143" s="47">
        <v>29735</v>
      </c>
      <c r="D143" s="47">
        <v>10113</v>
      </c>
      <c r="E143" s="47">
        <v>13630</v>
      </c>
      <c r="F143" s="47">
        <v>16320</v>
      </c>
      <c r="G143" s="47">
        <v>36276</v>
      </c>
      <c r="H143" s="47">
        <v>5548</v>
      </c>
      <c r="I143" s="47">
        <v>35474</v>
      </c>
      <c r="J143" s="47">
        <v>23478</v>
      </c>
      <c r="K143" s="47">
        <v>46095</v>
      </c>
      <c r="L143" s="47">
        <v>22194</v>
      </c>
      <c r="M143" s="53" t="s">
        <v>527</v>
      </c>
      <c r="N143" s="54" t="s">
        <v>397</v>
      </c>
      <c r="O143" s="55" t="s">
        <v>529</v>
      </c>
      <c r="P143" s="11" t="s">
        <v>414</v>
      </c>
      <c r="Q143" s="12" t="s">
        <v>411</v>
      </c>
      <c r="R143" s="10" t="s">
        <v>346</v>
      </c>
      <c r="S143" s="10" t="s">
        <v>403</v>
      </c>
      <c r="T143" s="12">
        <v>1172.24</v>
      </c>
      <c r="U143" s="12">
        <v>46</v>
      </c>
      <c r="V143" s="12" t="s">
        <v>435</v>
      </c>
      <c r="W143" s="12">
        <f t="shared" si="2"/>
        <v>10605</v>
      </c>
      <c r="X143" s="12">
        <v>2677626.75</v>
      </c>
    </row>
    <row r="144" spans="1:24">
      <c r="A144" s="47">
        <v>21754</v>
      </c>
      <c r="B144" s="47">
        <v>16175</v>
      </c>
      <c r="C144" s="47">
        <v>-3562</v>
      </c>
      <c r="D144" s="47">
        <v>23640</v>
      </c>
      <c r="E144" s="47">
        <v>3533</v>
      </c>
      <c r="F144" s="47">
        <v>21307</v>
      </c>
      <c r="G144" s="47">
        <v>5434</v>
      </c>
      <c r="H144" s="47">
        <v>28415</v>
      </c>
      <c r="I144" s="47">
        <v>22775</v>
      </c>
      <c r="J144" s="47">
        <v>15945</v>
      </c>
      <c r="K144" s="47">
        <v>33529</v>
      </c>
      <c r="L144" s="47">
        <v>21561</v>
      </c>
      <c r="M144" s="53" t="s">
        <v>527</v>
      </c>
      <c r="N144" s="54" t="s">
        <v>396</v>
      </c>
      <c r="O144" s="55" t="s">
        <v>528</v>
      </c>
      <c r="P144" s="11" t="s">
        <v>415</v>
      </c>
      <c r="Q144" s="12" t="s">
        <v>411</v>
      </c>
      <c r="R144" s="10" t="s">
        <v>325</v>
      </c>
      <c r="S144" s="10" t="s">
        <v>403</v>
      </c>
      <c r="T144" s="12">
        <v>1668.07</v>
      </c>
      <c r="U144" s="12">
        <v>32</v>
      </c>
      <c r="V144" s="12" t="s">
        <v>432</v>
      </c>
      <c r="W144" s="12">
        <f t="shared" si="2"/>
        <v>10591</v>
      </c>
      <c r="X144" s="12">
        <v>1619097.54</v>
      </c>
    </row>
    <row r="145" spans="1:24">
      <c r="A145" s="47">
        <v>5949</v>
      </c>
      <c r="B145" s="47">
        <v>30665</v>
      </c>
      <c r="C145" s="47">
        <v>40625</v>
      </c>
      <c r="D145" s="47">
        <v>16435</v>
      </c>
      <c r="E145" s="47">
        <v>42807</v>
      </c>
      <c r="F145" s="47">
        <v>25216</v>
      </c>
      <c r="G145" s="47">
        <v>11155</v>
      </c>
      <c r="H145" s="47">
        <v>40022</v>
      </c>
      <c r="I145" s="47">
        <v>42298</v>
      </c>
      <c r="J145" s="47">
        <v>19411</v>
      </c>
      <c r="K145" s="47">
        <v>40699</v>
      </c>
      <c r="L145" s="47">
        <v>35991</v>
      </c>
      <c r="M145" s="53" t="s">
        <v>527</v>
      </c>
      <c r="N145" s="54" t="s">
        <v>398</v>
      </c>
      <c r="O145" s="55" t="s">
        <v>530</v>
      </c>
      <c r="P145" s="11" t="s">
        <v>413</v>
      </c>
      <c r="Q145" s="12" t="s">
        <v>410</v>
      </c>
      <c r="R145" s="10" t="s">
        <v>347</v>
      </c>
      <c r="S145" s="10" t="s">
        <v>402</v>
      </c>
      <c r="T145" s="12">
        <v>1809.63</v>
      </c>
      <c r="U145" s="12">
        <v>23</v>
      </c>
      <c r="V145" s="12" t="s">
        <v>432</v>
      </c>
      <c r="W145" s="12">
        <f t="shared" si="2"/>
        <v>10582</v>
      </c>
      <c r="X145" s="12">
        <v>2520515.75</v>
      </c>
    </row>
    <row r="146" spans="1:24">
      <c r="A146" s="47">
        <v>20756</v>
      </c>
      <c r="B146" s="47">
        <v>-7790</v>
      </c>
      <c r="C146" s="47">
        <v>27201</v>
      </c>
      <c r="D146" s="47">
        <v>1410</v>
      </c>
      <c r="E146" s="47">
        <v>24089</v>
      </c>
      <c r="F146" s="47">
        <v>16221</v>
      </c>
      <c r="G146" s="47">
        <v>18350</v>
      </c>
      <c r="H146" s="47">
        <v>-2259</v>
      </c>
      <c r="I146" s="47">
        <v>4340</v>
      </c>
      <c r="J146" s="47">
        <v>-4046</v>
      </c>
      <c r="K146" s="47">
        <v>36742</v>
      </c>
      <c r="L146" s="47">
        <v>26582</v>
      </c>
      <c r="M146" s="53" t="s">
        <v>527</v>
      </c>
      <c r="N146" s="54" t="s">
        <v>396</v>
      </c>
      <c r="O146" s="55" t="s">
        <v>528</v>
      </c>
      <c r="P146" s="11" t="s">
        <v>413</v>
      </c>
      <c r="Q146" s="12" t="s">
        <v>410</v>
      </c>
      <c r="R146" s="10" t="s">
        <v>348</v>
      </c>
      <c r="S146" s="10" t="s">
        <v>402</v>
      </c>
      <c r="T146" s="12">
        <v>1659.78</v>
      </c>
      <c r="U146" s="12">
        <v>78</v>
      </c>
      <c r="V146" s="12" t="s">
        <v>435</v>
      </c>
      <c r="W146" s="12">
        <f t="shared" si="2"/>
        <v>10637</v>
      </c>
      <c r="X146" s="12">
        <v>2436487.66</v>
      </c>
    </row>
    <row r="147" spans="1:24">
      <c r="A147" s="47">
        <v>5977</v>
      </c>
      <c r="B147" s="47">
        <v>-3686</v>
      </c>
      <c r="C147" s="47">
        <v>29302</v>
      </c>
      <c r="D147" s="47">
        <v>21142</v>
      </c>
      <c r="E147" s="47">
        <v>11508</v>
      </c>
      <c r="F147" s="47">
        <v>15751</v>
      </c>
      <c r="G147" s="47">
        <v>2646</v>
      </c>
      <c r="H147" s="47">
        <v>369</v>
      </c>
      <c r="I147" s="47">
        <v>41553</v>
      </c>
      <c r="J147" s="47">
        <v>9609</v>
      </c>
      <c r="K147" s="47">
        <v>18662</v>
      </c>
      <c r="L147" s="47">
        <v>8962</v>
      </c>
      <c r="M147" s="53" t="s">
        <v>527</v>
      </c>
      <c r="N147" s="54" t="s">
        <v>397</v>
      </c>
      <c r="O147" s="55" t="s">
        <v>529</v>
      </c>
      <c r="P147" s="11" t="s">
        <v>414</v>
      </c>
      <c r="Q147" s="12" t="s">
        <v>408</v>
      </c>
      <c r="R147" s="10" t="s">
        <v>349</v>
      </c>
      <c r="S147" s="10" t="s">
        <v>401</v>
      </c>
      <c r="T147" s="12">
        <v>1361.04</v>
      </c>
      <c r="U147" s="12">
        <v>59</v>
      </c>
      <c r="V147" s="12" t="s">
        <v>435</v>
      </c>
      <c r="W147" s="12">
        <f t="shared" si="2"/>
        <v>10618</v>
      </c>
      <c r="X147" s="12">
        <v>3079950.06</v>
      </c>
    </row>
    <row r="148" spans="1:24">
      <c r="A148" s="47">
        <v>32488</v>
      </c>
      <c r="B148" s="47">
        <v>28006</v>
      </c>
      <c r="C148" s="47">
        <v>1634</v>
      </c>
      <c r="D148" s="47">
        <v>38401</v>
      </c>
      <c r="E148" s="47">
        <v>45158</v>
      </c>
      <c r="F148" s="47">
        <v>16434</v>
      </c>
      <c r="G148" s="47">
        <v>6264</v>
      </c>
      <c r="H148" s="47">
        <v>-3036</v>
      </c>
      <c r="I148" s="47">
        <v>47125</v>
      </c>
      <c r="J148" s="47">
        <v>20378</v>
      </c>
      <c r="K148" s="47">
        <v>2936</v>
      </c>
      <c r="L148" s="47">
        <v>45047</v>
      </c>
      <c r="M148" s="53" t="s">
        <v>527</v>
      </c>
      <c r="N148" s="54" t="s">
        <v>398</v>
      </c>
      <c r="O148" s="55" t="s">
        <v>530</v>
      </c>
      <c r="P148" s="11" t="s">
        <v>414</v>
      </c>
      <c r="Q148" s="12" t="s">
        <v>409</v>
      </c>
      <c r="R148" s="10" t="s">
        <v>350</v>
      </c>
      <c r="S148" s="10" t="s">
        <v>401</v>
      </c>
      <c r="T148" s="12">
        <v>93.27</v>
      </c>
      <c r="U148" s="12">
        <v>88</v>
      </c>
      <c r="V148" s="12" t="s">
        <v>433</v>
      </c>
      <c r="W148" s="12">
        <f t="shared" si="2"/>
        <v>10647</v>
      </c>
      <c r="X148" s="12">
        <v>3200794.86</v>
      </c>
    </row>
    <row r="149" spans="1:24">
      <c r="A149" s="47">
        <v>16830</v>
      </c>
      <c r="B149" s="47">
        <v>25256</v>
      </c>
      <c r="C149" s="47">
        <v>37933</v>
      </c>
      <c r="D149" s="47">
        <v>42089</v>
      </c>
      <c r="E149" s="47">
        <v>24625</v>
      </c>
      <c r="F149" s="47">
        <v>34442</v>
      </c>
      <c r="G149" s="47">
        <v>-9868</v>
      </c>
      <c r="H149" s="47">
        <v>1464</v>
      </c>
      <c r="I149" s="47">
        <v>47327</v>
      </c>
      <c r="J149" s="47">
        <v>15954</v>
      </c>
      <c r="K149" s="47">
        <v>26049</v>
      </c>
      <c r="L149" s="47">
        <v>1573</v>
      </c>
      <c r="M149" s="53" t="s">
        <v>527</v>
      </c>
      <c r="N149" s="54" t="s">
        <v>396</v>
      </c>
      <c r="O149" s="55" t="s">
        <v>528</v>
      </c>
      <c r="P149" s="11" t="s">
        <v>413</v>
      </c>
      <c r="Q149" s="12" t="s">
        <v>408</v>
      </c>
      <c r="R149" s="10" t="s">
        <v>351</v>
      </c>
      <c r="S149" s="10" t="s">
        <v>400</v>
      </c>
      <c r="T149" s="12">
        <v>1781.83</v>
      </c>
      <c r="U149" s="12">
        <v>58</v>
      </c>
      <c r="V149" s="12" t="s">
        <v>433</v>
      </c>
      <c r="W149" s="12">
        <f t="shared" si="2"/>
        <v>10617</v>
      </c>
      <c r="X149" s="12">
        <v>1347985.32</v>
      </c>
    </row>
    <row r="150" spans="1:24">
      <c r="A150" s="47">
        <v>15975</v>
      </c>
      <c r="B150" s="47">
        <v>-2017</v>
      </c>
      <c r="C150" s="47">
        <v>30918</v>
      </c>
      <c r="D150" s="47">
        <v>18303</v>
      </c>
      <c r="E150" s="47">
        <v>17425</v>
      </c>
      <c r="F150" s="47">
        <v>19615</v>
      </c>
      <c r="G150" s="47">
        <v>32620</v>
      </c>
      <c r="H150" s="47">
        <v>30611</v>
      </c>
      <c r="I150" s="47">
        <v>30255</v>
      </c>
      <c r="J150" s="47">
        <v>33808</v>
      </c>
      <c r="K150" s="47">
        <v>25436</v>
      </c>
      <c r="L150" s="47">
        <v>24289</v>
      </c>
      <c r="M150" s="53" t="s">
        <v>527</v>
      </c>
      <c r="N150" s="54" t="s">
        <v>398</v>
      </c>
      <c r="O150" s="55" t="s">
        <v>530</v>
      </c>
      <c r="P150" s="11" t="s">
        <v>416</v>
      </c>
      <c r="Q150" s="12" t="s">
        <v>409</v>
      </c>
      <c r="R150" s="10" t="s">
        <v>352</v>
      </c>
      <c r="S150" s="10" t="s">
        <v>401</v>
      </c>
      <c r="T150" s="12">
        <v>546.91</v>
      </c>
      <c r="U150" s="12">
        <v>15</v>
      </c>
      <c r="V150" s="12" t="s">
        <v>435</v>
      </c>
      <c r="W150" s="12">
        <f t="shared" si="2"/>
        <v>10574</v>
      </c>
      <c r="X150" s="12">
        <v>1522672.1</v>
      </c>
    </row>
    <row r="151" spans="1:24">
      <c r="A151" s="47">
        <v>34679</v>
      </c>
      <c r="B151" s="47">
        <v>30573</v>
      </c>
      <c r="C151" s="47">
        <v>37466</v>
      </c>
      <c r="D151" s="47">
        <v>36421</v>
      </c>
      <c r="E151" s="47">
        <v>40603</v>
      </c>
      <c r="F151" s="47">
        <v>31587</v>
      </c>
      <c r="G151" s="47">
        <v>36224</v>
      </c>
      <c r="H151" s="47">
        <v>31219</v>
      </c>
      <c r="I151" s="47">
        <v>5303</v>
      </c>
      <c r="J151" s="47">
        <v>27952</v>
      </c>
      <c r="K151" s="47">
        <v>43603</v>
      </c>
      <c r="L151" s="47">
        <v>46050</v>
      </c>
      <c r="M151" s="53" t="s">
        <v>527</v>
      </c>
      <c r="N151" s="54" t="s">
        <v>399</v>
      </c>
      <c r="O151" s="55" t="s">
        <v>531</v>
      </c>
      <c r="P151" s="11" t="s">
        <v>414</v>
      </c>
      <c r="Q151" s="12" t="s">
        <v>410</v>
      </c>
      <c r="R151" s="10" t="s">
        <v>353</v>
      </c>
      <c r="S151" s="10" t="s">
        <v>403</v>
      </c>
      <c r="T151" s="12">
        <v>1945.6</v>
      </c>
      <c r="U151" s="12">
        <v>47</v>
      </c>
      <c r="V151" s="12" t="s">
        <v>433</v>
      </c>
      <c r="W151" s="12">
        <f t="shared" si="2"/>
        <v>10606</v>
      </c>
      <c r="X151" s="12">
        <v>1655417.82</v>
      </c>
    </row>
    <row r="152" spans="1:24">
      <c r="A152" s="47">
        <v>31296</v>
      </c>
      <c r="B152" s="47">
        <v>18594</v>
      </c>
      <c r="C152" s="47">
        <v>7567</v>
      </c>
      <c r="D152" s="47">
        <v>36977</v>
      </c>
      <c r="E152" s="47">
        <v>30947</v>
      </c>
      <c r="F152" s="47">
        <v>15158</v>
      </c>
      <c r="G152" s="47">
        <v>-5531</v>
      </c>
      <c r="H152" s="47">
        <v>22850</v>
      </c>
      <c r="I152" s="47">
        <v>33894</v>
      </c>
      <c r="J152" s="47">
        <v>30702</v>
      </c>
      <c r="K152" s="47">
        <v>42558</v>
      </c>
      <c r="L152" s="47">
        <v>15654</v>
      </c>
      <c r="M152" s="53" t="s">
        <v>527</v>
      </c>
      <c r="N152" s="54" t="s">
        <v>399</v>
      </c>
      <c r="O152" s="55" t="s">
        <v>531</v>
      </c>
      <c r="P152" s="11" t="s">
        <v>413</v>
      </c>
      <c r="Q152" s="12" t="s">
        <v>411</v>
      </c>
      <c r="R152" s="10" t="s">
        <v>354</v>
      </c>
      <c r="S152" s="10" t="s">
        <v>403</v>
      </c>
      <c r="T152" s="12">
        <v>2290.0700000000002</v>
      </c>
      <c r="U152" s="12">
        <v>74</v>
      </c>
      <c r="V152" s="12" t="s">
        <v>432</v>
      </c>
      <c r="W152" s="12">
        <f t="shared" si="2"/>
        <v>10633</v>
      </c>
      <c r="X152" s="12">
        <v>3525663.95</v>
      </c>
    </row>
    <row r="153" spans="1:24">
      <c r="A153" s="47">
        <v>12792</v>
      </c>
      <c r="B153" s="47">
        <v>24835</v>
      </c>
      <c r="C153" s="47">
        <v>2723</v>
      </c>
      <c r="D153" s="47">
        <v>23952</v>
      </c>
      <c r="E153" s="47">
        <v>1073</v>
      </c>
      <c r="F153" s="47">
        <v>19456</v>
      </c>
      <c r="G153" s="47">
        <v>33282</v>
      </c>
      <c r="H153" s="47">
        <v>30414</v>
      </c>
      <c r="I153" s="47">
        <v>13754</v>
      </c>
      <c r="J153" s="47">
        <v>32699</v>
      </c>
      <c r="K153" s="47">
        <v>29310</v>
      </c>
      <c r="L153" s="47">
        <v>22108</v>
      </c>
      <c r="M153" s="53" t="s">
        <v>527</v>
      </c>
      <c r="N153" s="54" t="s">
        <v>396</v>
      </c>
      <c r="O153" s="55" t="s">
        <v>528</v>
      </c>
      <c r="P153" s="11" t="s">
        <v>414</v>
      </c>
      <c r="Q153" s="12" t="s">
        <v>408</v>
      </c>
      <c r="R153" s="10" t="s">
        <v>355</v>
      </c>
      <c r="S153" s="10" t="s">
        <v>402</v>
      </c>
      <c r="T153" s="12">
        <v>1526.31</v>
      </c>
      <c r="U153" s="12">
        <v>42</v>
      </c>
      <c r="V153" s="12" t="s">
        <v>435</v>
      </c>
      <c r="W153" s="12">
        <f t="shared" si="2"/>
        <v>10601</v>
      </c>
      <c r="X153" s="12">
        <v>3277798.16</v>
      </c>
    </row>
    <row r="154" spans="1:24">
      <c r="A154" s="47">
        <v>46699</v>
      </c>
      <c r="B154" s="47">
        <v>11687</v>
      </c>
      <c r="C154" s="47">
        <v>15590</v>
      </c>
      <c r="D154" s="47">
        <v>34492</v>
      </c>
      <c r="E154" s="47">
        <v>29141</v>
      </c>
      <c r="F154" s="47">
        <v>4292</v>
      </c>
      <c r="G154" s="47">
        <v>7690</v>
      </c>
      <c r="H154" s="47">
        <v>22680</v>
      </c>
      <c r="I154" s="47">
        <v>8306</v>
      </c>
      <c r="J154" s="47">
        <v>-7617</v>
      </c>
      <c r="K154" s="47">
        <v>36309</v>
      </c>
      <c r="L154" s="47">
        <v>41262</v>
      </c>
      <c r="M154" s="53" t="s">
        <v>527</v>
      </c>
      <c r="N154" s="54" t="s">
        <v>398</v>
      </c>
      <c r="O154" s="55" t="s">
        <v>530</v>
      </c>
      <c r="P154" s="11" t="s">
        <v>415</v>
      </c>
      <c r="Q154" s="12" t="s">
        <v>411</v>
      </c>
      <c r="R154" s="10" t="s">
        <v>356</v>
      </c>
      <c r="S154" s="10" t="s">
        <v>401</v>
      </c>
      <c r="T154" s="12">
        <v>1649.97</v>
      </c>
      <c r="U154" s="12">
        <v>75</v>
      </c>
      <c r="V154" s="12" t="s">
        <v>432</v>
      </c>
      <c r="W154" s="12">
        <f t="shared" si="2"/>
        <v>10634</v>
      </c>
      <c r="X154" s="12">
        <v>1989926.2</v>
      </c>
    </row>
    <row r="155" spans="1:24">
      <c r="A155" s="47">
        <v>34618</v>
      </c>
      <c r="B155" s="47">
        <v>27360</v>
      </c>
      <c r="C155" s="47">
        <v>1061</v>
      </c>
      <c r="D155" s="47">
        <v>5921</v>
      </c>
      <c r="E155" s="47">
        <v>43045</v>
      </c>
      <c r="F155" s="47">
        <v>11767</v>
      </c>
      <c r="G155" s="47">
        <v>21514</v>
      </c>
      <c r="H155" s="47">
        <v>3784</v>
      </c>
      <c r="I155" s="47">
        <v>48379</v>
      </c>
      <c r="J155" s="47">
        <v>-6672</v>
      </c>
      <c r="K155" s="47">
        <v>18452</v>
      </c>
      <c r="L155" s="47">
        <v>7388</v>
      </c>
      <c r="M155" s="53" t="s">
        <v>527</v>
      </c>
      <c r="N155" s="54" t="s">
        <v>397</v>
      </c>
      <c r="O155" s="55" t="s">
        <v>529</v>
      </c>
      <c r="P155" s="11" t="s">
        <v>415</v>
      </c>
      <c r="Q155" s="12" t="s">
        <v>408</v>
      </c>
      <c r="R155" s="10" t="s">
        <v>357</v>
      </c>
      <c r="S155" s="10" t="s">
        <v>400</v>
      </c>
      <c r="T155" s="12">
        <v>2856.86</v>
      </c>
      <c r="U155" s="12">
        <v>52</v>
      </c>
      <c r="V155" s="12" t="s">
        <v>435</v>
      </c>
      <c r="W155" s="12">
        <f t="shared" si="2"/>
        <v>10611</v>
      </c>
      <c r="X155" s="12">
        <v>2398017.1800000002</v>
      </c>
    </row>
    <row r="156" spans="1:24">
      <c r="A156" s="47">
        <v>16717</v>
      </c>
      <c r="B156" s="47">
        <v>35434</v>
      </c>
      <c r="C156" s="47">
        <v>6931</v>
      </c>
      <c r="D156" s="47">
        <v>22640</v>
      </c>
      <c r="E156" s="47">
        <v>21041</v>
      </c>
      <c r="F156" s="47">
        <v>30839</v>
      </c>
      <c r="G156" s="47">
        <v>13628</v>
      </c>
      <c r="H156" s="47">
        <v>5029</v>
      </c>
      <c r="I156" s="47">
        <v>48246</v>
      </c>
      <c r="J156" s="47">
        <v>40587</v>
      </c>
      <c r="K156" s="47">
        <v>7256</v>
      </c>
      <c r="L156" s="47">
        <v>2843</v>
      </c>
      <c r="M156" s="53" t="s">
        <v>527</v>
      </c>
      <c r="N156" s="54" t="s">
        <v>396</v>
      </c>
      <c r="O156" s="55" t="s">
        <v>528</v>
      </c>
      <c r="P156" s="11" t="s">
        <v>416</v>
      </c>
      <c r="Q156" s="12" t="s">
        <v>410</v>
      </c>
      <c r="R156" s="10" t="s">
        <v>358</v>
      </c>
      <c r="S156" s="10" t="s">
        <v>403</v>
      </c>
      <c r="T156" s="12">
        <v>2549.14</v>
      </c>
      <c r="U156" s="12">
        <v>16</v>
      </c>
      <c r="V156" s="12" t="s">
        <v>433</v>
      </c>
      <c r="W156" s="12">
        <f t="shared" si="2"/>
        <v>10575</v>
      </c>
      <c r="X156" s="12">
        <v>1434385.54</v>
      </c>
    </row>
    <row r="157" spans="1:24">
      <c r="A157" s="47">
        <v>10837</v>
      </c>
      <c r="B157" s="47">
        <v>16782</v>
      </c>
      <c r="C157" s="47">
        <v>35802</v>
      </c>
      <c r="D157" s="47">
        <v>7238</v>
      </c>
      <c r="E157" s="47">
        <v>37472</v>
      </c>
      <c r="F157" s="47">
        <v>16724</v>
      </c>
      <c r="G157" s="47">
        <v>15679</v>
      </c>
      <c r="H157" s="47">
        <v>24789</v>
      </c>
      <c r="I157" s="47">
        <v>6969</v>
      </c>
      <c r="J157" s="47">
        <v>21606</v>
      </c>
      <c r="K157" s="47">
        <v>38732</v>
      </c>
      <c r="L157" s="47">
        <v>20782</v>
      </c>
      <c r="M157" s="53" t="s">
        <v>527</v>
      </c>
      <c r="N157" s="54" t="s">
        <v>399</v>
      </c>
      <c r="O157" s="55" t="s">
        <v>531</v>
      </c>
      <c r="P157" s="11" t="s">
        <v>414</v>
      </c>
      <c r="Q157" s="12" t="s">
        <v>410</v>
      </c>
      <c r="R157" s="10" t="s">
        <v>359</v>
      </c>
      <c r="S157" s="10" t="s">
        <v>403</v>
      </c>
      <c r="T157" s="12">
        <v>2747</v>
      </c>
      <c r="U157" s="12">
        <v>28</v>
      </c>
      <c r="V157" s="12" t="s">
        <v>435</v>
      </c>
      <c r="W157" s="12">
        <f t="shared" si="2"/>
        <v>10587</v>
      </c>
      <c r="X157" s="12">
        <v>1970737</v>
      </c>
    </row>
    <row r="158" spans="1:24">
      <c r="A158" s="47">
        <v>23048</v>
      </c>
      <c r="B158" s="47">
        <v>25121</v>
      </c>
      <c r="C158" s="47">
        <v>15475</v>
      </c>
      <c r="D158" s="47">
        <v>13113</v>
      </c>
      <c r="E158" s="47">
        <v>28864</v>
      </c>
      <c r="F158" s="47">
        <v>33308</v>
      </c>
      <c r="G158" s="47">
        <v>28816</v>
      </c>
      <c r="H158" s="47">
        <v>22109</v>
      </c>
      <c r="I158" s="47">
        <v>25573</v>
      </c>
      <c r="J158" s="47">
        <v>-1727</v>
      </c>
      <c r="K158" s="47">
        <v>30358</v>
      </c>
      <c r="L158" s="47">
        <v>10463</v>
      </c>
      <c r="M158" s="53" t="s">
        <v>527</v>
      </c>
      <c r="N158" s="54" t="s">
        <v>399</v>
      </c>
      <c r="O158" s="55" t="s">
        <v>531</v>
      </c>
      <c r="P158" s="11" t="s">
        <v>416</v>
      </c>
      <c r="Q158" s="12" t="s">
        <v>410</v>
      </c>
      <c r="R158" s="10" t="s">
        <v>360</v>
      </c>
      <c r="S158" s="10" t="s">
        <v>400</v>
      </c>
      <c r="T158" s="12">
        <v>2450.61</v>
      </c>
      <c r="U158" s="12">
        <v>71</v>
      </c>
      <c r="V158" s="12" t="s">
        <v>433</v>
      </c>
      <c r="W158" s="12">
        <f t="shared" si="2"/>
        <v>10630</v>
      </c>
      <c r="X158" s="12">
        <v>1123464.5900000001</v>
      </c>
    </row>
    <row r="159" spans="1:24">
      <c r="A159" s="47">
        <v>43455</v>
      </c>
      <c r="B159" s="47">
        <v>27744</v>
      </c>
      <c r="C159" s="47">
        <v>25505</v>
      </c>
      <c r="D159" s="47">
        <v>10066</v>
      </c>
      <c r="E159" s="47">
        <v>22135</v>
      </c>
      <c r="F159" s="47">
        <v>8108</v>
      </c>
      <c r="G159" s="47">
        <v>18625</v>
      </c>
      <c r="H159" s="47">
        <v>-731</v>
      </c>
      <c r="I159" s="47">
        <v>47736</v>
      </c>
      <c r="J159" s="47">
        <v>-2212</v>
      </c>
      <c r="K159" s="47">
        <v>39109</v>
      </c>
      <c r="L159" s="47">
        <v>35325</v>
      </c>
      <c r="M159" s="53" t="s">
        <v>527</v>
      </c>
      <c r="N159" s="54" t="s">
        <v>396</v>
      </c>
      <c r="O159" s="55" t="s">
        <v>528</v>
      </c>
      <c r="P159" s="11" t="s">
        <v>413</v>
      </c>
      <c r="Q159" s="12" t="s">
        <v>408</v>
      </c>
      <c r="R159" s="10" t="s">
        <v>229</v>
      </c>
      <c r="S159" s="10" t="s">
        <v>400</v>
      </c>
      <c r="T159" s="12">
        <v>371.31</v>
      </c>
      <c r="U159" s="12">
        <v>34</v>
      </c>
      <c r="V159" s="12" t="s">
        <v>433</v>
      </c>
      <c r="W159" s="12">
        <f t="shared" si="2"/>
        <v>10593</v>
      </c>
      <c r="X159" s="12">
        <v>1523001.66</v>
      </c>
    </row>
    <row r="160" spans="1:24">
      <c r="A160" s="47">
        <v>23902</v>
      </c>
      <c r="B160" s="47">
        <v>7284</v>
      </c>
      <c r="C160" s="47">
        <v>19979</v>
      </c>
      <c r="D160" s="47">
        <v>-5516</v>
      </c>
      <c r="E160" s="47">
        <v>42643</v>
      </c>
      <c r="F160" s="47">
        <v>20115</v>
      </c>
      <c r="G160" s="47">
        <v>27421</v>
      </c>
      <c r="H160" s="47">
        <v>17489</v>
      </c>
      <c r="I160" s="47">
        <v>17347</v>
      </c>
      <c r="J160" s="47">
        <v>-3285</v>
      </c>
      <c r="K160" s="47">
        <v>686</v>
      </c>
      <c r="L160" s="47">
        <v>35720</v>
      </c>
      <c r="M160" s="53" t="s">
        <v>527</v>
      </c>
      <c r="N160" s="54" t="s">
        <v>398</v>
      </c>
      <c r="O160" s="55" t="s">
        <v>530</v>
      </c>
      <c r="P160" s="11" t="s">
        <v>413</v>
      </c>
      <c r="Q160" s="12" t="s">
        <v>409</v>
      </c>
      <c r="R160" s="10" t="s">
        <v>361</v>
      </c>
      <c r="S160" s="10" t="s">
        <v>403</v>
      </c>
      <c r="T160" s="12">
        <v>489.53</v>
      </c>
      <c r="U160" s="12">
        <v>72</v>
      </c>
      <c r="V160" s="12" t="s">
        <v>434</v>
      </c>
      <c r="W160" s="12">
        <f t="shared" si="2"/>
        <v>10631</v>
      </c>
      <c r="X160" s="12">
        <v>2359469.61</v>
      </c>
    </row>
    <row r="161" spans="1:24">
      <c r="A161" s="47">
        <v>26186</v>
      </c>
      <c r="B161" s="47">
        <v>12370</v>
      </c>
      <c r="C161" s="47">
        <v>44727</v>
      </c>
      <c r="D161" s="47">
        <v>37044</v>
      </c>
      <c r="E161" s="47">
        <v>31524</v>
      </c>
      <c r="F161" s="47">
        <v>37904</v>
      </c>
      <c r="G161" s="47">
        <v>18494</v>
      </c>
      <c r="H161" s="47">
        <v>17888</v>
      </c>
      <c r="I161" s="47">
        <v>7843</v>
      </c>
      <c r="J161" s="47">
        <v>14100</v>
      </c>
      <c r="K161" s="47">
        <v>29407</v>
      </c>
      <c r="L161" s="47">
        <v>46168</v>
      </c>
      <c r="M161" s="53" t="s">
        <v>527</v>
      </c>
      <c r="N161" s="54" t="s">
        <v>399</v>
      </c>
      <c r="O161" s="55" t="s">
        <v>531</v>
      </c>
      <c r="P161" s="11" t="s">
        <v>414</v>
      </c>
      <c r="Q161" s="12" t="s">
        <v>408</v>
      </c>
      <c r="R161" s="10" t="s">
        <v>362</v>
      </c>
      <c r="S161" s="10" t="s">
        <v>403</v>
      </c>
      <c r="T161" s="12">
        <v>1603.54</v>
      </c>
      <c r="U161" s="12">
        <v>4</v>
      </c>
      <c r="V161" s="12" t="s">
        <v>434</v>
      </c>
      <c r="W161" s="12">
        <f t="shared" si="2"/>
        <v>10563</v>
      </c>
      <c r="X161" s="12">
        <v>2336808.7000000002</v>
      </c>
    </row>
    <row r="162" spans="1:24">
      <c r="A162" s="47">
        <v>5276</v>
      </c>
      <c r="B162" s="47">
        <v>22458</v>
      </c>
      <c r="C162" s="47">
        <v>-84</v>
      </c>
      <c r="D162" s="47">
        <v>1570</v>
      </c>
      <c r="E162" s="47">
        <v>31284</v>
      </c>
      <c r="F162" s="47">
        <v>4222</v>
      </c>
      <c r="G162" s="47">
        <v>-743</v>
      </c>
      <c r="H162" s="47">
        <v>13094</v>
      </c>
      <c r="I162" s="47">
        <v>29561</v>
      </c>
      <c r="J162" s="47">
        <v>7257</v>
      </c>
      <c r="K162" s="47">
        <v>26662</v>
      </c>
      <c r="L162" s="47">
        <v>16003</v>
      </c>
      <c r="M162" s="53" t="s">
        <v>527</v>
      </c>
      <c r="N162" s="54" t="s">
        <v>398</v>
      </c>
      <c r="O162" s="55" t="s">
        <v>530</v>
      </c>
      <c r="P162" s="11" t="s">
        <v>414</v>
      </c>
      <c r="Q162" s="12" t="s">
        <v>409</v>
      </c>
      <c r="R162" s="10" t="s">
        <v>363</v>
      </c>
      <c r="S162" s="10" t="s">
        <v>400</v>
      </c>
      <c r="T162" s="12">
        <v>775.91</v>
      </c>
      <c r="U162" s="12">
        <v>1</v>
      </c>
      <c r="V162" s="12" t="s">
        <v>432</v>
      </c>
      <c r="W162" s="12">
        <f t="shared" si="2"/>
        <v>10560</v>
      </c>
      <c r="X162" s="12">
        <v>1184220.75</v>
      </c>
    </row>
    <row r="163" spans="1:24">
      <c r="A163" s="47">
        <v>25467</v>
      </c>
      <c r="B163" s="47">
        <v>34321</v>
      </c>
      <c r="C163" s="47">
        <v>13736</v>
      </c>
      <c r="D163" s="47">
        <v>6069</v>
      </c>
      <c r="E163" s="47">
        <v>10438</v>
      </c>
      <c r="F163" s="47">
        <v>47233</v>
      </c>
      <c r="G163" s="47">
        <v>21618</v>
      </c>
      <c r="H163" s="47">
        <v>36579</v>
      </c>
      <c r="I163" s="47">
        <v>19467</v>
      </c>
      <c r="J163" s="47">
        <v>-7651</v>
      </c>
      <c r="K163" s="47">
        <v>37347</v>
      </c>
      <c r="L163" s="47">
        <v>23602</v>
      </c>
      <c r="M163" s="53" t="s">
        <v>527</v>
      </c>
      <c r="N163" s="54" t="s">
        <v>399</v>
      </c>
      <c r="O163" s="55" t="s">
        <v>531</v>
      </c>
      <c r="P163" s="11" t="s">
        <v>416</v>
      </c>
      <c r="Q163" s="12" t="s">
        <v>408</v>
      </c>
      <c r="R163" s="10" t="s">
        <v>364</v>
      </c>
      <c r="S163" s="10" t="s">
        <v>403</v>
      </c>
      <c r="T163" s="12">
        <v>1456.25</v>
      </c>
      <c r="U163" s="12">
        <v>61</v>
      </c>
      <c r="V163" s="12" t="s">
        <v>434</v>
      </c>
      <c r="W163" s="12">
        <f t="shared" si="2"/>
        <v>10620</v>
      </c>
      <c r="X163" s="12">
        <v>2971540.56</v>
      </c>
    </row>
    <row r="164" spans="1:24">
      <c r="A164" s="47">
        <v>19824</v>
      </c>
      <c r="B164" s="47">
        <v>12923</v>
      </c>
      <c r="C164" s="47">
        <v>12606</v>
      </c>
      <c r="D164" s="47">
        <v>21596</v>
      </c>
      <c r="E164" s="47">
        <v>27382</v>
      </c>
      <c r="F164" s="47">
        <v>47943</v>
      </c>
      <c r="G164" s="47">
        <v>-7839</v>
      </c>
      <c r="H164" s="47">
        <v>8468</v>
      </c>
      <c r="I164" s="47">
        <v>35424</v>
      </c>
      <c r="J164" s="47">
        <v>4789</v>
      </c>
      <c r="K164" s="47">
        <v>43568</v>
      </c>
      <c r="L164" s="47">
        <v>37092</v>
      </c>
      <c r="M164" s="53" t="s">
        <v>527</v>
      </c>
      <c r="N164" s="54" t="s">
        <v>399</v>
      </c>
      <c r="O164" s="55" t="s">
        <v>531</v>
      </c>
      <c r="P164" s="11" t="s">
        <v>415</v>
      </c>
      <c r="Q164" s="12" t="s">
        <v>408</v>
      </c>
      <c r="R164" s="10" t="s">
        <v>308</v>
      </c>
      <c r="S164" s="10" t="s">
        <v>402</v>
      </c>
      <c r="T164" s="12">
        <v>1213.3800000000001</v>
      </c>
      <c r="U164" s="12">
        <v>5</v>
      </c>
      <c r="V164" s="12" t="s">
        <v>432</v>
      </c>
      <c r="W164" s="12">
        <f t="shared" si="2"/>
        <v>10564</v>
      </c>
      <c r="X164" s="12">
        <v>2954130.75</v>
      </c>
    </row>
    <row r="165" spans="1:24">
      <c r="A165" s="47">
        <v>-45</v>
      </c>
      <c r="B165" s="47">
        <v>8691</v>
      </c>
      <c r="C165" s="47">
        <v>13545</v>
      </c>
      <c r="D165" s="47">
        <v>3565</v>
      </c>
      <c r="E165" s="47">
        <v>32991</v>
      </c>
      <c r="F165" s="47">
        <v>17362</v>
      </c>
      <c r="G165" s="47">
        <v>-1846</v>
      </c>
      <c r="H165" s="47">
        <v>-5908</v>
      </c>
      <c r="I165" s="47">
        <v>28358</v>
      </c>
      <c r="J165" s="47">
        <v>29399</v>
      </c>
      <c r="K165" s="47">
        <v>12568</v>
      </c>
      <c r="L165" s="47">
        <v>37692</v>
      </c>
      <c r="M165" s="53" t="s">
        <v>527</v>
      </c>
      <c r="N165" s="54" t="s">
        <v>395</v>
      </c>
      <c r="O165" s="55" t="s">
        <v>395</v>
      </c>
      <c r="P165" s="11" t="s">
        <v>414</v>
      </c>
      <c r="Q165" s="12" t="s">
        <v>410</v>
      </c>
      <c r="R165" s="10" t="s">
        <v>365</v>
      </c>
      <c r="S165" s="10" t="s">
        <v>402</v>
      </c>
      <c r="T165" s="12">
        <v>1670.77</v>
      </c>
      <c r="U165" s="12">
        <v>1</v>
      </c>
      <c r="V165" s="12" t="s">
        <v>432</v>
      </c>
      <c r="W165" s="12">
        <f t="shared" si="2"/>
        <v>10560</v>
      </c>
      <c r="X165" s="12">
        <v>1604085.39</v>
      </c>
    </row>
    <row r="166" spans="1:24">
      <c r="A166" s="47">
        <v>41803</v>
      </c>
      <c r="B166" s="47">
        <v>23765</v>
      </c>
      <c r="C166" s="47">
        <v>30085</v>
      </c>
      <c r="D166" s="47">
        <v>2410</v>
      </c>
      <c r="E166" s="47">
        <v>5577</v>
      </c>
      <c r="F166" s="47">
        <v>9320</v>
      </c>
      <c r="G166" s="47">
        <v>-4592</v>
      </c>
      <c r="H166" s="47">
        <v>23548</v>
      </c>
      <c r="I166" s="47">
        <v>5987</v>
      </c>
      <c r="J166" s="47">
        <v>-742</v>
      </c>
      <c r="K166" s="47">
        <v>16421</v>
      </c>
      <c r="L166" s="47">
        <v>47045</v>
      </c>
      <c r="M166" s="53" t="s">
        <v>527</v>
      </c>
      <c r="N166" s="54" t="s">
        <v>399</v>
      </c>
      <c r="O166" s="55" t="s">
        <v>531</v>
      </c>
      <c r="P166" s="11" t="s">
        <v>415</v>
      </c>
      <c r="Q166" s="12" t="s">
        <v>411</v>
      </c>
      <c r="R166" s="10" t="s">
        <v>366</v>
      </c>
      <c r="S166" s="10" t="s">
        <v>400</v>
      </c>
      <c r="T166" s="12">
        <v>2253.2800000000002</v>
      </c>
      <c r="U166" s="12">
        <v>42</v>
      </c>
      <c r="V166" s="12" t="s">
        <v>433</v>
      </c>
      <c r="W166" s="12">
        <f t="shared" si="2"/>
        <v>10601</v>
      </c>
      <c r="X166" s="12">
        <v>2363362.5</v>
      </c>
    </row>
    <row r="167" spans="1:24">
      <c r="A167" s="47">
        <v>4042</v>
      </c>
      <c r="B167" s="47">
        <v>23516</v>
      </c>
      <c r="C167" s="47">
        <v>41240</v>
      </c>
      <c r="D167" s="47">
        <v>3762</v>
      </c>
      <c r="E167" s="47">
        <v>17364</v>
      </c>
      <c r="F167" s="47">
        <v>27051</v>
      </c>
      <c r="G167" s="47">
        <v>4572</v>
      </c>
      <c r="H167" s="47">
        <v>18465</v>
      </c>
      <c r="I167" s="47">
        <v>3534</v>
      </c>
      <c r="J167" s="47">
        <v>-7336</v>
      </c>
      <c r="K167" s="47">
        <v>12530</v>
      </c>
      <c r="L167" s="47">
        <v>5969</v>
      </c>
      <c r="M167" s="53" t="s">
        <v>527</v>
      </c>
      <c r="N167" s="54" t="s">
        <v>397</v>
      </c>
      <c r="O167" s="55" t="s">
        <v>529</v>
      </c>
      <c r="P167" s="11" t="s">
        <v>415</v>
      </c>
      <c r="Q167" s="12" t="s">
        <v>411</v>
      </c>
      <c r="R167" s="10" t="s">
        <v>367</v>
      </c>
      <c r="S167" s="10" t="s">
        <v>401</v>
      </c>
      <c r="T167" s="12">
        <v>2160.6999999999998</v>
      </c>
      <c r="U167" s="12">
        <v>29</v>
      </c>
      <c r="V167" s="12" t="s">
        <v>434</v>
      </c>
      <c r="W167" s="12">
        <f t="shared" si="2"/>
        <v>10588</v>
      </c>
      <c r="X167" s="12">
        <v>3136262.44</v>
      </c>
    </row>
    <row r="168" spans="1:24">
      <c r="A168" s="47">
        <v>41202</v>
      </c>
      <c r="B168" s="47">
        <v>26647</v>
      </c>
      <c r="C168" s="47">
        <v>24446</v>
      </c>
      <c r="D168" s="47">
        <v>40110</v>
      </c>
      <c r="E168" s="47">
        <v>6622</v>
      </c>
      <c r="F168" s="47">
        <v>42942</v>
      </c>
      <c r="G168" s="47">
        <v>-4716</v>
      </c>
      <c r="H168" s="47">
        <v>24046</v>
      </c>
      <c r="I168" s="47">
        <v>20369</v>
      </c>
      <c r="J168" s="47">
        <v>2705</v>
      </c>
      <c r="K168" s="47">
        <v>12327</v>
      </c>
      <c r="L168" s="47">
        <v>34505</v>
      </c>
      <c r="M168" s="53" t="s">
        <v>527</v>
      </c>
      <c r="N168" s="54" t="s">
        <v>396</v>
      </c>
      <c r="O168" s="55" t="s">
        <v>528</v>
      </c>
      <c r="P168" s="11" t="s">
        <v>416</v>
      </c>
      <c r="Q168" s="12" t="s">
        <v>409</v>
      </c>
      <c r="R168" s="10" t="s">
        <v>368</v>
      </c>
      <c r="S168" s="10" t="s">
        <v>400</v>
      </c>
      <c r="T168" s="12">
        <v>1587.64</v>
      </c>
      <c r="U168" s="12">
        <v>71</v>
      </c>
      <c r="V168" s="12" t="s">
        <v>435</v>
      </c>
      <c r="W168" s="12">
        <f t="shared" si="2"/>
        <v>10630</v>
      </c>
      <c r="X168" s="12">
        <v>2712210.4</v>
      </c>
    </row>
    <row r="169" spans="1:24">
      <c r="A169" s="47">
        <v>36273</v>
      </c>
      <c r="B169" s="47">
        <v>15980</v>
      </c>
      <c r="C169" s="47">
        <v>35633</v>
      </c>
      <c r="D169" s="47">
        <v>24418</v>
      </c>
      <c r="E169" s="47">
        <v>26181</v>
      </c>
      <c r="F169" s="47">
        <v>16332</v>
      </c>
      <c r="G169" s="47">
        <v>4995</v>
      </c>
      <c r="H169" s="47">
        <v>31791</v>
      </c>
      <c r="I169" s="47">
        <v>1955</v>
      </c>
      <c r="J169" s="47">
        <v>30013</v>
      </c>
      <c r="K169" s="47">
        <v>36284</v>
      </c>
      <c r="L169" s="47">
        <v>282</v>
      </c>
      <c r="M169" s="53" t="s">
        <v>527</v>
      </c>
      <c r="N169" s="54" t="s">
        <v>396</v>
      </c>
      <c r="O169" s="55" t="s">
        <v>528</v>
      </c>
      <c r="P169" s="11" t="s">
        <v>415</v>
      </c>
      <c r="Q169" s="12" t="s">
        <v>411</v>
      </c>
      <c r="R169" s="10" t="s">
        <v>354</v>
      </c>
      <c r="S169" s="10" t="s">
        <v>400</v>
      </c>
      <c r="T169" s="12">
        <v>2476.06</v>
      </c>
      <c r="U169" s="12">
        <v>5</v>
      </c>
      <c r="V169" s="12" t="s">
        <v>434</v>
      </c>
      <c r="W169" s="12">
        <f t="shared" si="2"/>
        <v>10564</v>
      </c>
      <c r="X169" s="12">
        <v>2522199.58</v>
      </c>
    </row>
    <row r="170" spans="1:24">
      <c r="A170" s="47">
        <v>16554</v>
      </c>
      <c r="B170" s="47">
        <v>-2974</v>
      </c>
      <c r="C170" s="47">
        <v>15777</v>
      </c>
      <c r="D170" s="47">
        <v>33669</v>
      </c>
      <c r="E170" s="47">
        <v>1213</v>
      </c>
      <c r="F170" s="47">
        <v>21175</v>
      </c>
      <c r="G170" s="47">
        <v>29610</v>
      </c>
      <c r="H170" s="47">
        <v>23405</v>
      </c>
      <c r="I170" s="47">
        <v>27488</v>
      </c>
      <c r="J170" s="47">
        <v>20976</v>
      </c>
      <c r="K170" s="47">
        <v>34814</v>
      </c>
      <c r="L170" s="47">
        <v>39783</v>
      </c>
      <c r="M170" s="53" t="s">
        <v>527</v>
      </c>
      <c r="N170" s="54" t="s">
        <v>398</v>
      </c>
      <c r="O170" s="55" t="s">
        <v>530</v>
      </c>
      <c r="P170" s="11" t="s">
        <v>416</v>
      </c>
      <c r="Q170" s="12" t="s">
        <v>408</v>
      </c>
      <c r="R170" s="10" t="s">
        <v>369</v>
      </c>
      <c r="S170" s="10" t="s">
        <v>401</v>
      </c>
      <c r="T170" s="12">
        <v>1321.04</v>
      </c>
      <c r="U170" s="12">
        <v>64</v>
      </c>
      <c r="V170" s="12" t="s">
        <v>435</v>
      </c>
      <c r="W170" s="12">
        <f t="shared" si="2"/>
        <v>10623</v>
      </c>
      <c r="X170" s="12">
        <v>3150497.43</v>
      </c>
    </row>
    <row r="171" spans="1:24">
      <c r="A171" s="47">
        <v>36181</v>
      </c>
      <c r="B171" s="47">
        <v>14657</v>
      </c>
      <c r="C171" s="47">
        <v>44060</v>
      </c>
      <c r="D171" s="47">
        <v>12689</v>
      </c>
      <c r="E171" s="47">
        <v>30884</v>
      </c>
      <c r="F171" s="47">
        <v>27379</v>
      </c>
      <c r="G171" s="47">
        <v>15962</v>
      </c>
      <c r="H171" s="47">
        <v>27954</v>
      </c>
      <c r="I171" s="47">
        <v>23740</v>
      </c>
      <c r="J171" s="47">
        <v>-5539</v>
      </c>
      <c r="K171" s="47">
        <v>36445</v>
      </c>
      <c r="L171" s="47">
        <v>18782</v>
      </c>
      <c r="M171" s="53" t="s">
        <v>527</v>
      </c>
      <c r="N171" s="54" t="s">
        <v>399</v>
      </c>
      <c r="O171" s="55" t="s">
        <v>531</v>
      </c>
      <c r="P171" s="11" t="s">
        <v>416</v>
      </c>
      <c r="Q171" s="12" t="s">
        <v>408</v>
      </c>
      <c r="R171" s="10" t="s">
        <v>370</v>
      </c>
      <c r="S171" s="10" t="s">
        <v>401</v>
      </c>
      <c r="T171" s="12">
        <v>2695.31</v>
      </c>
      <c r="U171" s="12">
        <v>57</v>
      </c>
      <c r="V171" s="12" t="s">
        <v>434</v>
      </c>
      <c r="W171" s="12">
        <f t="shared" si="2"/>
        <v>10616</v>
      </c>
      <c r="X171" s="12">
        <v>1450182.9</v>
      </c>
    </row>
    <row r="172" spans="1:24">
      <c r="A172" s="47">
        <v>20317</v>
      </c>
      <c r="B172" s="47">
        <v>35985</v>
      </c>
      <c r="C172" s="47">
        <v>14748</v>
      </c>
      <c r="D172" s="47">
        <v>20249</v>
      </c>
      <c r="E172" s="47">
        <v>41506</v>
      </c>
      <c r="F172" s="47">
        <v>16053</v>
      </c>
      <c r="G172" s="47">
        <v>9081</v>
      </c>
      <c r="H172" s="47">
        <v>26988</v>
      </c>
      <c r="I172" s="47">
        <v>42750</v>
      </c>
      <c r="J172" s="47">
        <v>-6907</v>
      </c>
      <c r="K172" s="47">
        <v>39256</v>
      </c>
      <c r="L172" s="47">
        <v>18953</v>
      </c>
      <c r="M172" s="53" t="s">
        <v>527</v>
      </c>
      <c r="N172" s="54" t="s">
        <v>397</v>
      </c>
      <c r="O172" s="55" t="s">
        <v>529</v>
      </c>
      <c r="P172" s="11" t="s">
        <v>413</v>
      </c>
      <c r="Q172" s="12" t="s">
        <v>410</v>
      </c>
      <c r="R172" s="10" t="s">
        <v>371</v>
      </c>
      <c r="S172" s="10" t="s">
        <v>401</v>
      </c>
      <c r="T172" s="12">
        <v>260.27999999999997</v>
      </c>
      <c r="U172" s="12">
        <v>6</v>
      </c>
      <c r="V172" s="12" t="s">
        <v>432</v>
      </c>
      <c r="W172" s="12">
        <f t="shared" si="2"/>
        <v>10565</v>
      </c>
      <c r="X172" s="12">
        <v>3022562.76</v>
      </c>
    </row>
    <row r="173" spans="1:24">
      <c r="A173" s="47">
        <v>41435</v>
      </c>
      <c r="B173" s="47">
        <v>22128</v>
      </c>
      <c r="C173" s="47">
        <v>9049</v>
      </c>
      <c r="D173" s="47">
        <v>41323</v>
      </c>
      <c r="E173" s="47">
        <v>30788</v>
      </c>
      <c r="F173" s="47">
        <v>1276</v>
      </c>
      <c r="G173" s="47">
        <v>7911</v>
      </c>
      <c r="H173" s="47">
        <v>7441</v>
      </c>
      <c r="I173" s="47">
        <v>25771</v>
      </c>
      <c r="J173" s="47">
        <v>1136</v>
      </c>
      <c r="K173" s="47">
        <v>38900</v>
      </c>
      <c r="L173" s="47">
        <v>35173</v>
      </c>
      <c r="M173" s="53" t="s">
        <v>527</v>
      </c>
      <c r="N173" s="54" t="s">
        <v>398</v>
      </c>
      <c r="O173" s="55" t="s">
        <v>530</v>
      </c>
      <c r="P173" s="11" t="s">
        <v>416</v>
      </c>
      <c r="Q173" s="12" t="s">
        <v>410</v>
      </c>
      <c r="R173" s="10" t="s">
        <v>372</v>
      </c>
      <c r="S173" s="10" t="s">
        <v>402</v>
      </c>
      <c r="T173" s="12">
        <v>2866.25</v>
      </c>
      <c r="U173" s="12">
        <v>98</v>
      </c>
      <c r="V173" s="12" t="s">
        <v>432</v>
      </c>
      <c r="W173" s="12">
        <f t="shared" si="2"/>
        <v>10657</v>
      </c>
      <c r="X173" s="12">
        <v>2707271.72</v>
      </c>
    </row>
    <row r="174" spans="1:24">
      <c r="A174" s="47">
        <v>45326</v>
      </c>
      <c r="B174" s="47">
        <v>37913</v>
      </c>
      <c r="C174" s="47">
        <v>21222</v>
      </c>
      <c r="D174" s="47">
        <v>17291</v>
      </c>
      <c r="E174" s="47">
        <v>13261</v>
      </c>
      <c r="F174" s="47">
        <v>5286</v>
      </c>
      <c r="G174" s="47">
        <v>-459</v>
      </c>
      <c r="H174" s="47">
        <v>34098</v>
      </c>
      <c r="I174" s="47">
        <v>22069</v>
      </c>
      <c r="J174" s="47">
        <v>18588</v>
      </c>
      <c r="K174" s="47">
        <v>31109</v>
      </c>
      <c r="L174" s="47">
        <v>26695</v>
      </c>
      <c r="M174" s="53" t="s">
        <v>527</v>
      </c>
      <c r="N174" s="54" t="s">
        <v>395</v>
      </c>
      <c r="O174" s="55" t="s">
        <v>395</v>
      </c>
      <c r="P174" s="11" t="s">
        <v>416</v>
      </c>
      <c r="Q174" s="12" t="s">
        <v>411</v>
      </c>
      <c r="R174" s="10" t="s">
        <v>373</v>
      </c>
      <c r="S174" s="10" t="s">
        <v>403</v>
      </c>
      <c r="T174" s="12">
        <v>1981.34</v>
      </c>
      <c r="U174" s="12">
        <v>66</v>
      </c>
      <c r="V174" s="12" t="s">
        <v>433</v>
      </c>
      <c r="W174" s="12">
        <f t="shared" si="2"/>
        <v>10625</v>
      </c>
      <c r="X174" s="12">
        <v>3184816.45</v>
      </c>
    </row>
    <row r="175" spans="1:24">
      <c r="A175" s="47">
        <v>13992</v>
      </c>
      <c r="B175" s="47">
        <v>166</v>
      </c>
      <c r="C175" s="47">
        <v>10651</v>
      </c>
      <c r="D175" s="47">
        <v>-2842</v>
      </c>
      <c r="E175" s="47">
        <v>36138</v>
      </c>
      <c r="F175" s="47">
        <v>21927</v>
      </c>
      <c r="G175" s="47">
        <v>14465</v>
      </c>
      <c r="H175" s="47">
        <v>19425</v>
      </c>
      <c r="I175" s="47">
        <v>36810</v>
      </c>
      <c r="J175" s="47">
        <v>34377</v>
      </c>
      <c r="K175" s="47">
        <v>12251</v>
      </c>
      <c r="L175" s="47">
        <v>24645</v>
      </c>
      <c r="M175" s="53" t="s">
        <v>527</v>
      </c>
      <c r="N175" s="54" t="s">
        <v>398</v>
      </c>
      <c r="O175" s="55" t="s">
        <v>530</v>
      </c>
      <c r="P175" s="11" t="s">
        <v>413</v>
      </c>
      <c r="Q175" s="12" t="s">
        <v>409</v>
      </c>
      <c r="R175" s="10" t="s">
        <v>374</v>
      </c>
      <c r="S175" s="10" t="s">
        <v>402</v>
      </c>
      <c r="T175" s="12">
        <v>1171.22</v>
      </c>
      <c r="U175" s="12">
        <v>32</v>
      </c>
      <c r="V175" s="12" t="s">
        <v>433</v>
      </c>
      <c r="W175" s="12">
        <f t="shared" si="2"/>
        <v>10591</v>
      </c>
      <c r="X175" s="12">
        <v>3224042.88</v>
      </c>
    </row>
    <row r="176" spans="1:24">
      <c r="A176" s="47">
        <v>21730</v>
      </c>
      <c r="B176" s="47">
        <v>18543</v>
      </c>
      <c r="C176" s="47">
        <v>5808</v>
      </c>
      <c r="D176" s="47">
        <v>-4509</v>
      </c>
      <c r="E176" s="47">
        <v>26161</v>
      </c>
      <c r="F176" s="47">
        <v>8835</v>
      </c>
      <c r="G176" s="47">
        <v>-998</v>
      </c>
      <c r="H176" s="47">
        <v>981</v>
      </c>
      <c r="I176" s="47">
        <v>28149</v>
      </c>
      <c r="J176" s="47">
        <v>32443</v>
      </c>
      <c r="K176" s="47">
        <v>3720</v>
      </c>
      <c r="L176" s="47">
        <v>20398</v>
      </c>
      <c r="M176" s="53" t="s">
        <v>527</v>
      </c>
      <c r="N176" s="54" t="s">
        <v>398</v>
      </c>
      <c r="O176" s="55" t="s">
        <v>530</v>
      </c>
      <c r="P176" s="11" t="s">
        <v>413</v>
      </c>
      <c r="Q176" s="12" t="s">
        <v>411</v>
      </c>
      <c r="R176" s="10" t="s">
        <v>327</v>
      </c>
      <c r="S176" s="10" t="s">
        <v>403</v>
      </c>
      <c r="T176" s="12">
        <v>631.6</v>
      </c>
      <c r="U176" s="12">
        <v>8</v>
      </c>
      <c r="V176" s="12" t="s">
        <v>434</v>
      </c>
      <c r="W176" s="12">
        <f t="shared" si="2"/>
        <v>10567</v>
      </c>
      <c r="X176" s="12">
        <v>2743555.7</v>
      </c>
    </row>
    <row r="177" spans="1:24">
      <c r="A177" s="47">
        <v>5867</v>
      </c>
      <c r="B177" s="47">
        <v>5732</v>
      </c>
      <c r="C177" s="47">
        <v>44152</v>
      </c>
      <c r="D177" s="47">
        <v>31538</v>
      </c>
      <c r="E177" s="47">
        <v>12399</v>
      </c>
      <c r="F177" s="47">
        <v>22062</v>
      </c>
      <c r="G177" s="47">
        <v>-2482</v>
      </c>
      <c r="H177" s="47">
        <v>24334</v>
      </c>
      <c r="I177" s="47">
        <v>1128</v>
      </c>
      <c r="J177" s="47">
        <v>25279</v>
      </c>
      <c r="K177" s="47">
        <v>5577</v>
      </c>
      <c r="L177" s="47">
        <v>22391</v>
      </c>
      <c r="M177" s="53" t="s">
        <v>527</v>
      </c>
      <c r="N177" s="54" t="s">
        <v>399</v>
      </c>
      <c r="O177" s="55" t="s">
        <v>531</v>
      </c>
      <c r="P177" s="11" t="s">
        <v>416</v>
      </c>
      <c r="Q177" s="12" t="s">
        <v>411</v>
      </c>
      <c r="R177" s="10" t="s">
        <v>375</v>
      </c>
      <c r="S177" s="10" t="s">
        <v>402</v>
      </c>
      <c r="T177" s="12">
        <v>1463.59</v>
      </c>
      <c r="U177" s="12">
        <v>95</v>
      </c>
      <c r="V177" s="12" t="s">
        <v>432</v>
      </c>
      <c r="W177" s="12">
        <f t="shared" si="2"/>
        <v>10654</v>
      </c>
      <c r="X177" s="12">
        <v>1601346.32</v>
      </c>
    </row>
    <row r="178" spans="1:24">
      <c r="A178" s="47">
        <v>38738</v>
      </c>
      <c r="B178" s="47">
        <v>15993</v>
      </c>
      <c r="C178" s="47">
        <v>23995</v>
      </c>
      <c r="D178" s="47">
        <v>33283</v>
      </c>
      <c r="E178" s="47">
        <v>30200</v>
      </c>
      <c r="F178" s="47">
        <v>16136</v>
      </c>
      <c r="G178" s="47">
        <v>37195</v>
      </c>
      <c r="H178" s="47">
        <v>-7782</v>
      </c>
      <c r="I178" s="47">
        <v>4274</v>
      </c>
      <c r="J178" s="47">
        <v>23495</v>
      </c>
      <c r="K178" s="47">
        <v>-1064</v>
      </c>
      <c r="L178" s="47">
        <v>19333</v>
      </c>
      <c r="M178" s="53" t="s">
        <v>527</v>
      </c>
      <c r="N178" s="54" t="s">
        <v>395</v>
      </c>
      <c r="O178" s="55" t="s">
        <v>395</v>
      </c>
      <c r="P178" s="11" t="s">
        <v>416</v>
      </c>
      <c r="Q178" s="12" t="s">
        <v>411</v>
      </c>
      <c r="R178" s="10" t="s">
        <v>376</v>
      </c>
      <c r="S178" s="10" t="s">
        <v>403</v>
      </c>
      <c r="T178" s="12">
        <v>623.95000000000005</v>
      </c>
      <c r="U178" s="12">
        <v>56</v>
      </c>
      <c r="V178" s="12" t="s">
        <v>434</v>
      </c>
      <c r="W178" s="12">
        <f t="shared" si="2"/>
        <v>10615</v>
      </c>
      <c r="X178" s="12">
        <v>2862671.45</v>
      </c>
    </row>
    <row r="179" spans="1:24">
      <c r="A179" s="47">
        <v>13961</v>
      </c>
      <c r="B179" s="47">
        <v>-3531</v>
      </c>
      <c r="C179" s="47">
        <v>6621</v>
      </c>
      <c r="D179" s="47">
        <v>9812</v>
      </c>
      <c r="E179" s="47">
        <v>38567</v>
      </c>
      <c r="F179" s="47">
        <v>13573</v>
      </c>
      <c r="G179" s="47">
        <v>21469</v>
      </c>
      <c r="H179" s="47">
        <v>19244</v>
      </c>
      <c r="I179" s="47">
        <v>106</v>
      </c>
      <c r="J179" s="47">
        <v>30259</v>
      </c>
      <c r="K179" s="47">
        <v>39307</v>
      </c>
      <c r="L179" s="47">
        <v>-171</v>
      </c>
      <c r="M179" s="53" t="s">
        <v>527</v>
      </c>
      <c r="N179" s="54" t="s">
        <v>398</v>
      </c>
      <c r="O179" s="55" t="s">
        <v>530</v>
      </c>
      <c r="P179" s="11" t="s">
        <v>415</v>
      </c>
      <c r="Q179" s="12" t="s">
        <v>411</v>
      </c>
      <c r="R179" s="10" t="s">
        <v>377</v>
      </c>
      <c r="S179" s="10" t="s">
        <v>402</v>
      </c>
      <c r="T179" s="12">
        <v>540.67999999999995</v>
      </c>
      <c r="U179" s="12">
        <v>40</v>
      </c>
      <c r="V179" s="12" t="s">
        <v>435</v>
      </c>
      <c r="W179" s="12">
        <f t="shared" si="2"/>
        <v>10599</v>
      </c>
      <c r="X179" s="12">
        <v>1406234.41</v>
      </c>
    </row>
    <row r="180" spans="1:24">
      <c r="A180" s="47">
        <v>22638</v>
      </c>
      <c r="B180" s="47">
        <v>37335</v>
      </c>
      <c r="C180" s="47">
        <v>21566</v>
      </c>
      <c r="D180" s="47">
        <v>-3535</v>
      </c>
      <c r="E180" s="47">
        <v>31258</v>
      </c>
      <c r="F180" s="47">
        <v>44700</v>
      </c>
      <c r="G180" s="47">
        <v>39057</v>
      </c>
      <c r="H180" s="47">
        <v>23832</v>
      </c>
      <c r="I180" s="47">
        <v>10167</v>
      </c>
      <c r="J180" s="47">
        <v>1151</v>
      </c>
      <c r="K180" s="47">
        <v>44782</v>
      </c>
      <c r="L180" s="47">
        <v>1505</v>
      </c>
      <c r="M180" s="53" t="s">
        <v>527</v>
      </c>
      <c r="N180" s="54" t="s">
        <v>397</v>
      </c>
      <c r="O180" s="55" t="s">
        <v>529</v>
      </c>
      <c r="P180" s="11" t="s">
        <v>416</v>
      </c>
      <c r="Q180" s="12" t="s">
        <v>408</v>
      </c>
      <c r="R180" s="10" t="s">
        <v>378</v>
      </c>
      <c r="S180" s="10" t="s">
        <v>401</v>
      </c>
      <c r="T180" s="12">
        <v>1871.19</v>
      </c>
      <c r="U180" s="12">
        <v>51</v>
      </c>
      <c r="V180" s="12" t="s">
        <v>435</v>
      </c>
      <c r="W180" s="12">
        <f t="shared" si="2"/>
        <v>10610</v>
      </c>
      <c r="X180" s="12">
        <v>3269508.66</v>
      </c>
    </row>
    <row r="181" spans="1:24">
      <c r="A181" s="47">
        <v>15063</v>
      </c>
      <c r="B181" s="47">
        <v>3717</v>
      </c>
      <c r="C181" s="47">
        <v>30826</v>
      </c>
      <c r="D181" s="47">
        <v>12273</v>
      </c>
      <c r="E181" s="47">
        <v>-602</v>
      </c>
      <c r="F181" s="47">
        <v>15413</v>
      </c>
      <c r="G181" s="47">
        <v>38274</v>
      </c>
      <c r="H181" s="47">
        <v>539</v>
      </c>
      <c r="I181" s="47">
        <v>40774</v>
      </c>
      <c r="J181" s="47">
        <v>34300</v>
      </c>
      <c r="K181" s="47">
        <v>-221</v>
      </c>
      <c r="L181" s="47">
        <v>24713</v>
      </c>
      <c r="M181" s="53" t="s">
        <v>527</v>
      </c>
      <c r="N181" s="54" t="s">
        <v>397</v>
      </c>
      <c r="O181" s="55" t="s">
        <v>529</v>
      </c>
      <c r="P181" s="11" t="s">
        <v>415</v>
      </c>
      <c r="Q181" s="12" t="s">
        <v>409</v>
      </c>
      <c r="R181" s="10" t="s">
        <v>379</v>
      </c>
      <c r="S181" s="10" t="s">
        <v>400</v>
      </c>
      <c r="T181" s="12">
        <v>1593.1</v>
      </c>
      <c r="U181" s="12">
        <v>56</v>
      </c>
      <c r="V181" s="12" t="s">
        <v>432</v>
      </c>
      <c r="W181" s="12">
        <f t="shared" si="2"/>
        <v>10615</v>
      </c>
      <c r="X181" s="12">
        <v>3281278.27</v>
      </c>
    </row>
    <row r="182" spans="1:24">
      <c r="A182" s="47">
        <v>27743</v>
      </c>
      <c r="B182" s="47">
        <v>32368</v>
      </c>
      <c r="C182" s="47">
        <v>11699</v>
      </c>
      <c r="D182" s="47">
        <v>1956</v>
      </c>
      <c r="E182" s="47">
        <v>3925</v>
      </c>
      <c r="F182" s="47">
        <v>4419</v>
      </c>
      <c r="G182" s="47">
        <v>13830</v>
      </c>
      <c r="H182" s="47">
        <v>10700</v>
      </c>
      <c r="I182" s="47">
        <v>35454</v>
      </c>
      <c r="J182" s="47">
        <v>17656</v>
      </c>
      <c r="K182" s="47">
        <v>2010</v>
      </c>
      <c r="L182" s="47">
        <v>43660</v>
      </c>
      <c r="M182" s="53" t="s">
        <v>527</v>
      </c>
      <c r="N182" s="54" t="s">
        <v>396</v>
      </c>
      <c r="O182" s="55" t="s">
        <v>528</v>
      </c>
      <c r="P182" s="11" t="s">
        <v>416</v>
      </c>
      <c r="Q182" s="12" t="s">
        <v>408</v>
      </c>
      <c r="R182" s="10" t="s">
        <v>380</v>
      </c>
      <c r="S182" s="10" t="s">
        <v>402</v>
      </c>
      <c r="T182" s="12">
        <v>2026.78</v>
      </c>
      <c r="U182" s="12">
        <v>7</v>
      </c>
      <c r="V182" s="12" t="s">
        <v>434</v>
      </c>
      <c r="W182" s="12">
        <f t="shared" si="2"/>
        <v>10566</v>
      </c>
      <c r="X182" s="12">
        <v>1930799.81</v>
      </c>
    </row>
    <row r="183" spans="1:24">
      <c r="A183" s="47">
        <v>24305</v>
      </c>
      <c r="B183" s="47">
        <v>10856</v>
      </c>
      <c r="C183" s="47">
        <v>33783</v>
      </c>
      <c r="D183" s="47">
        <v>7689</v>
      </c>
      <c r="E183" s="47">
        <v>13733</v>
      </c>
      <c r="F183" s="47">
        <v>1983</v>
      </c>
      <c r="G183" s="47">
        <v>35375</v>
      </c>
      <c r="H183" s="47">
        <v>35773</v>
      </c>
      <c r="I183" s="47">
        <v>14980</v>
      </c>
      <c r="J183" s="47">
        <v>38637</v>
      </c>
      <c r="K183" s="47">
        <v>23702</v>
      </c>
      <c r="L183" s="47">
        <v>32434</v>
      </c>
      <c r="M183" s="53" t="s">
        <v>527</v>
      </c>
      <c r="N183" s="54" t="s">
        <v>395</v>
      </c>
      <c r="O183" s="55" t="s">
        <v>395</v>
      </c>
      <c r="P183" s="11" t="s">
        <v>413</v>
      </c>
      <c r="Q183" s="12" t="s">
        <v>409</v>
      </c>
      <c r="R183" s="10" t="s">
        <v>381</v>
      </c>
      <c r="S183" s="10" t="s">
        <v>403</v>
      </c>
      <c r="T183" s="12">
        <v>2792.34</v>
      </c>
      <c r="U183" s="12">
        <v>54</v>
      </c>
      <c r="V183" s="12" t="s">
        <v>434</v>
      </c>
      <c r="W183" s="12">
        <f t="shared" si="2"/>
        <v>10613</v>
      </c>
      <c r="X183" s="12">
        <v>3356656.76</v>
      </c>
    </row>
    <row r="184" spans="1:24">
      <c r="A184" s="47">
        <v>44656</v>
      </c>
      <c r="B184" s="47">
        <v>-3203</v>
      </c>
      <c r="C184" s="47">
        <v>4243</v>
      </c>
      <c r="D184" s="47">
        <v>21238</v>
      </c>
      <c r="E184" s="47">
        <v>9515</v>
      </c>
      <c r="F184" s="47">
        <v>17791</v>
      </c>
      <c r="G184" s="47">
        <v>-6359</v>
      </c>
      <c r="H184" s="47">
        <v>4411</v>
      </c>
      <c r="I184" s="47">
        <v>8856</v>
      </c>
      <c r="J184" s="47">
        <v>245</v>
      </c>
      <c r="K184" s="47">
        <v>25974</v>
      </c>
      <c r="L184" s="47">
        <v>45374</v>
      </c>
      <c r="M184" s="53" t="s">
        <v>527</v>
      </c>
      <c r="N184" s="54" t="s">
        <v>395</v>
      </c>
      <c r="O184" s="55" t="s">
        <v>395</v>
      </c>
      <c r="P184" s="11" t="s">
        <v>414</v>
      </c>
      <c r="Q184" s="12" t="s">
        <v>410</v>
      </c>
      <c r="R184" s="10" t="s">
        <v>382</v>
      </c>
      <c r="S184" s="10" t="s">
        <v>401</v>
      </c>
      <c r="T184" s="12">
        <v>1620.17</v>
      </c>
      <c r="U184" s="12">
        <v>84</v>
      </c>
      <c r="V184" s="12" t="s">
        <v>433</v>
      </c>
      <c r="W184" s="12">
        <f t="shared" si="2"/>
        <v>10643</v>
      </c>
      <c r="X184" s="12">
        <v>1989218.51</v>
      </c>
    </row>
    <row r="185" spans="1:24">
      <c r="A185" s="47">
        <v>34673</v>
      </c>
      <c r="B185" s="47">
        <v>37424</v>
      </c>
      <c r="C185" s="47">
        <v>28409</v>
      </c>
      <c r="D185" s="47">
        <v>2091</v>
      </c>
      <c r="E185" s="47">
        <v>37319</v>
      </c>
      <c r="F185" s="47">
        <v>44458</v>
      </c>
      <c r="G185" s="47">
        <v>8736</v>
      </c>
      <c r="H185" s="47">
        <v>-4077</v>
      </c>
      <c r="I185" s="47">
        <v>29695</v>
      </c>
      <c r="J185" s="47">
        <v>30559</v>
      </c>
      <c r="K185" s="47">
        <v>5477</v>
      </c>
      <c r="L185" s="47">
        <v>35464</v>
      </c>
      <c r="M185" s="53" t="s">
        <v>527</v>
      </c>
      <c r="N185" s="54" t="s">
        <v>396</v>
      </c>
      <c r="O185" s="55" t="s">
        <v>528</v>
      </c>
      <c r="P185" s="11" t="s">
        <v>414</v>
      </c>
      <c r="Q185" s="12" t="s">
        <v>411</v>
      </c>
      <c r="R185" s="10" t="s">
        <v>383</v>
      </c>
      <c r="S185" s="10" t="s">
        <v>402</v>
      </c>
      <c r="T185" s="12">
        <v>1763.75</v>
      </c>
      <c r="U185" s="12">
        <v>88</v>
      </c>
      <c r="V185" s="12" t="s">
        <v>435</v>
      </c>
      <c r="W185" s="12">
        <f t="shared" si="2"/>
        <v>10647</v>
      </c>
      <c r="X185" s="12">
        <v>1546827.1</v>
      </c>
    </row>
    <row r="186" spans="1:24">
      <c r="A186" s="47">
        <v>35284</v>
      </c>
      <c r="B186" s="47">
        <v>35951</v>
      </c>
      <c r="C186" s="47">
        <v>35987</v>
      </c>
      <c r="D186" s="47">
        <v>7389</v>
      </c>
      <c r="E186" s="47">
        <v>8929</v>
      </c>
      <c r="F186" s="47">
        <v>33774</v>
      </c>
      <c r="G186" s="47">
        <v>13294</v>
      </c>
      <c r="H186" s="47">
        <v>15182</v>
      </c>
      <c r="I186" s="47">
        <v>1816</v>
      </c>
      <c r="J186" s="47">
        <v>10909</v>
      </c>
      <c r="K186" s="47">
        <v>6067</v>
      </c>
      <c r="L186" s="47">
        <v>39402</v>
      </c>
      <c r="M186" s="53" t="s">
        <v>527</v>
      </c>
      <c r="N186" s="54" t="s">
        <v>398</v>
      </c>
      <c r="O186" s="55" t="s">
        <v>530</v>
      </c>
      <c r="P186" s="11" t="s">
        <v>414</v>
      </c>
      <c r="Q186" s="12" t="s">
        <v>408</v>
      </c>
      <c r="R186" s="10" t="s">
        <v>384</v>
      </c>
      <c r="S186" s="10" t="s">
        <v>402</v>
      </c>
      <c r="T186" s="12">
        <v>314.39999999999998</v>
      </c>
      <c r="U186" s="12">
        <v>37</v>
      </c>
      <c r="V186" s="12" t="s">
        <v>432</v>
      </c>
      <c r="W186" s="12">
        <f t="shared" si="2"/>
        <v>10596</v>
      </c>
      <c r="X186" s="12">
        <v>3189286.03</v>
      </c>
    </row>
    <row r="187" spans="1:24">
      <c r="A187" s="47">
        <v>10657</v>
      </c>
      <c r="B187" s="47">
        <v>17374</v>
      </c>
      <c r="C187" s="47">
        <v>8932</v>
      </c>
      <c r="D187" s="47">
        <v>29560</v>
      </c>
      <c r="E187" s="47">
        <v>19347</v>
      </c>
      <c r="F187" s="47">
        <v>36508</v>
      </c>
      <c r="G187" s="47">
        <v>-7902</v>
      </c>
      <c r="H187" s="47">
        <v>15860</v>
      </c>
      <c r="I187" s="47">
        <v>40577</v>
      </c>
      <c r="J187" s="47">
        <v>2631</v>
      </c>
      <c r="K187" s="47">
        <v>41433</v>
      </c>
      <c r="L187" s="47">
        <v>38414</v>
      </c>
      <c r="M187" s="53" t="s">
        <v>527</v>
      </c>
      <c r="N187" s="54" t="s">
        <v>395</v>
      </c>
      <c r="O187" s="55" t="s">
        <v>395</v>
      </c>
      <c r="P187" s="11" t="s">
        <v>416</v>
      </c>
      <c r="Q187" s="12" t="s">
        <v>409</v>
      </c>
      <c r="R187" s="10" t="s">
        <v>385</v>
      </c>
      <c r="S187" s="10" t="s">
        <v>401</v>
      </c>
      <c r="T187" s="12">
        <v>2167.0300000000002</v>
      </c>
      <c r="U187" s="12">
        <v>70</v>
      </c>
      <c r="V187" s="12" t="s">
        <v>435</v>
      </c>
      <c r="W187" s="12">
        <f t="shared" si="2"/>
        <v>10629</v>
      </c>
      <c r="X187" s="12">
        <v>2228318.96</v>
      </c>
    </row>
    <row r="188" spans="1:24">
      <c r="A188" s="47">
        <v>43446</v>
      </c>
      <c r="B188" s="47">
        <v>17074</v>
      </c>
      <c r="C188" s="47">
        <v>42555</v>
      </c>
      <c r="D188" s="47">
        <v>22453</v>
      </c>
      <c r="E188" s="47">
        <v>13700</v>
      </c>
      <c r="F188" s="47">
        <v>9552</v>
      </c>
      <c r="G188" s="47">
        <v>-7147</v>
      </c>
      <c r="H188" s="47">
        <v>38845</v>
      </c>
      <c r="I188" s="47">
        <v>21324</v>
      </c>
      <c r="J188" s="47">
        <v>6514</v>
      </c>
      <c r="K188" s="47">
        <v>47123</v>
      </c>
      <c r="L188" s="47">
        <v>2519</v>
      </c>
      <c r="M188" s="53" t="s">
        <v>527</v>
      </c>
      <c r="N188" s="54" t="s">
        <v>397</v>
      </c>
      <c r="O188" s="55" t="s">
        <v>529</v>
      </c>
      <c r="P188" s="11" t="s">
        <v>414</v>
      </c>
      <c r="Q188" s="12" t="s">
        <v>410</v>
      </c>
      <c r="R188" s="10" t="s">
        <v>386</v>
      </c>
      <c r="S188" s="10" t="s">
        <v>402</v>
      </c>
      <c r="T188" s="12">
        <v>1229.72</v>
      </c>
      <c r="U188" s="12">
        <v>22</v>
      </c>
      <c r="V188" s="12" t="s">
        <v>435</v>
      </c>
      <c r="W188" s="12">
        <f t="shared" si="2"/>
        <v>10581</v>
      </c>
      <c r="X188" s="12">
        <v>1266949.67</v>
      </c>
    </row>
    <row r="189" spans="1:24">
      <c r="A189" s="47">
        <v>44197</v>
      </c>
      <c r="B189" s="47">
        <v>26887</v>
      </c>
      <c r="C189" s="47">
        <v>19614</v>
      </c>
      <c r="D189" s="47">
        <v>26853</v>
      </c>
      <c r="E189" s="47">
        <v>5271</v>
      </c>
      <c r="F189" s="47">
        <v>26388</v>
      </c>
      <c r="G189" s="47">
        <v>25673</v>
      </c>
      <c r="H189" s="47">
        <v>12107</v>
      </c>
      <c r="I189" s="47">
        <v>38286</v>
      </c>
      <c r="J189" s="47">
        <v>21218</v>
      </c>
      <c r="K189" s="47">
        <v>32464</v>
      </c>
      <c r="L189" s="47">
        <v>21794</v>
      </c>
      <c r="M189" s="53" t="s">
        <v>527</v>
      </c>
      <c r="N189" s="54" t="s">
        <v>397</v>
      </c>
      <c r="O189" s="55" t="s">
        <v>529</v>
      </c>
      <c r="P189" s="11" t="s">
        <v>413</v>
      </c>
      <c r="Q189" s="12" t="s">
        <v>410</v>
      </c>
      <c r="R189" s="10" t="s">
        <v>265</v>
      </c>
      <c r="S189" s="10" t="s">
        <v>400</v>
      </c>
      <c r="T189" s="12">
        <v>2931.34</v>
      </c>
      <c r="U189" s="12">
        <v>60</v>
      </c>
      <c r="V189" s="12" t="s">
        <v>435</v>
      </c>
      <c r="W189" s="12">
        <f t="shared" si="2"/>
        <v>10619</v>
      </c>
      <c r="X189" s="12">
        <v>1213745.6100000001</v>
      </c>
    </row>
    <row r="190" spans="1:24">
      <c r="A190" s="47">
        <v>40739</v>
      </c>
      <c r="B190" s="47">
        <v>16131</v>
      </c>
      <c r="C190" s="47">
        <v>25693</v>
      </c>
      <c r="D190" s="47">
        <v>25159</v>
      </c>
      <c r="E190" s="47">
        <v>2847</v>
      </c>
      <c r="F190" s="47">
        <v>43368</v>
      </c>
      <c r="G190" s="47">
        <v>26107</v>
      </c>
      <c r="H190" s="47">
        <v>18999</v>
      </c>
      <c r="I190" s="47">
        <v>25725</v>
      </c>
      <c r="J190" s="47">
        <v>5174</v>
      </c>
      <c r="K190" s="47">
        <v>25735</v>
      </c>
      <c r="L190" s="47">
        <v>17282</v>
      </c>
      <c r="M190" s="53" t="s">
        <v>527</v>
      </c>
      <c r="N190" s="54" t="s">
        <v>399</v>
      </c>
      <c r="O190" s="55" t="s">
        <v>531</v>
      </c>
      <c r="P190" s="11" t="s">
        <v>414</v>
      </c>
      <c r="Q190" s="12" t="s">
        <v>411</v>
      </c>
      <c r="R190" s="10" t="s">
        <v>355</v>
      </c>
      <c r="S190" s="10" t="s">
        <v>402</v>
      </c>
      <c r="T190" s="12">
        <v>2478.36</v>
      </c>
      <c r="U190" s="12">
        <v>60</v>
      </c>
      <c r="V190" s="12" t="s">
        <v>434</v>
      </c>
      <c r="W190" s="12">
        <f t="shared" si="2"/>
        <v>10619</v>
      </c>
      <c r="X190" s="12">
        <v>1117579.3</v>
      </c>
    </row>
    <row r="191" spans="1:24">
      <c r="A191" s="47">
        <v>22946</v>
      </c>
      <c r="B191" s="47">
        <v>6816</v>
      </c>
      <c r="C191" s="47">
        <v>2729</v>
      </c>
      <c r="D191" s="47">
        <v>29711</v>
      </c>
      <c r="E191" s="47">
        <v>41875</v>
      </c>
      <c r="F191" s="47">
        <v>3139</v>
      </c>
      <c r="G191" s="47">
        <v>16510</v>
      </c>
      <c r="H191" s="47">
        <v>23647</v>
      </c>
      <c r="I191" s="47">
        <v>16673</v>
      </c>
      <c r="J191" s="47">
        <v>9912</v>
      </c>
      <c r="K191" s="47">
        <v>35522</v>
      </c>
      <c r="L191" s="47">
        <v>12510</v>
      </c>
      <c r="M191" s="53" t="s">
        <v>527</v>
      </c>
      <c r="N191" s="54" t="s">
        <v>395</v>
      </c>
      <c r="O191" s="55" t="s">
        <v>395</v>
      </c>
      <c r="P191" s="11" t="s">
        <v>414</v>
      </c>
      <c r="Q191" s="12" t="s">
        <v>409</v>
      </c>
      <c r="R191" s="10" t="s">
        <v>346</v>
      </c>
      <c r="S191" s="10" t="s">
        <v>400</v>
      </c>
      <c r="T191" s="12">
        <v>1591.32</v>
      </c>
      <c r="U191" s="12">
        <v>54</v>
      </c>
      <c r="V191" s="12" t="s">
        <v>432</v>
      </c>
      <c r="W191" s="12">
        <f t="shared" si="2"/>
        <v>10613</v>
      </c>
      <c r="X191" s="12">
        <v>3147814.54</v>
      </c>
    </row>
    <row r="192" spans="1:24">
      <c r="A192" s="47">
        <v>46332</v>
      </c>
      <c r="B192" s="47">
        <v>-3718</v>
      </c>
      <c r="C192" s="47">
        <v>2489</v>
      </c>
      <c r="D192" s="47">
        <v>24778</v>
      </c>
      <c r="E192" s="47">
        <v>26877</v>
      </c>
      <c r="F192" s="47">
        <v>6774</v>
      </c>
      <c r="G192" s="47">
        <v>22039</v>
      </c>
      <c r="H192" s="47">
        <v>17890</v>
      </c>
      <c r="I192" s="47">
        <v>33263</v>
      </c>
      <c r="J192" s="47">
        <v>25194</v>
      </c>
      <c r="K192" s="47">
        <v>34780</v>
      </c>
      <c r="L192" s="47">
        <v>10834</v>
      </c>
      <c r="M192" s="53" t="s">
        <v>527</v>
      </c>
      <c r="N192" s="54" t="s">
        <v>398</v>
      </c>
      <c r="O192" s="55" t="s">
        <v>530</v>
      </c>
      <c r="P192" s="11" t="s">
        <v>416</v>
      </c>
      <c r="Q192" s="12" t="s">
        <v>408</v>
      </c>
      <c r="R192" s="10" t="s">
        <v>315</v>
      </c>
      <c r="S192" s="10" t="s">
        <v>400</v>
      </c>
      <c r="T192" s="12">
        <v>413.51</v>
      </c>
      <c r="U192" s="12">
        <v>43</v>
      </c>
      <c r="V192" s="12" t="s">
        <v>432</v>
      </c>
      <c r="W192" s="12">
        <f t="shared" si="2"/>
        <v>10602</v>
      </c>
      <c r="X192" s="12">
        <v>1350528.57</v>
      </c>
    </row>
    <row r="193" spans="1:24">
      <c r="A193" s="47">
        <v>31529</v>
      </c>
      <c r="B193" s="47">
        <v>1775</v>
      </c>
      <c r="C193" s="47">
        <v>19509</v>
      </c>
      <c r="D193" s="47">
        <v>21943</v>
      </c>
      <c r="E193" s="47">
        <v>11014</v>
      </c>
      <c r="F193" s="47">
        <v>31979</v>
      </c>
      <c r="G193" s="47">
        <v>2718</v>
      </c>
      <c r="H193" s="47">
        <v>20247</v>
      </c>
      <c r="I193" s="47">
        <v>34606</v>
      </c>
      <c r="J193" s="47">
        <v>15130</v>
      </c>
      <c r="K193" s="47">
        <v>21016</v>
      </c>
      <c r="L193" s="47">
        <v>14256</v>
      </c>
      <c r="M193" s="53" t="s">
        <v>527</v>
      </c>
      <c r="N193" s="54" t="s">
        <v>396</v>
      </c>
      <c r="O193" s="55" t="s">
        <v>528</v>
      </c>
      <c r="P193" s="11" t="s">
        <v>415</v>
      </c>
      <c r="Q193" s="12" t="s">
        <v>411</v>
      </c>
      <c r="R193" s="10" t="s">
        <v>387</v>
      </c>
      <c r="S193" s="10" t="s">
        <v>401</v>
      </c>
      <c r="T193" s="12">
        <v>2585.2800000000002</v>
      </c>
      <c r="U193" s="12">
        <v>11</v>
      </c>
      <c r="V193" s="12" t="s">
        <v>432</v>
      </c>
      <c r="W193" s="12">
        <f t="shared" si="2"/>
        <v>10570</v>
      </c>
      <c r="X193" s="12">
        <v>3494454.41</v>
      </c>
    </row>
    <row r="194" spans="1:24">
      <c r="A194" s="47">
        <v>25828</v>
      </c>
      <c r="B194" s="47">
        <v>4280</v>
      </c>
      <c r="C194" s="47">
        <v>34009</v>
      </c>
      <c r="D194" s="47">
        <v>14660</v>
      </c>
      <c r="E194" s="47">
        <v>33719</v>
      </c>
      <c r="F194" s="47">
        <v>41158</v>
      </c>
      <c r="G194" s="47">
        <v>19411</v>
      </c>
      <c r="H194" s="47">
        <v>30426</v>
      </c>
      <c r="I194" s="47">
        <v>18873</v>
      </c>
      <c r="J194" s="47">
        <v>10237</v>
      </c>
      <c r="K194" s="47">
        <v>40359</v>
      </c>
      <c r="L194" s="47">
        <v>6220</v>
      </c>
      <c r="M194" s="53" t="s">
        <v>527</v>
      </c>
      <c r="N194" s="54" t="s">
        <v>396</v>
      </c>
      <c r="O194" s="55" t="s">
        <v>528</v>
      </c>
      <c r="P194" s="11" t="s">
        <v>413</v>
      </c>
      <c r="Q194" s="12" t="s">
        <v>408</v>
      </c>
      <c r="R194" s="10" t="s">
        <v>388</v>
      </c>
      <c r="S194" s="10" t="s">
        <v>402</v>
      </c>
      <c r="T194" s="12">
        <v>2409.35</v>
      </c>
      <c r="U194" s="12">
        <v>75</v>
      </c>
      <c r="V194" s="12" t="s">
        <v>435</v>
      </c>
      <c r="W194" s="12">
        <f t="shared" si="2"/>
        <v>10634</v>
      </c>
      <c r="X194" s="12">
        <v>3495386.92</v>
      </c>
    </row>
    <row r="195" spans="1:24">
      <c r="A195" s="47">
        <v>13360</v>
      </c>
      <c r="B195" s="47">
        <v>36409</v>
      </c>
      <c r="C195" s="47">
        <v>17989</v>
      </c>
      <c r="D195" s="47">
        <v>-456</v>
      </c>
      <c r="E195" s="47">
        <v>45754</v>
      </c>
      <c r="F195" s="47">
        <v>40114</v>
      </c>
      <c r="G195" s="47">
        <v>24701</v>
      </c>
      <c r="H195" s="47">
        <v>5315</v>
      </c>
      <c r="I195" s="47">
        <v>31446</v>
      </c>
      <c r="J195" s="47">
        <v>9689</v>
      </c>
      <c r="K195" s="47">
        <v>8013</v>
      </c>
      <c r="L195" s="47">
        <v>-439</v>
      </c>
      <c r="M195" s="53" t="s">
        <v>527</v>
      </c>
      <c r="N195" s="54" t="s">
        <v>398</v>
      </c>
      <c r="O195" s="55" t="s">
        <v>530</v>
      </c>
      <c r="P195" s="11" t="s">
        <v>416</v>
      </c>
      <c r="Q195" s="12" t="s">
        <v>410</v>
      </c>
      <c r="R195" s="10" t="s">
        <v>389</v>
      </c>
      <c r="S195" s="10" t="s">
        <v>401</v>
      </c>
      <c r="T195" s="12">
        <v>594.53</v>
      </c>
      <c r="U195" s="12">
        <v>21</v>
      </c>
      <c r="V195" s="12" t="s">
        <v>435</v>
      </c>
      <c r="W195" s="12">
        <f t="shared" ref="W195:W201" si="3">U195+10109+450</f>
        <v>10580</v>
      </c>
      <c r="X195" s="12">
        <v>2587437.12</v>
      </c>
    </row>
    <row r="196" spans="1:24">
      <c r="A196" s="47">
        <v>44264</v>
      </c>
      <c r="B196" s="47">
        <v>35531</v>
      </c>
      <c r="C196" s="47">
        <v>30309</v>
      </c>
      <c r="D196" s="47">
        <v>16579</v>
      </c>
      <c r="E196" s="47">
        <v>14557</v>
      </c>
      <c r="F196" s="47">
        <v>24027</v>
      </c>
      <c r="G196" s="47">
        <v>-9180</v>
      </c>
      <c r="H196" s="47">
        <v>15135</v>
      </c>
      <c r="I196" s="47">
        <v>42698</v>
      </c>
      <c r="J196" s="47">
        <v>10933</v>
      </c>
      <c r="K196" s="47">
        <v>15647</v>
      </c>
      <c r="L196" s="47">
        <v>14388</v>
      </c>
      <c r="M196" s="53" t="s">
        <v>527</v>
      </c>
      <c r="N196" s="54" t="s">
        <v>399</v>
      </c>
      <c r="O196" s="55" t="s">
        <v>531</v>
      </c>
      <c r="P196" s="11" t="s">
        <v>413</v>
      </c>
      <c r="Q196" s="12" t="s">
        <v>408</v>
      </c>
      <c r="R196" s="10" t="s">
        <v>390</v>
      </c>
      <c r="S196" s="10" t="s">
        <v>402</v>
      </c>
      <c r="T196" s="12">
        <v>921.07</v>
      </c>
      <c r="U196" s="12">
        <v>24</v>
      </c>
      <c r="V196" s="12" t="s">
        <v>435</v>
      </c>
      <c r="W196" s="12">
        <f t="shared" si="3"/>
        <v>10583</v>
      </c>
      <c r="X196" s="12">
        <v>2975579.25</v>
      </c>
    </row>
    <row r="197" spans="1:24">
      <c r="A197" s="47">
        <v>43754</v>
      </c>
      <c r="B197" s="47">
        <v>-3432</v>
      </c>
      <c r="C197" s="47">
        <v>20615</v>
      </c>
      <c r="D197" s="47">
        <v>-5760</v>
      </c>
      <c r="E197" s="47">
        <v>10758</v>
      </c>
      <c r="F197" s="47">
        <v>41880</v>
      </c>
      <c r="G197" s="47">
        <v>7097</v>
      </c>
      <c r="H197" s="47">
        <v>-208</v>
      </c>
      <c r="I197" s="47">
        <v>38685</v>
      </c>
      <c r="J197" s="47">
        <v>4958</v>
      </c>
      <c r="K197" s="47">
        <v>44623</v>
      </c>
      <c r="L197" s="47">
        <v>7781</v>
      </c>
      <c r="M197" s="53" t="s">
        <v>527</v>
      </c>
      <c r="N197" s="54" t="s">
        <v>396</v>
      </c>
      <c r="O197" s="55" t="s">
        <v>528</v>
      </c>
      <c r="P197" s="11" t="s">
        <v>415</v>
      </c>
      <c r="Q197" s="12" t="s">
        <v>408</v>
      </c>
      <c r="R197" s="10" t="s">
        <v>391</v>
      </c>
      <c r="S197" s="10" t="s">
        <v>402</v>
      </c>
      <c r="T197" s="12">
        <v>2390.5500000000002</v>
      </c>
      <c r="U197" s="12">
        <v>15</v>
      </c>
      <c r="V197" s="12" t="s">
        <v>434</v>
      </c>
      <c r="W197" s="12">
        <f t="shared" si="3"/>
        <v>10574</v>
      </c>
      <c r="X197" s="12">
        <v>2098176.89</v>
      </c>
    </row>
    <row r="198" spans="1:24">
      <c r="A198" s="47">
        <v>25247</v>
      </c>
      <c r="B198" s="47">
        <v>1499</v>
      </c>
      <c r="C198" s="47">
        <v>42796</v>
      </c>
      <c r="D198" s="47">
        <v>7830</v>
      </c>
      <c r="E198" s="47">
        <v>1822</v>
      </c>
      <c r="F198" s="47">
        <v>26487</v>
      </c>
      <c r="G198" s="47">
        <v>10585</v>
      </c>
      <c r="H198" s="47">
        <v>27123</v>
      </c>
      <c r="I198" s="47">
        <v>3938</v>
      </c>
      <c r="J198" s="47">
        <v>18667</v>
      </c>
      <c r="K198" s="47">
        <v>678</v>
      </c>
      <c r="L198" s="47">
        <v>19003</v>
      </c>
      <c r="M198" s="53" t="s">
        <v>527</v>
      </c>
      <c r="N198" s="54" t="s">
        <v>395</v>
      </c>
      <c r="O198" s="55" t="s">
        <v>395</v>
      </c>
      <c r="P198" s="11" t="s">
        <v>414</v>
      </c>
      <c r="Q198" s="12" t="s">
        <v>411</v>
      </c>
      <c r="R198" s="10" t="s">
        <v>392</v>
      </c>
      <c r="S198" s="10" t="s">
        <v>403</v>
      </c>
      <c r="T198" s="12">
        <v>596.41999999999996</v>
      </c>
      <c r="U198" s="12">
        <v>54</v>
      </c>
      <c r="V198" s="12" t="s">
        <v>435</v>
      </c>
      <c r="W198" s="12">
        <f t="shared" si="3"/>
        <v>10613</v>
      </c>
      <c r="X198" s="12">
        <v>2627970.29</v>
      </c>
    </row>
    <row r="199" spans="1:24">
      <c r="A199" s="47">
        <v>21104</v>
      </c>
      <c r="B199" s="47">
        <v>36938</v>
      </c>
      <c r="C199" s="47">
        <v>-876</v>
      </c>
      <c r="D199" s="47">
        <v>28029</v>
      </c>
      <c r="E199" s="47">
        <v>30115</v>
      </c>
      <c r="F199" s="47">
        <v>27500</v>
      </c>
      <c r="G199" s="47">
        <v>17041</v>
      </c>
      <c r="H199" s="47">
        <v>-2187</v>
      </c>
      <c r="I199" s="47">
        <v>34225</v>
      </c>
      <c r="J199" s="47">
        <v>18193</v>
      </c>
      <c r="K199" s="47">
        <v>28969</v>
      </c>
      <c r="L199" s="47">
        <v>20785</v>
      </c>
      <c r="M199" s="53" t="s">
        <v>527</v>
      </c>
      <c r="N199" s="54" t="s">
        <v>399</v>
      </c>
      <c r="O199" s="55" t="s">
        <v>531</v>
      </c>
      <c r="P199" s="11" t="s">
        <v>413</v>
      </c>
      <c r="Q199" s="12" t="s">
        <v>408</v>
      </c>
      <c r="R199" s="10" t="s">
        <v>330</v>
      </c>
      <c r="S199" s="10" t="s">
        <v>402</v>
      </c>
      <c r="T199" s="12">
        <v>2757.37</v>
      </c>
      <c r="U199" s="12">
        <v>33</v>
      </c>
      <c r="V199" s="12" t="s">
        <v>432</v>
      </c>
      <c r="W199" s="12">
        <f t="shared" si="3"/>
        <v>10592</v>
      </c>
      <c r="X199" s="12">
        <v>2667866.8199999998</v>
      </c>
    </row>
    <row r="200" spans="1:24">
      <c r="A200" s="47">
        <v>-1616</v>
      </c>
      <c r="B200" s="47">
        <v>27489</v>
      </c>
      <c r="C200" s="47">
        <v>18021</v>
      </c>
      <c r="D200" s="47">
        <v>38289</v>
      </c>
      <c r="E200" s="47">
        <v>15422</v>
      </c>
      <c r="F200" s="47">
        <v>20032</v>
      </c>
      <c r="G200" s="47">
        <v>24202</v>
      </c>
      <c r="H200" s="47">
        <v>-2320</v>
      </c>
      <c r="I200" s="47">
        <v>12600</v>
      </c>
      <c r="J200" s="47">
        <v>14336</v>
      </c>
      <c r="K200" s="47">
        <v>41482</v>
      </c>
      <c r="L200" s="47">
        <v>33939</v>
      </c>
      <c r="M200" s="53" t="s">
        <v>527</v>
      </c>
      <c r="N200" s="54" t="s">
        <v>395</v>
      </c>
      <c r="O200" s="55" t="s">
        <v>395</v>
      </c>
      <c r="P200" s="11" t="s">
        <v>415</v>
      </c>
      <c r="Q200" s="12" t="s">
        <v>411</v>
      </c>
      <c r="R200" s="10" t="s">
        <v>393</v>
      </c>
      <c r="S200" s="10" t="s">
        <v>401</v>
      </c>
      <c r="T200" s="12">
        <v>1302.3599999999999</v>
      </c>
      <c r="U200" s="12">
        <v>67</v>
      </c>
      <c r="V200" s="12" t="s">
        <v>433</v>
      </c>
      <c r="W200" s="12">
        <f t="shared" si="3"/>
        <v>10626</v>
      </c>
      <c r="X200" s="12">
        <v>1439639.71</v>
      </c>
    </row>
    <row r="201" spans="1:24">
      <c r="A201" s="47">
        <v>31239</v>
      </c>
      <c r="B201" s="47">
        <v>37059</v>
      </c>
      <c r="C201" s="47">
        <v>44053</v>
      </c>
      <c r="D201" s="47">
        <v>29385</v>
      </c>
      <c r="E201" s="47">
        <v>27455</v>
      </c>
      <c r="F201" s="47">
        <v>20568</v>
      </c>
      <c r="G201" s="47">
        <v>37279</v>
      </c>
      <c r="H201" s="47">
        <v>-3760</v>
      </c>
      <c r="I201" s="47">
        <v>23245</v>
      </c>
      <c r="J201" s="47">
        <v>22692</v>
      </c>
      <c r="K201" s="47">
        <v>42899</v>
      </c>
      <c r="L201" s="47">
        <v>26765</v>
      </c>
      <c r="M201" s="56" t="s">
        <v>527</v>
      </c>
      <c r="N201" s="57" t="s">
        <v>397</v>
      </c>
      <c r="O201" s="58" t="s">
        <v>529</v>
      </c>
      <c r="P201" s="11" t="s">
        <v>413</v>
      </c>
      <c r="Q201" s="12" t="s">
        <v>410</v>
      </c>
      <c r="R201" s="10" t="s">
        <v>394</v>
      </c>
      <c r="S201" s="10" t="s">
        <v>400</v>
      </c>
      <c r="T201" s="12">
        <v>306.76</v>
      </c>
      <c r="U201" s="12">
        <v>41</v>
      </c>
      <c r="V201" s="12" t="s">
        <v>433</v>
      </c>
      <c r="W201" s="12">
        <f t="shared" si="3"/>
        <v>10600</v>
      </c>
      <c r="X201" s="12">
        <v>2026845.04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0A24F-E77B-4FBD-A22C-DDE9416D4495}">
  <sheetPr>
    <tabColor theme="8" tint="0.39997558519241921"/>
  </sheetPr>
  <dimension ref="H1:AA15"/>
  <sheetViews>
    <sheetView tabSelected="1" zoomScale="50" zoomScaleNormal="85" workbookViewId="0">
      <selection activeCell="Q52" sqref="Q52"/>
    </sheetView>
  </sheetViews>
  <sheetFormatPr defaultRowHeight="14.4"/>
  <sheetData>
    <row r="1" spans="8:27">
      <c r="AA1" s="4"/>
    </row>
    <row r="15" spans="8:27">
      <c r="H15" t="b">
        <v>0</v>
      </c>
      <c r="I15" t="b">
        <v>0</v>
      </c>
      <c r="J15" t="b">
        <v>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master_data</vt:lpstr>
      <vt:lpstr>Input_data1</vt:lpstr>
      <vt:lpstr>Analysis</vt:lpstr>
      <vt:lpstr>input_data</vt:lpstr>
      <vt:lpstr>pivot_tables</vt:lpstr>
      <vt:lpstr>Input_data3</vt:lpstr>
      <vt:lpstr>dash_bord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Avinash Kanna</cp:lastModifiedBy>
  <dcterms:created xsi:type="dcterms:W3CDTF">2026-04-02T12:42:46Z</dcterms:created>
  <dcterms:modified xsi:type="dcterms:W3CDTF">2026-04-13T05:57:34Z</dcterms:modified>
</cp:coreProperties>
</file>